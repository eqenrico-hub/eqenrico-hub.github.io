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Volumes/Ricosan HD/AI JOURNEY/ENRICO PHD/GENDER_PIPELINE/output/"/>
    </mc:Choice>
  </mc:AlternateContent>
  <xr:revisionPtr revIDLastSave="0" documentId="13_ncr:1_{1D9A9063-6192-5F49-A622-2A65A0851B91}" xr6:coauthVersionLast="47" xr6:coauthVersionMax="47" xr10:uidLastSave="{00000000-0000-0000-0000-000000000000}"/>
  <bookViews>
    <workbookView xWindow="300" yWindow="960" windowWidth="26740" windowHeight="15780" xr2:uid="{00000000-000D-0000-FFFF-FFFF00000000}"/>
  </bookViews>
  <sheets>
    <sheet name="Data" sheetId="1" r:id="rId1"/>
    <sheet name="Analysis" sheetId="2" r:id="rId2"/>
  </sheets>
  <definedNames>
    <definedName name="_xlnm._FilterDatabase" localSheetId="0" hidden="1">Data!$A$1:$L$1</definedName>
    <definedName name="solver_eng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2" l="1"/>
  <c r="E150" i="2"/>
  <c r="C150" i="2"/>
  <c r="B150" i="2"/>
  <c r="H150" i="2" s="1"/>
  <c r="G149" i="2"/>
  <c r="E149" i="2"/>
  <c r="C149" i="2"/>
  <c r="B149" i="2"/>
  <c r="G148" i="2"/>
  <c r="E148" i="2"/>
  <c r="C148" i="2"/>
  <c r="B148" i="2"/>
  <c r="H148" i="2" s="1"/>
  <c r="G147" i="2"/>
  <c r="E147" i="2"/>
  <c r="C147" i="2"/>
  <c r="B147" i="2"/>
  <c r="G143" i="2"/>
  <c r="E143" i="2"/>
  <c r="C143" i="2"/>
  <c r="B143" i="2"/>
  <c r="G142" i="2"/>
  <c r="E142" i="2"/>
  <c r="C142" i="2"/>
  <c r="B142" i="2"/>
  <c r="G141" i="2"/>
  <c r="E141" i="2"/>
  <c r="C141" i="2"/>
  <c r="B141" i="2"/>
  <c r="G140" i="2"/>
  <c r="E140" i="2"/>
  <c r="C140" i="2"/>
  <c r="B140" i="2"/>
  <c r="H140" i="2" s="1"/>
  <c r="G136" i="2"/>
  <c r="H136" i="2" s="1"/>
  <c r="E136" i="2"/>
  <c r="F136" i="2" s="1"/>
  <c r="C136" i="2"/>
  <c r="D136" i="2" s="1"/>
  <c r="B136" i="2"/>
  <c r="G135" i="2"/>
  <c r="E135" i="2"/>
  <c r="C135" i="2"/>
  <c r="B135" i="2"/>
  <c r="G134" i="2"/>
  <c r="E134" i="2"/>
  <c r="C134" i="2"/>
  <c r="B134" i="2"/>
  <c r="H134" i="2" s="1"/>
  <c r="G133" i="2"/>
  <c r="F133" i="2"/>
  <c r="E133" i="2"/>
  <c r="D133" i="2"/>
  <c r="C133" i="2"/>
  <c r="B133" i="2"/>
  <c r="G129" i="2"/>
  <c r="E129" i="2"/>
  <c r="C129" i="2"/>
  <c r="B129" i="2"/>
  <c r="G128" i="2"/>
  <c r="E128" i="2"/>
  <c r="C128" i="2"/>
  <c r="B128" i="2"/>
  <c r="G127" i="2"/>
  <c r="E127" i="2"/>
  <c r="C127" i="2"/>
  <c r="B127" i="2"/>
  <c r="H127" i="2" s="1"/>
  <c r="G126" i="2"/>
  <c r="H126" i="2" s="1"/>
  <c r="E126" i="2"/>
  <c r="F126" i="2" s="1"/>
  <c r="C126" i="2"/>
  <c r="D126" i="2" s="1"/>
  <c r="B126" i="2"/>
  <c r="G122" i="2"/>
  <c r="E122" i="2"/>
  <c r="C122" i="2"/>
  <c r="B122" i="2"/>
  <c r="D122" i="2" s="1"/>
  <c r="G121" i="2"/>
  <c r="E121" i="2"/>
  <c r="C121" i="2"/>
  <c r="B121" i="2"/>
  <c r="F121" i="2" s="1"/>
  <c r="G120" i="2"/>
  <c r="E120" i="2"/>
  <c r="C120" i="2"/>
  <c r="D120" i="2" s="1"/>
  <c r="B120" i="2"/>
  <c r="G119" i="2"/>
  <c r="E119" i="2"/>
  <c r="C119" i="2"/>
  <c r="B119" i="2"/>
  <c r="G115" i="2"/>
  <c r="H115" i="2" s="1"/>
  <c r="F115" i="2"/>
  <c r="E115" i="2"/>
  <c r="C115" i="2"/>
  <c r="B115" i="2"/>
  <c r="G114" i="2"/>
  <c r="E114" i="2"/>
  <c r="C114" i="2"/>
  <c r="B114" i="2"/>
  <c r="H114" i="2" s="1"/>
  <c r="G113" i="2"/>
  <c r="E113" i="2"/>
  <c r="C113" i="2"/>
  <c r="D113" i="2" s="1"/>
  <c r="B113" i="2"/>
  <c r="G112" i="2"/>
  <c r="E112" i="2"/>
  <c r="C112" i="2"/>
  <c r="B112" i="2"/>
  <c r="G105" i="2"/>
  <c r="E105" i="2"/>
  <c r="C105" i="2"/>
  <c r="B105" i="2"/>
  <c r="G104" i="2"/>
  <c r="E104" i="2"/>
  <c r="C104" i="2"/>
  <c r="B104" i="2"/>
  <c r="F104" i="2" s="1"/>
  <c r="G103" i="2"/>
  <c r="H103" i="2" s="1"/>
  <c r="E103" i="2"/>
  <c r="F103" i="2" s="1"/>
  <c r="D103" i="2"/>
  <c r="C103" i="2"/>
  <c r="B103" i="2"/>
  <c r="G102" i="2"/>
  <c r="E102" i="2"/>
  <c r="C102" i="2"/>
  <c r="B102" i="2"/>
  <c r="H102" i="2" s="1"/>
  <c r="B94" i="2"/>
  <c r="B93" i="2"/>
  <c r="B92" i="2"/>
  <c r="B91" i="2"/>
  <c r="D93" i="2" s="1"/>
  <c r="B86" i="2"/>
  <c r="B85" i="2"/>
  <c r="B84" i="2"/>
  <c r="B83" i="2"/>
  <c r="B87" i="2" s="1"/>
  <c r="B78" i="2"/>
  <c r="B77" i="2"/>
  <c r="B79" i="2" s="1"/>
  <c r="C76" i="2"/>
  <c r="B76" i="2"/>
  <c r="B75" i="2"/>
  <c r="B70" i="2"/>
  <c r="B69" i="2"/>
  <c r="B68" i="2"/>
  <c r="B67" i="2"/>
  <c r="D68" i="2" s="1"/>
  <c r="B62" i="2"/>
  <c r="B61" i="2"/>
  <c r="C61" i="2" s="1"/>
  <c r="B60" i="2"/>
  <c r="B59" i="2"/>
  <c r="B54" i="2"/>
  <c r="B53" i="2"/>
  <c r="C53" i="2" s="1"/>
  <c r="B52" i="2"/>
  <c r="B51" i="2"/>
  <c r="D53" i="2" s="1"/>
  <c r="B43" i="2"/>
  <c r="B42" i="2"/>
  <c r="C43" i="2" s="1"/>
  <c r="B41" i="2"/>
  <c r="B40" i="2"/>
  <c r="C41" i="2" s="1"/>
  <c r="D31" i="2"/>
  <c r="C31" i="2"/>
  <c r="B31" i="2"/>
  <c r="D30" i="2"/>
  <c r="C30" i="2"/>
  <c r="B30" i="2"/>
  <c r="B32" i="2" s="1"/>
  <c r="D29" i="2"/>
  <c r="D32" i="2" s="1"/>
  <c r="C29" i="2"/>
  <c r="B29" i="2"/>
  <c r="B22" i="2"/>
  <c r="C22" i="2" s="1"/>
  <c r="B21" i="2"/>
  <c r="C21" i="2" s="1"/>
  <c r="B20" i="2"/>
  <c r="B19" i="2"/>
  <c r="B23" i="2" s="1"/>
  <c r="C23" i="2" s="1"/>
  <c r="B13" i="2"/>
  <c r="B12" i="2"/>
  <c r="B11" i="2"/>
  <c r="B10" i="2"/>
  <c r="B9" i="2"/>
  <c r="B7" i="2"/>
  <c r="B6" i="2"/>
  <c r="B5" i="2"/>
  <c r="C67" i="2" l="1"/>
  <c r="D75" i="2"/>
  <c r="D115" i="2"/>
  <c r="D135" i="2"/>
  <c r="H143" i="2"/>
  <c r="F148" i="2"/>
  <c r="C20" i="2"/>
  <c r="E29" i="2"/>
  <c r="C40" i="2"/>
  <c r="C54" i="2"/>
  <c r="C86" i="2"/>
  <c r="C32" i="2"/>
  <c r="D42" i="2"/>
  <c r="D62" i="2"/>
  <c r="C75" i="2"/>
  <c r="D85" i="2"/>
  <c r="H104" i="2"/>
  <c r="H122" i="2"/>
  <c r="D60" i="2"/>
  <c r="H105" i="2"/>
  <c r="H120" i="2"/>
  <c r="H128" i="2"/>
  <c r="F141" i="2"/>
  <c r="D149" i="2"/>
  <c r="F147" i="2"/>
  <c r="E30" i="2"/>
  <c r="B44" i="2"/>
  <c r="C62" i="2"/>
  <c r="C94" i="2"/>
  <c r="D43" i="2"/>
  <c r="E31" i="2"/>
  <c r="C78" i="2"/>
  <c r="D112" i="2"/>
  <c r="D114" i="2"/>
  <c r="D129" i="2"/>
  <c r="D134" i="2"/>
  <c r="D142" i="2"/>
  <c r="C42" i="2"/>
  <c r="D119" i="2"/>
  <c r="D52" i="2"/>
  <c r="D67" i="2"/>
  <c r="D83" i="2"/>
  <c r="F114" i="2"/>
  <c r="F119" i="2"/>
  <c r="F127" i="2"/>
  <c r="F134" i="2"/>
  <c r="F140" i="2"/>
  <c r="D148" i="2"/>
  <c r="B71" i="2"/>
  <c r="H119" i="2"/>
  <c r="F142" i="2"/>
  <c r="C84" i="2"/>
  <c r="F102" i="2"/>
  <c r="H113" i="2"/>
  <c r="F120" i="2"/>
  <c r="F122" i="2"/>
  <c r="H133" i="2"/>
  <c r="H142" i="2"/>
  <c r="D94" i="2"/>
  <c r="F135" i="2"/>
  <c r="D143" i="2"/>
  <c r="H147" i="2"/>
  <c r="D40" i="2"/>
  <c r="D54" i="2"/>
  <c r="C69" i="2"/>
  <c r="D76" i="2"/>
  <c r="C91" i="2"/>
  <c r="B95" i="2"/>
  <c r="F112" i="2"/>
  <c r="H121" i="2"/>
  <c r="F129" i="2"/>
  <c r="D140" i="2"/>
  <c r="H141" i="2"/>
  <c r="F149" i="2"/>
  <c r="H135" i="2"/>
  <c r="F143" i="2"/>
  <c r="D61" i="2"/>
  <c r="C51" i="2"/>
  <c r="B55" i="2"/>
  <c r="D69" i="2"/>
  <c r="D91" i="2"/>
  <c r="D51" i="2"/>
  <c r="C77" i="2"/>
  <c r="D84" i="2"/>
  <c r="D105" i="2"/>
  <c r="H112" i="2"/>
  <c r="D128" i="2"/>
  <c r="H129" i="2"/>
  <c r="H149" i="2"/>
  <c r="D41" i="2"/>
  <c r="C59" i="2"/>
  <c r="B63" i="2"/>
  <c r="C70" i="2"/>
  <c r="D77" i="2"/>
  <c r="C92" i="2"/>
  <c r="D102" i="2"/>
  <c r="C52" i="2"/>
  <c r="D59" i="2"/>
  <c r="D70" i="2"/>
  <c r="C85" i="2"/>
  <c r="D92" i="2"/>
  <c r="F105" i="2"/>
  <c r="F128" i="2"/>
  <c r="D150" i="2"/>
  <c r="C19" i="2"/>
  <c r="C60" i="2"/>
  <c r="D78" i="2"/>
  <c r="C93" i="2"/>
  <c r="D104" i="2"/>
  <c r="D127" i="2"/>
  <c r="D147" i="2"/>
  <c r="D141" i="2"/>
  <c r="F150" i="2"/>
  <c r="F113" i="2"/>
  <c r="D121" i="2"/>
  <c r="C68" i="2"/>
  <c r="D86" i="2"/>
  <c r="C83" i="2"/>
  <c r="E32" i="2" l="1"/>
</calcChain>
</file>

<file path=xl/sharedStrings.xml><?xml version="1.0" encoding="utf-8"?>
<sst xmlns="http://schemas.openxmlformats.org/spreadsheetml/2006/main" count="30082" uniqueCount="4377">
  <si>
    <t>request_id</t>
  </si>
  <si>
    <t>request_year</t>
  </si>
  <si>
    <t>request_status</t>
  </si>
  <si>
    <t>request_length_words</t>
  </si>
  <si>
    <t>dominant_topic</t>
  </si>
  <si>
    <t>dominant_topic_label</t>
  </si>
  <si>
    <t>Typology of Administration</t>
  </si>
  <si>
    <t>sentiment_z</t>
  </si>
  <si>
    <t>ASP_level</t>
  </si>
  <si>
    <t>sex (requester)</t>
  </si>
  <si>
    <t>sex (respondent)</t>
  </si>
  <si>
    <t>frais_de_voyage_des_cabinets_du_4</t>
  </si>
  <si>
    <t>Not successful</t>
  </si>
  <si>
    <t>T3</t>
  </si>
  <si>
    <t>T3: Police &amp; administrative authority legality</t>
  </si>
  <si>
    <t>1. Local Territorial Authorities and Public Local Entities</t>
  </si>
  <si>
    <t>FEMALE</t>
  </si>
  <si>
    <t>UNKNOWN</t>
  </si>
  <si>
    <t>sau_msi_drohme_procedure_dattrib</t>
  </si>
  <si>
    <t>Successful</t>
  </si>
  <si>
    <t>T1</t>
  </si>
  <si>
    <t>T1: Public finance oversight</t>
  </si>
  <si>
    <t>5. Sectoral Agencies, Intermunicipal Organizations, and Specialized Bodies</t>
  </si>
  <si>
    <t>MALE</t>
  </si>
  <si>
    <t>travaux_publics_2001_2016_3</t>
  </si>
  <si>
    <t>T2</t>
  </si>
  <si>
    <t>T2: Urban planning &amp; neighbourhood issues</t>
  </si>
  <si>
    <t>composition_des_cabinets_du_bour_18</t>
  </si>
  <si>
    <t>transparence_des_mandats_liste_d_15</t>
  </si>
  <si>
    <t>T4</t>
  </si>
  <si>
    <t>T4: Council deliberations &amp; transparency</t>
  </si>
  <si>
    <t>demande_de_la_liste_complete_des_2</t>
  </si>
  <si>
    <t>justificatif_du_retard_de_rectif</t>
  </si>
  <si>
    <t>Asleep</t>
  </si>
  <si>
    <t>9. Social Housing and Public Residential Institutions</t>
  </si>
  <si>
    <t>interdiction_de_circulation_des</t>
  </si>
  <si>
    <t>10. Police, Defense, and Public Safety Structures</t>
  </si>
  <si>
    <t>conseil_communal_seance_du_12_ju</t>
  </si>
  <si>
    <t>T6</t>
  </si>
  <si>
    <t>T6: Governance &amp; municipal finance analysis</t>
  </si>
  <si>
    <t>titre_honorifique_de_directeur_d</t>
  </si>
  <si>
    <t>3. Federal Institutions and National Government Bodies</t>
  </si>
  <si>
    <t>composition_des_cabinets_du_bour_10</t>
  </si>
  <si>
    <t>liste_des_veterinaires</t>
  </si>
  <si>
    <t>6. Regulatory, Supervisory, and Oversight Authorities</t>
  </si>
  <si>
    <t>nombre_de_reunions_annuelles_du</t>
  </si>
  <si>
    <t>ca_et_organigramme</t>
  </si>
  <si>
    <t>conseil_provincial_seance_du_25</t>
  </si>
  <si>
    <t>2. Provinces, Regions, Communities, and Regional Ministers</t>
  </si>
  <si>
    <t>statuts_de_la_regie_communale_au</t>
  </si>
  <si>
    <t>publication_des_pv</t>
  </si>
  <si>
    <t>aides_aux_auto_ecoles_et_organis_2</t>
  </si>
  <si>
    <t>registre_de_securite_des_ecoles_17</t>
  </si>
  <si>
    <t>T5</t>
  </si>
  <si>
    <t>T5: Public procurement &amp; administrative policing</t>
  </si>
  <si>
    <t>cpas_jette_liste_des_membres</t>
  </si>
  <si>
    <t>je_souhaite_en_savoir_un_peu_plu</t>
  </si>
  <si>
    <t>8. Health Institutions and Public Health Agencies</t>
  </si>
  <si>
    <t>ville_imio</t>
  </si>
  <si>
    <t>transparence_des_remunerations_d</t>
  </si>
  <si>
    <t>enquete_sonecom_sur_letat_des_ba</t>
  </si>
  <si>
    <t>decisions_et_registres_sur_les_d_364</t>
  </si>
  <si>
    <t>composition_des_cabinets_du_bour_14</t>
  </si>
  <si>
    <t>conseil_provincial_seance_du_25_2</t>
  </si>
  <si>
    <t>composition_des_cabinets_des_bou</t>
  </si>
  <si>
    <t>combien_a_coute_a_la_commune_de</t>
  </si>
  <si>
    <t>composition_des_cabinets_du_bour_7</t>
  </si>
  <si>
    <t>composition_des_cabinets_du_bour_13</t>
  </si>
  <si>
    <t>montant_du_jeton_de_presence_fra_13</t>
  </si>
  <si>
    <t>liste_des_marches_de_services_et_2</t>
  </si>
  <si>
    <t>liste_des_asbl_subsidiees_par_le_13</t>
  </si>
  <si>
    <t>remuneration_des_administrateurs</t>
  </si>
  <si>
    <t>composition_des_cabinets_du_bour_16</t>
  </si>
  <si>
    <t>composition_des_cabinets_du_bour_11</t>
  </si>
  <si>
    <t>conseil_communal_seance_du_20_fe</t>
  </si>
  <si>
    <t>procedure_et_actions_prevues_par</t>
  </si>
  <si>
    <t>cadastre_des_mandats</t>
  </si>
  <si>
    <t>zp5268_comptes_2016</t>
  </si>
  <si>
    <t>demande_dinventaire_amiante_dans_7</t>
  </si>
  <si>
    <t>demande_concernant_un_administra_2</t>
  </si>
  <si>
    <t>4. Public Service Operators and Infrastructure Managers</t>
  </si>
  <si>
    <t>question_concernant_le_conseil_d</t>
  </si>
  <si>
    <t>statuts_des_cabinets_des_bourgme</t>
  </si>
  <si>
    <t>composition_des_cabinets_du_bour_17</t>
  </si>
  <si>
    <t>montant_du_jeton_de_presence_fra_15</t>
  </si>
  <si>
    <t>cadastre_des_mandats_des_elus_et</t>
  </si>
  <si>
    <t>liste_des_autorites_publiques_de_2</t>
  </si>
  <si>
    <t>actes_de_nominationdemission_au</t>
  </si>
  <si>
    <t>contrat_de_bail_conclu_entre_la</t>
  </si>
  <si>
    <t>remunerations_de_m_vincent_scour</t>
  </si>
  <si>
    <t>montant_du_jeton_de_presence_fra_16</t>
  </si>
  <si>
    <t>requisition_dun_immeuble_inoccup_2</t>
  </si>
  <si>
    <t>charrette_de_reflexion_du_centre</t>
  </si>
  <si>
    <t>transparence_des_mandats_liste_d_22</t>
  </si>
  <si>
    <t>dossier_avijl</t>
  </si>
  <si>
    <t>statut_du_personnel_non_enseigna</t>
  </si>
  <si>
    <t>demande_de_copie_du_contrat_rela</t>
  </si>
  <si>
    <t>projets_de_deliberation_des_poin_48</t>
  </si>
  <si>
    <t>composition_des_cabinets_du_bour</t>
  </si>
  <si>
    <t>organigramme_de_la_commune_intit</t>
  </si>
  <si>
    <t>montant_du_jeton_de_presence_fra_17</t>
  </si>
  <si>
    <t>demande_de_documents_concernant</t>
  </si>
  <si>
    <t>organigramme_cpas_forest_statuts</t>
  </si>
  <si>
    <t>demande_dinventaire_amiante_dans_4</t>
  </si>
  <si>
    <t>conseil_communal_seance_du_18_de_2</t>
  </si>
  <si>
    <t>deliberations_du_conseil_communa</t>
  </si>
  <si>
    <t>fisconetplus</t>
  </si>
  <si>
    <t>cabinets_des_bourgmestres_et_ech_21</t>
  </si>
  <si>
    <t>acces_aux_donnees_brutes_de_ponc</t>
  </si>
  <si>
    <t>cadastres_des_subsides_octroyes</t>
  </si>
  <si>
    <t>cabinets_du_bourgmestre_et_ses_e</t>
  </si>
  <si>
    <t>gial_nature_du_contrat_passe_ent</t>
  </si>
  <si>
    <t>12. Administrative Support, IT Services, and Inter-Organizational Infrastructure</t>
  </si>
  <si>
    <t>madame_aung_san_suu_kyi_est_elle_7</t>
  </si>
  <si>
    <t>organigramme_du_cpas_statuts_int</t>
  </si>
  <si>
    <t>avis_de_la_commission_pour_la_pr_2</t>
  </si>
  <si>
    <t>je_souhaiterai_savoir_comment_ac</t>
  </si>
  <si>
    <t>transparence_des_mandats_liste_d_12</t>
  </si>
  <si>
    <t>registre_de_securite_des_ecoles_7</t>
  </si>
  <si>
    <t>conseil_communal_seance_du_13_no</t>
  </si>
  <si>
    <t>emolument_et_attendance_des_admi_2</t>
  </si>
  <si>
    <t>jeton_de_presences_et_statuts_du</t>
  </si>
  <si>
    <t>composition_des_cabinets_du_bour_21</t>
  </si>
  <si>
    <t>composition_des_cabinets_du_bour_25</t>
  </si>
  <si>
    <t>budget_2018_2</t>
  </si>
  <si>
    <t>espace_piqueray_refection_de_leg</t>
  </si>
  <si>
    <t>subsisdes_et_aides_aux_auto_ecol</t>
  </si>
  <si>
    <t>transparence_des_mandats_liste_d_17</t>
  </si>
  <si>
    <t>budget_communal_wanze_2022</t>
  </si>
  <si>
    <t>acces_aux_10_questions_de_mr_de</t>
  </si>
  <si>
    <t>conseil_communal_seance_du_lundi_52</t>
  </si>
  <si>
    <t>documents_lies_a_la_passation_de</t>
  </si>
  <si>
    <t>mandats_exerces_par_sven_de_neef</t>
  </si>
  <si>
    <t>demande_concernant_un_administra</t>
  </si>
  <si>
    <t>conseil_communal_seance_du_lundi_66</t>
  </si>
  <si>
    <t>fonctions_et_remunerations_effec</t>
  </si>
  <si>
    <t>eclairage_du_stade</t>
  </si>
  <si>
    <t>voyage_detat_en_inde</t>
  </si>
  <si>
    <t>montant_du_jeton_de_presence_fra_25</t>
  </si>
  <si>
    <t>cout_de_la_participation_de_la_v</t>
  </si>
  <si>
    <t>composition_des_cabinets_du_bour_15</t>
  </si>
  <si>
    <t>derniere_version_du_contrat_dbfm</t>
  </si>
  <si>
    <t>registre_de_securite_des_ecoles_4</t>
  </si>
  <si>
    <t>transparence_des_mandats_liste_d_14</t>
  </si>
  <si>
    <t>registre_de_securite_des_ecoles_2</t>
  </si>
  <si>
    <t>conseil_communal_seance_du_mercr</t>
  </si>
  <si>
    <t>resultats_des_appels_a_candidatu_3</t>
  </si>
  <si>
    <t>11. Legislative, Parliamentary, and Judicial Institutions</t>
  </si>
  <si>
    <t>registre_de_securite_des_ecoles_11</t>
  </si>
  <si>
    <t>montant_du_jeton_de_presence_fra_27</t>
  </si>
  <si>
    <t>etude_de_faisabilite_des_nouvell</t>
  </si>
  <si>
    <t>appel_doffre_et_contrat_signe_av</t>
  </si>
  <si>
    <t>conseil_provincial_seance_du_30</t>
  </si>
  <si>
    <t>assurance_protection_juridique</t>
  </si>
  <si>
    <t>inventaire_amiante_et_rapports_d</t>
  </si>
  <si>
    <t>situation_de_monsieur_john_joos</t>
  </si>
  <si>
    <t>enquete_du_vif_et_du_soir_projet_15</t>
  </si>
  <si>
    <t>transparence_des_mandats_liste_d_18</t>
  </si>
  <si>
    <t>copie_de_documents_du_registre_d_2</t>
  </si>
  <si>
    <t>plan_dinvestissement_communal</t>
  </si>
  <si>
    <t>declassement_du_sentier_de_goirh</t>
  </si>
  <si>
    <t>registre_de_securite_des_ecoles_10</t>
  </si>
  <si>
    <t>registre_de_securite_des_ecoles_8</t>
  </si>
  <si>
    <t>compte_rendu_de_lexpertise_de_ge</t>
  </si>
  <si>
    <t>registre_de_securite_des_ecoles_18</t>
  </si>
  <si>
    <t>loi_sur_les_fabriques_deglises</t>
  </si>
  <si>
    <t>demande_dinventaire_amiante_dans_3</t>
  </si>
  <si>
    <t>7. Cultural, Touristic, and Promotional Institutions</t>
  </si>
  <si>
    <t>facture_de_fourniture_des_pannea</t>
  </si>
  <si>
    <t>demande_dinventaire_amiante_des</t>
  </si>
  <si>
    <t>conseil_communal_seance_du_mercr_2</t>
  </si>
  <si>
    <t>demande_dinventaire_amiante_dans_5</t>
  </si>
  <si>
    <t>demande_dinventaire_amiante_dans_6</t>
  </si>
  <si>
    <t>demande_dinventaire_amiante_dans_10</t>
  </si>
  <si>
    <t>demande_dinventaire_amiante_dans_11</t>
  </si>
  <si>
    <t>liste_renovations_lourdes_foyer</t>
  </si>
  <si>
    <t>registres_de_securite_des_ecoles</t>
  </si>
  <si>
    <t>composition_des_cabinets_du_bour_23</t>
  </si>
  <si>
    <t>budget_2018</t>
  </si>
  <si>
    <t>nombre_de_votes_par_procuration_20</t>
  </si>
  <si>
    <t>demande_dinventaire_amiante_dans_12</t>
  </si>
  <si>
    <t>membres_du_comite_de_direction_d</t>
  </si>
  <si>
    <t>evaluation_de_limpact_sur_la_vie_3</t>
  </si>
  <si>
    <t>evaluation_de_limpact_sur_la_vie_5</t>
  </si>
  <si>
    <t>evaluation_de_limpact_sur_la_vie_6</t>
  </si>
  <si>
    <t>evaluation_de_limpact_sur_la_vie_8</t>
  </si>
  <si>
    <t>evaluation_de_limpact_sur_la_vie_10</t>
  </si>
  <si>
    <t>evaluation_de_limpact_sur_la_vie_11</t>
  </si>
  <si>
    <t>evaluation_de_limpact_sur_la_vie_17</t>
  </si>
  <si>
    <t>evaluation_de_limpact_sur_la_vie_12</t>
  </si>
  <si>
    <t>evaluation_de_limpact_sur_la_vie</t>
  </si>
  <si>
    <t>informations_sur_les_dispositifs_139</t>
  </si>
  <si>
    <t>evaluation_de_limpact_sur_la_vie_16</t>
  </si>
  <si>
    <t>ramassage_scolaire_lecole_europe</t>
  </si>
  <si>
    <t>cadastre_des_mandats_avec_indica</t>
  </si>
  <si>
    <t>transparence_des_mandats_liste_d_4</t>
  </si>
  <si>
    <t>budget_pour_la_renovation_du_the</t>
  </si>
  <si>
    <t>liste_des_courriers_relatifs_a_l</t>
  </si>
  <si>
    <t>copie_cahier_des_charges_annexe</t>
  </si>
  <si>
    <t>travaux_publics_de_saint_gilles</t>
  </si>
  <si>
    <t>cout_de_labonnement_a_118euran</t>
  </si>
  <si>
    <t>etude_dincidence_de_la_mise_en_p</t>
  </si>
  <si>
    <t>cite_lolivier</t>
  </si>
  <si>
    <t>manuel_sur_la_loi_sur_lacces_a_l</t>
  </si>
  <si>
    <t>registre_de_securite_des_ecoles_16</t>
  </si>
  <si>
    <t>prime_de_120eu_2</t>
  </si>
  <si>
    <t>question_concernant_un_membre_du</t>
  </si>
  <si>
    <t>liste_des_autorites_publiques_de</t>
  </si>
  <si>
    <t>prime_be_home_region_bruxelloise</t>
  </si>
  <si>
    <t>registre_des_travaux_publics_koe</t>
  </si>
  <si>
    <t>annexes_a_la_seance_du_conseil_c</t>
  </si>
  <si>
    <t>cadastre_nominatif_des_mandats_d</t>
  </si>
  <si>
    <t>montant_du_jeton_de_presence_fra_21</t>
  </si>
  <si>
    <t>composition_des_cabinets_du_bour_26</t>
  </si>
  <si>
    <t>comptes_2017</t>
  </si>
  <si>
    <t>rapports_de_visite_et_danalyses</t>
  </si>
  <si>
    <t>montant_du_jeton_de_presence_fra_11</t>
  </si>
  <si>
    <t>liste_des_reunions_et_ordres_du</t>
  </si>
  <si>
    <t>informations_sur_les_dispositifs_140</t>
  </si>
  <si>
    <t>demolition_dun_batiment_industri</t>
  </si>
  <si>
    <t>prime_de_120eu</t>
  </si>
  <si>
    <t>demande_de_permis_denvironnement</t>
  </si>
  <si>
    <t>attestation_depollution_site_mar</t>
  </si>
  <si>
    <t>quid_versement_prime_behome</t>
  </si>
  <si>
    <t>travaux_publics_2001_2016_4</t>
  </si>
  <si>
    <t>administrateurs_du_crematorium_i</t>
  </si>
  <si>
    <t>transparence_des_mandats_et_remu</t>
  </si>
  <si>
    <t>liste_des_travaux_publics_devere</t>
  </si>
  <si>
    <t>travaux_publics_2001_2016_5</t>
  </si>
  <si>
    <t>etude_dimpact_contrats_et_docume_2</t>
  </si>
  <si>
    <t>convention_veterinaire_pour_la_c</t>
  </si>
  <si>
    <t>conseil_dadministration_et_remun</t>
  </si>
  <si>
    <t>gestion_des_depots_clandestins_2</t>
  </si>
  <si>
    <t>information_au_sujet_du_cout_des</t>
  </si>
  <si>
    <t>enquete_publique_concernant_un_p</t>
  </si>
  <si>
    <t>convocation_de_madame_lahy_a_lau</t>
  </si>
  <si>
    <t>test_site_internet</t>
  </si>
  <si>
    <t>demande_de_remboursement_prme_12</t>
  </si>
  <si>
    <t>cout_exorbitant_de_labonnement</t>
  </si>
  <si>
    <t>evaluation_de_limpact_sur_la_vie_15</t>
  </si>
  <si>
    <t>re_asphaltage_bd_lambermont</t>
  </si>
  <si>
    <t>documents_amiante_des_immeubles</t>
  </si>
  <si>
    <t>retribution_des_fonctions_superi</t>
  </si>
  <si>
    <t>liste_de_veterinaires</t>
  </si>
  <si>
    <t>donnees_des_mandats_et_remunerat</t>
  </si>
  <si>
    <t>le_vif_ndeg_3426_dd_3_mars_2017</t>
  </si>
  <si>
    <t>emolument_et_attendance_des_admi</t>
  </si>
  <si>
    <t>etude_dimpact_contrats_et_docume</t>
  </si>
  <si>
    <t>registre_de_securite_des_ecoles_13</t>
  </si>
  <si>
    <t>frais_de_voyage_de_philippe_clos</t>
  </si>
  <si>
    <t>un_rapport_de_pwc_sur_ecs_electr</t>
  </si>
  <si>
    <t>zp5268_budget_2017</t>
  </si>
  <si>
    <t>ecoles_communales_conseils_de_pa</t>
  </si>
  <si>
    <t>elargissement_du_chemin_vicinal</t>
  </si>
  <si>
    <t>conseil_de_police_seance_du_lund</t>
  </si>
  <si>
    <t>les_documents_officiels_du_dossi</t>
  </si>
  <si>
    <t>montant_du_jeton_de_presence_fra_29</t>
  </si>
  <si>
    <t>proces_verbaux_incluant_les_inte</t>
  </si>
  <si>
    <t>montant_du_jeton_de_presence_fra_32</t>
  </si>
  <si>
    <t>asbl_soutenues_par_la_commune</t>
  </si>
  <si>
    <t>demande_des_annexes_du_pv_dinfra</t>
  </si>
  <si>
    <t>organigramme</t>
  </si>
  <si>
    <t>transparence_des_mandats_liste_d_9</t>
  </si>
  <si>
    <t>transparence_des_mandats_liste_d_21</t>
  </si>
  <si>
    <t>competences_et_organisation_du_f</t>
  </si>
  <si>
    <t>composition_des_cabinets_du_bour_27</t>
  </si>
  <si>
    <t>sol_polues</t>
  </si>
  <si>
    <t>les_noms_des_membres_du_cabinet</t>
  </si>
  <si>
    <t>subsides_etou_emplois_acs_octroy</t>
  </si>
  <si>
    <t>transparence_des_mandats_liste_d</t>
  </si>
  <si>
    <t>informations_sur_les_dispositifs_142</t>
  </si>
  <si>
    <t>appel_doffre_huissier_de_justice</t>
  </si>
  <si>
    <t>tapis_de_fleurs_de_bruxelles_asb</t>
  </si>
  <si>
    <t>documents_amiante_des_ecoles_emi</t>
  </si>
  <si>
    <t>appel_doffre_huissiers_de_justic</t>
  </si>
  <si>
    <t>organisation_du_stationnement_bo</t>
  </si>
  <si>
    <t>pacte_de_majorite_2</t>
  </si>
  <si>
    <t>conseil_de_police_seance_du_lund_2</t>
  </si>
  <si>
    <t>zp5268_compte_2017</t>
  </si>
  <si>
    <t>montant_du_jeton_de_presence_fra_34</t>
  </si>
  <si>
    <t>nombres_de_voyageur_par_an</t>
  </si>
  <si>
    <t>appel_doffre_huissiers_de_justic_2</t>
  </si>
  <si>
    <t>seance_du_college_communal_2019</t>
  </si>
  <si>
    <t>demande_liste_des_batiments_aban</t>
  </si>
  <si>
    <t>conseil_dadministration</t>
  </si>
  <si>
    <t>demande_dinventaire_amiante_dans</t>
  </si>
  <si>
    <t>demande_dinventaire_amiante_dans_2</t>
  </si>
  <si>
    <t>evaluation_de_limpact_sur_la_vie_2</t>
  </si>
  <si>
    <t>demande_frequentation_du_reseau</t>
  </si>
  <si>
    <t>cadastre_complet_et_detaille_des</t>
  </si>
  <si>
    <t>liste_des_travaux_publics_molenb</t>
  </si>
  <si>
    <t>travaux_publics_sjtn</t>
  </si>
  <si>
    <t>justificatifs_des_remunerationsf_9</t>
  </si>
  <si>
    <t>zp5268_budget_2018</t>
  </si>
  <si>
    <t>justificatifs_des_remunerationsf_8</t>
  </si>
  <si>
    <t>realisation_de_marquage_thermopl</t>
  </si>
  <si>
    <t>frais_de_voyage_des_cabinets_du</t>
  </si>
  <si>
    <t>conseil_communal_seances_du_26_f</t>
  </si>
  <si>
    <t>aides_aux_autorites_publiques_da</t>
  </si>
  <si>
    <t>travaux_publics_detterbeek</t>
  </si>
  <si>
    <t>administrateurs_de_la_regie_fonc</t>
  </si>
  <si>
    <t>statuts_et_actes_de_lassociation</t>
  </si>
  <si>
    <t>comptes_et_budgets_de_la_ville_d</t>
  </si>
  <si>
    <t>liste_des_mandataires_du_foyer_s</t>
  </si>
  <si>
    <t>travaux_publics_2001_2016</t>
  </si>
  <si>
    <t>demande_dinventaire_amiante_dans_8</t>
  </si>
  <si>
    <t>decisions_et_registres_sur_les_d_169</t>
  </si>
  <si>
    <t>demande_dinventaire_amiante_dans_9</t>
  </si>
  <si>
    <t>emolument_et_attendance_des_admi_3</t>
  </si>
  <si>
    <t>justificatifs_des_remunerationsf_11</t>
  </si>
  <si>
    <t>courrier_envoye_par_la_ville_de</t>
  </si>
  <si>
    <t>informations_sur_les_dispositifs_144</t>
  </si>
  <si>
    <t>maison_pres_la_tour_demande_de_c</t>
  </si>
  <si>
    <t>registre_de_securite_des_ecoles</t>
  </si>
  <si>
    <t>evaluation_de_limpact_sur_la_vie_7</t>
  </si>
  <si>
    <t>plan_regional_de_developpement_d</t>
  </si>
  <si>
    <t>remuneration_du_president_du_por</t>
  </si>
  <si>
    <t>demande_dinventaire_amiante_des_2</t>
  </si>
  <si>
    <t>informations_sur_les_dispositifs_145</t>
  </si>
  <si>
    <t>seance_du_lundi_5_fevrier_2018_n</t>
  </si>
  <si>
    <t>avis_de_luvcw_sur_lacces_aux_doc</t>
  </si>
  <si>
    <t>documents_permettant_devaluer_le</t>
  </si>
  <si>
    <t>etude_transitec</t>
  </si>
  <si>
    <t>decisions_et_registres_sur_les_d_110</t>
  </si>
  <si>
    <t>presences_en_reunion_zone_de_sec</t>
  </si>
  <si>
    <t>justificatifs_des_remunerationsf_17</t>
  </si>
  <si>
    <t>conseil_de_police_du_20_juin_201</t>
  </si>
  <si>
    <t>justificatifs_des_remunerationsf_16</t>
  </si>
  <si>
    <t>art_5_de_larrete_du_gouvernement</t>
  </si>
  <si>
    <t>cpas_ixelles_remunerations_et_je</t>
  </si>
  <si>
    <t>liste_complete_du_conseil_dadmin</t>
  </si>
  <si>
    <t>notes_de_traitement_de_ma_demand</t>
  </si>
  <si>
    <t>documents_aminate_des_immeubles</t>
  </si>
  <si>
    <t>justificatifs_des_remunerationsf_18</t>
  </si>
  <si>
    <t>interventions_de_jean_pierre_fum</t>
  </si>
  <si>
    <t>liste_des_subsides_attribues_par_31</t>
  </si>
  <si>
    <t>obtenir_une_liste_des_prestatair</t>
  </si>
  <si>
    <t>reglementation_encadrant_le_cabi</t>
  </si>
  <si>
    <t>cabinets_des_bourgmestres_et_ech_8</t>
  </si>
  <si>
    <t>documents_concernant_lecole_fond</t>
  </si>
  <si>
    <t>conseil_provincial_seance_du_1er</t>
  </si>
  <si>
    <t>cabinets_des_bourgmestres_et_ech_7</t>
  </si>
  <si>
    <t>affectation_de_la_voie_publique</t>
  </si>
  <si>
    <t>montant_du_jeton_de_presence_fra_37</t>
  </si>
  <si>
    <t>informations_sur_les_dispositifs_146</t>
  </si>
  <si>
    <t>audit_evaluation_services_veteri</t>
  </si>
  <si>
    <t>acces_fisconetplus_professionnel</t>
  </si>
  <si>
    <t>criteres_dattribution_de_logemen</t>
  </si>
  <si>
    <t>audience_conseil_detat_du_2_mars</t>
  </si>
  <si>
    <t>organigramme_2</t>
  </si>
  <si>
    <t>offres_pour_sterilisation_et_cas</t>
  </si>
  <si>
    <t>cahier_de_charges_des_travaux_su</t>
  </si>
  <si>
    <t>projet_damenagement_zir_ndeg13_f_6</t>
  </si>
  <si>
    <t>rapport_2017_sur_la_transparence_17</t>
  </si>
  <si>
    <t>conseil_communal_seance_du_23_oc</t>
  </si>
  <si>
    <t>comptes_et_budgets_pour_les_anne</t>
  </si>
  <si>
    <t>maison_pres_la_tour_remarques_re</t>
  </si>
  <si>
    <t>informations_sur_les_dispositifs_184</t>
  </si>
  <si>
    <t>pv_dinfractions</t>
  </si>
  <si>
    <t>montant_du_jeton_de_presence_fra_68</t>
  </si>
  <si>
    <t>composition_des_cabinets_du_bour_28</t>
  </si>
  <si>
    <t>recours_au_conseil_detat_pour_le</t>
  </si>
  <si>
    <t>cabinets_des_bourgmestres_et_ech_9</t>
  </si>
  <si>
    <t>montant_du_jeton_de_presence_fra_60</t>
  </si>
  <si>
    <t>ordres_du_jour_et_des_pv_des_reu</t>
  </si>
  <si>
    <t>fisconetplus_marche_public</t>
  </si>
  <si>
    <t>frais_de_voyagesjustificatifs_et_4</t>
  </si>
  <si>
    <t>montant_du_jeton_de_presence_fra_41</t>
  </si>
  <si>
    <t>conseil_communal_seance_du_lundi_15</t>
  </si>
  <si>
    <t>nominations_et_jetons_de_presenc</t>
  </si>
  <si>
    <t>montant_du_jeton_de_presence_fra_42</t>
  </si>
  <si>
    <t>liste_du_personnel_communal_noms</t>
  </si>
  <si>
    <t>informations_detaillees_sur_les</t>
  </si>
  <si>
    <t>cabinets_des_bourgmestres_et_ech_13</t>
  </si>
  <si>
    <t>cabinets_des_bourgmestres_et_ech_12</t>
  </si>
  <si>
    <t>informations_sur_les_dispositifs_187</t>
  </si>
  <si>
    <t>composition_des_cabinets_du_bour_5</t>
  </si>
  <si>
    <t>demande_dacces_aux_documents_con</t>
  </si>
  <si>
    <t>demande_dacces_aux_documents_con_2</t>
  </si>
  <si>
    <t>conseil_communal_seance_du_lundi_14</t>
  </si>
  <si>
    <t>composition_des_cabinets_du_bour_8</t>
  </si>
  <si>
    <t>cadastre_complet_et_detaille_des_2</t>
  </si>
  <si>
    <t>situation_de_lun_de_vos_collabor</t>
  </si>
  <si>
    <t>rapport_2017_sur_la_transparence_13</t>
  </si>
  <si>
    <t>composition_des_cabinets_du_bour_20</t>
  </si>
  <si>
    <t>informations_sur_les_dispositifs_188</t>
  </si>
  <si>
    <t>documents_concernant_lacces_aux_3</t>
  </si>
  <si>
    <t>directive_relative_a_la_comptabi</t>
  </si>
  <si>
    <t>conseil_communal_seance_du_16_av</t>
  </si>
  <si>
    <t>decisions_et_registres_sur_les_d_177</t>
  </si>
  <si>
    <t>rapport_2017_sur_la_transparence_14</t>
  </si>
  <si>
    <t>rapport_2017_sur_la_transparence_5</t>
  </si>
  <si>
    <t>montant_du_jeton_de_presence_fra_44</t>
  </si>
  <si>
    <t>actes_de_nominationdemission_de</t>
  </si>
  <si>
    <t>gestion_des_dechets_et_cout_veri</t>
  </si>
  <si>
    <t>composition_des_cabinets_du_bour_2</t>
  </si>
  <si>
    <t>combien_de_membres_du_personnel</t>
  </si>
  <si>
    <t>controle_par_le_parlement_bruxel</t>
  </si>
  <si>
    <t>renovation_du_tunnel_leopold_ii</t>
  </si>
  <si>
    <t>documents_lies_au_nouveau_reglem</t>
  </si>
  <si>
    <t>je_souhaiterais_connaitre_les_po</t>
  </si>
  <si>
    <t>justificatifs_des_remunerationsf_19</t>
  </si>
  <si>
    <t>aide_etou_financement_des_auto_e</t>
  </si>
  <si>
    <t>nuit_blanche_2017</t>
  </si>
  <si>
    <t>desactivation_video_du_conseil_c</t>
  </si>
  <si>
    <t>subsides_concernant_les_diverses</t>
  </si>
  <si>
    <t>aides_aux_auto_ecoles_et_organis</t>
  </si>
  <si>
    <t>composition_des_cabinets_du_bour_6</t>
  </si>
  <si>
    <t>montant_du_jeton_de_presence_fra_45</t>
  </si>
  <si>
    <t>interpellation_citoyenne_du_17_j</t>
  </si>
  <si>
    <t>decisions_et_registres_sur_les_d_212</t>
  </si>
  <si>
    <t>composition_des_cabinets_du_bour_3</t>
  </si>
  <si>
    <t>projet_damenagement_zir_ndeg13_f_5</t>
  </si>
  <si>
    <t>justificatifs_des_remunerationsf_13</t>
  </si>
  <si>
    <t>cahier_de_charges_travaux_boulev</t>
  </si>
  <si>
    <t>liste_autorites_publiques_region</t>
  </si>
  <si>
    <t>lutte_contre_la_radicalisation</t>
  </si>
  <si>
    <t>demande_de_copie_des_documents_r_3</t>
  </si>
  <si>
    <t>information_concernant_les_otari</t>
  </si>
  <si>
    <t>le_statut_irresponsable_des_fonc</t>
  </si>
  <si>
    <t>informations_sur_les_dispositifs_192</t>
  </si>
  <si>
    <t>cout_du_partenariat_de_viva_for</t>
  </si>
  <si>
    <t>aide_etou_financement_des_auto_e_2</t>
  </si>
  <si>
    <t>conseil_communal_seance_du_11_se</t>
  </si>
  <si>
    <t>le_rapport_amiante_de_lecole_du</t>
  </si>
  <si>
    <t>montant_du_jeton_de_presence_fra_48</t>
  </si>
  <si>
    <t>liste_des_subsides_de_libge_aux_2</t>
  </si>
  <si>
    <t>conseil_communal_seance_du_lundi_16</t>
  </si>
  <si>
    <t>quartier_josaphat_projets_pour_b</t>
  </si>
  <si>
    <t>que_est_le_cout_du_changement_de</t>
  </si>
  <si>
    <t>madame_aung_san_suu_kyi_est_elle_13</t>
  </si>
  <si>
    <t>madame_aung_san_suu_kyi_est_elle_9</t>
  </si>
  <si>
    <t>madame_aung_san_suu_kyi_est_elle_16</t>
  </si>
  <si>
    <t>madame_aung_san_suu_kyi_est_elle_6</t>
  </si>
  <si>
    <t>madame_aung_san_suu_kyi_est_elle_8</t>
  </si>
  <si>
    <t>liste_des_subsides_de_libge_aux</t>
  </si>
  <si>
    <t>liste_des_marches_de_services_et</t>
  </si>
  <si>
    <t>liste_des_subsides_de_la_slrb_au</t>
  </si>
  <si>
    <t>notes_explicatives_des_conseils</t>
  </si>
  <si>
    <t>dossier_de_reconnaissance_offici</t>
  </si>
  <si>
    <t>pcs</t>
  </si>
  <si>
    <t>cabinets_des_bourgmestres_et_ech_14</t>
  </si>
  <si>
    <t>composition_des_cabinets_du_bour_12</t>
  </si>
  <si>
    <t>patrimoine_immobilier_de_la_vill_2</t>
  </si>
  <si>
    <t>montant_du_jeton_de_presence_fra_51</t>
  </si>
  <si>
    <t>seance_du_mardi_14_novembre_2017</t>
  </si>
  <si>
    <t>conseil_communal_seance_du_18_de</t>
  </si>
  <si>
    <t>cout_de_loperation_bouger_les_li</t>
  </si>
  <si>
    <t>montant_du_jeton_de_presence_fra_52</t>
  </si>
  <si>
    <t>composition_des_cabinets_du_bour_24</t>
  </si>
  <si>
    <t>conseil_provincial_seance_du_21</t>
  </si>
  <si>
    <t>requisition_dun_immeuble_inoccup</t>
  </si>
  <si>
    <t>conseil_communal_seance_du_11_de</t>
  </si>
  <si>
    <t>liste_des_batiments_dont_la_vill</t>
  </si>
  <si>
    <t>titres_salaires_fonctions_des_pe</t>
  </si>
  <si>
    <t>cabinets_des_bourgmestres_et_ech_19</t>
  </si>
  <si>
    <t>derniers_inventaires_amiante_des</t>
  </si>
  <si>
    <t>composition_des_cabinets_ministe</t>
  </si>
  <si>
    <t>montant_du_jeton_de_presence_fra_53</t>
  </si>
  <si>
    <t>composition_des_cabinets_du_bour_29</t>
  </si>
  <si>
    <t>conseil_communal_seance_du_9_avr_2</t>
  </si>
  <si>
    <t>procedure_de_control_de_ticket_d</t>
  </si>
  <si>
    <t>decisions_et_registres_sur_les_d_235</t>
  </si>
  <si>
    <t>demande_de_copie_des_documents_r</t>
  </si>
  <si>
    <t>conseil_de_police_seance_du_jeud_3</t>
  </si>
  <si>
    <t>conseil_de_police_seance_du_jeud</t>
  </si>
  <si>
    <t>frais_de_voyagesrapports_de_miss</t>
  </si>
  <si>
    <t>demande_de_models_4</t>
  </si>
  <si>
    <t>conseil_communal_seance_du_mercr_5</t>
  </si>
  <si>
    <t>frais_de_voyagesjustificatifs_et_3</t>
  </si>
  <si>
    <t>appels_doffres_et_contrats_signe</t>
  </si>
  <si>
    <t>permis_denvironnement_des_batime</t>
  </si>
  <si>
    <t>decisions_dattribution_de_jetons</t>
  </si>
  <si>
    <t>organigramme_lettre_de_mission_e_2</t>
  </si>
  <si>
    <t>decisions_et_registres_sur_les_d_240</t>
  </si>
  <si>
    <t>frais_de_voyage_des_cabinets_du_6</t>
  </si>
  <si>
    <t>frais_de_voyage_des_cabinets_du_7</t>
  </si>
  <si>
    <t>combien_de_membres_du_personnel_3</t>
  </si>
  <si>
    <t>statut_du_personnel_de_la_ville</t>
  </si>
  <si>
    <t>conseil_communal_seance_du_mercr_4</t>
  </si>
  <si>
    <t>justificatifs_des_frais_de_voyag_2</t>
  </si>
  <si>
    <t>comptes_2017_de_la_commune_de_di</t>
  </si>
  <si>
    <t>conseil_communal_seance_du_mardi</t>
  </si>
  <si>
    <t>conseil_communal_seance_du_mardi_4</t>
  </si>
  <si>
    <t>demande_de_copie_des_documents_r_2</t>
  </si>
  <si>
    <t>frais_de_voyagesjustificatifs_et_11</t>
  </si>
  <si>
    <t>etude_segefadocument_original_et</t>
  </si>
  <si>
    <t>composition_du_conseil_dadminist_2</t>
  </si>
  <si>
    <t>documents_lies_a_la_passation_de_10</t>
  </si>
  <si>
    <t>madame_aung_san_suu_kyi_est_elle_17</t>
  </si>
  <si>
    <t>publicite_active_seance_du_conse</t>
  </si>
  <si>
    <t>avis_de_rapport_dincidences_comp_3</t>
  </si>
  <si>
    <t>point_134_du_pv_du_21102019_elem</t>
  </si>
  <si>
    <t>conseil_communal_seance_du_3_dec</t>
  </si>
  <si>
    <t>conseil_communal_du_0312</t>
  </si>
  <si>
    <t>demande_du_protocole_daccord_voi</t>
  </si>
  <si>
    <t>documents_lies_a_la_passation_de_8</t>
  </si>
  <si>
    <t>frais_de_voyagesjustificatifs_et_12</t>
  </si>
  <si>
    <t>amenagements_du_lotissement_du_h</t>
  </si>
  <si>
    <t>documents_lies_a_la_passation_de_5</t>
  </si>
  <si>
    <t>information_concernant_les_asbl_2</t>
  </si>
  <si>
    <t>montant_du_jeton_de_presence_con_3</t>
  </si>
  <si>
    <t>conseil_communal_seance_du_17_de</t>
  </si>
  <si>
    <t>copie_du_dossier_pres_la_tour</t>
  </si>
  <si>
    <t>contrat_de_concession_du_site_de</t>
  </si>
  <si>
    <t>montant_du_jeton_de_presence_fra_69</t>
  </si>
  <si>
    <t>privatisation_de_la_gestion_des</t>
  </si>
  <si>
    <t>enquete_du_journal_lesoir_projet_58</t>
  </si>
  <si>
    <t>montant_du_jeton_de_presence_fra_74</t>
  </si>
  <si>
    <t>montant_du_jeton_de_presence_fra_70</t>
  </si>
  <si>
    <t>transparence_des_mandats_liste_d_6</t>
  </si>
  <si>
    <t>demande_des_registres_de_securit_16</t>
  </si>
  <si>
    <t>conseil_communal_seance_du_mercr_3</t>
  </si>
  <si>
    <t>registre_de_securite_des_ecoles_12</t>
  </si>
  <si>
    <t>evaluation_de_limpact_sur_la_vie_14</t>
  </si>
  <si>
    <t>documents_lies_a_la_passation_de_3</t>
  </si>
  <si>
    <t>budget_2019</t>
  </si>
  <si>
    <t>vue_tridimensionnelle_3d_projet</t>
  </si>
  <si>
    <t>justificatifs_des_remunerationsf_4</t>
  </si>
  <si>
    <t>justificatifs_des_remunerationsf_6</t>
  </si>
  <si>
    <t>justificatifs_des_remunerationsf_2</t>
  </si>
  <si>
    <t>justificatifs_des_remunerationsf_5</t>
  </si>
  <si>
    <t>composition_cabinets_des_bourgme</t>
  </si>
  <si>
    <t>demande_dinterpellation_citoyenn</t>
  </si>
  <si>
    <t>decisions_et_registres_sur_les_d_285</t>
  </si>
  <si>
    <t>composition_de_la_zone_de_police</t>
  </si>
  <si>
    <t>notes_explicatives_projets_de_de_3</t>
  </si>
  <si>
    <t>le_cadastre_de_lensemble_des_man</t>
  </si>
  <si>
    <t>demande_dacces_au_document_dacco</t>
  </si>
  <si>
    <t>jetons_de_presence_du_bureau_exe</t>
  </si>
  <si>
    <t>suite_de_laudit_de_securite_de_j</t>
  </si>
  <si>
    <t>etude_dincidence_lotissement_rue</t>
  </si>
  <si>
    <t>conseil_communal_seance_du_lundi_17</t>
  </si>
  <si>
    <t>appel_doffre_nouvelle_oeuvre_ann</t>
  </si>
  <si>
    <t>documents_preparatoires_du_proch_76</t>
  </si>
  <si>
    <t>cout_global_des_remunerations_et</t>
  </si>
  <si>
    <t>qui_a_demande_les_listes_delecte_5</t>
  </si>
  <si>
    <t>comptes_2017_de_la_rca_regie_com</t>
  </si>
  <si>
    <t>statut_du_personnel_de_la_provin_5</t>
  </si>
  <si>
    <t>logements_insalubres</t>
  </si>
  <si>
    <t>projet_du_nouveau_directeur_gene</t>
  </si>
  <si>
    <t>conditions_dentree_aux_intercomm</t>
  </si>
  <si>
    <t>qui_a_demande_les_listes_delecte_23</t>
  </si>
  <si>
    <t>budget_2018_ordinaire_et_extraor</t>
  </si>
  <si>
    <t>composition_des_cabinets_ministe_3</t>
  </si>
  <si>
    <t>autorisation_de_chantier_prison</t>
  </si>
  <si>
    <t>liste_des_batiments_inoccupes_a</t>
  </si>
  <si>
    <t>plan_devacuation_de_la_mega_pris</t>
  </si>
  <si>
    <t>projets_de_deliberation_des_poin_61</t>
  </si>
  <si>
    <t>arret_du_conseil_detat_projets_d</t>
  </si>
  <si>
    <t>reamenagement_des_abords_de_lanc_3</t>
  </si>
  <si>
    <t>notes_explicatives_de_synthese_d_11</t>
  </si>
  <si>
    <t>liste_des_asbl_subsidiees_par_le</t>
  </si>
  <si>
    <t>departement_cadre_de_vie_enquete</t>
  </si>
  <si>
    <t>inventaire_des_batiments_inoccup</t>
  </si>
  <si>
    <t>madame_aung_san_suu_kyi_est_elle_10</t>
  </si>
  <si>
    <t>demande_dacces_aux_documents_pub</t>
  </si>
  <si>
    <t>liste_des_asbl_subsidiees_par_le_14</t>
  </si>
  <si>
    <t>inventaire_des_batiments_inoccup_2</t>
  </si>
  <si>
    <t>demande_du_permis_dexploitation</t>
  </si>
  <si>
    <t>frais_de_voyagesjustificatifs_et_21</t>
  </si>
  <si>
    <t>frais_de_voyagesjustificatifs_et_22</t>
  </si>
  <si>
    <t>qui_a_demande_les_listes_delecte_61</t>
  </si>
  <si>
    <t>qui_a_demande_les_listes_delecte_50</t>
  </si>
  <si>
    <t>liste_decisions_de_justice_de_20</t>
  </si>
  <si>
    <t>qui_a_demande_les_listes_delecte_14</t>
  </si>
  <si>
    <t>lintegralite_des_dossiers_concer</t>
  </si>
  <si>
    <t>frais_de_voyagesjustificatifs_et_13</t>
  </si>
  <si>
    <t>frais_de_voyagesjustificatifs_et_25</t>
  </si>
  <si>
    <t>revenu_cadastral_maisons_angleur</t>
  </si>
  <si>
    <t>dossier_durbanisme_de_la_porcher</t>
  </si>
  <si>
    <t>liste_des_beneficiaires_des_prim</t>
  </si>
  <si>
    <t>frais_de_voyagesjustificatifs_et_20</t>
  </si>
  <si>
    <t>frais_de_voyagesjustificatifs_et_17</t>
  </si>
  <si>
    <t>cadastre_des_logements_inoccupes</t>
  </si>
  <si>
    <t>nouveau_reglement_dordre_interie</t>
  </si>
  <si>
    <t>enquete_du_vif_et_du_soir_projet_19</t>
  </si>
  <si>
    <t>prescriptions_urbanistiques_du_z</t>
  </si>
  <si>
    <t>plan_investissement_2019_2021</t>
  </si>
  <si>
    <t>liste_des_decisions_administrati</t>
  </si>
  <si>
    <t>frais_de_voyagesjustificatifs_et_26</t>
  </si>
  <si>
    <t>etude_scientifique_source_du_kee</t>
  </si>
  <si>
    <t>qui_doit_lever_lerreur_ladminist</t>
  </si>
  <si>
    <t>document_de_la_privacy_commissio</t>
  </si>
  <si>
    <t>frais_de_voyagesjustificatifs_et_24</t>
  </si>
  <si>
    <t>ville_de_tournai_extension_des_b</t>
  </si>
  <si>
    <t>conseil_de_police_seance_du_jeud_4</t>
  </si>
  <si>
    <t>frais_de_voyagesjustificatifs_et_16</t>
  </si>
  <si>
    <t>membre_de_votre_cabinet</t>
  </si>
  <si>
    <t>decisions_et_registres_sur_les_d_205</t>
  </si>
  <si>
    <t>maison_pres_la_tour_vente_urbani</t>
  </si>
  <si>
    <t>compte_de_resultat_et_bilan_de_l</t>
  </si>
  <si>
    <t>composition_des_cabinets_de_la_p_3</t>
  </si>
  <si>
    <t>comptes_2017_de_la_ville_de_verv</t>
  </si>
  <si>
    <t>pad_josaphat_reactions_des_river_2</t>
  </si>
  <si>
    <t>composition_des_cabinets_ministe_4</t>
  </si>
  <si>
    <t>reponse_de_lautorite_de_protecti</t>
  </si>
  <si>
    <t>conseil_de_police_seance_du_jeud_7</t>
  </si>
  <si>
    <t>composition_des_cabinets_du_bour_4</t>
  </si>
  <si>
    <t>commemoration_du_80eme_anniversa</t>
  </si>
  <si>
    <t>amenagement_du_lotissement_du_pa_2</t>
  </si>
  <si>
    <t>compositions_et_remuneration_des</t>
  </si>
  <si>
    <t>annexes_des_points_publics_conse</t>
  </si>
  <si>
    <t>documents_etablissant_les_budget</t>
  </si>
  <si>
    <t>la_liste_complete_de_horodateurs_2</t>
  </si>
  <si>
    <t>bilan_carbone_mega_prison_dharen</t>
  </si>
  <si>
    <t>a_propos_des_informations_a_dest</t>
  </si>
  <si>
    <t>registre_de_securite_des_ecoles_14</t>
  </si>
  <si>
    <t>projet_damenagement_zir_ndeg13_f_4</t>
  </si>
  <si>
    <t>toujours_a_propos_de_lenquete_co</t>
  </si>
  <si>
    <t>madame_aung_san_suu_kyi_est_elle_18</t>
  </si>
  <si>
    <t>projet_damenagement_zir_ndeg13_f_2</t>
  </si>
  <si>
    <t>annexes_et_projets_de_deliberati</t>
  </si>
  <si>
    <t>analyse_comparative_des_finances</t>
  </si>
  <si>
    <t>conseil_communal_de_mai_2021_pro</t>
  </si>
  <si>
    <t>appel_doffres_friche_josaphat</t>
  </si>
  <si>
    <t>roi_du_conseil_provincial</t>
  </si>
  <si>
    <t>combien_de_membres_du_personnel_2</t>
  </si>
  <si>
    <t>documents_preparatoires_du_proch_10</t>
  </si>
  <si>
    <t>composition_des_cabinets</t>
  </si>
  <si>
    <t>enquete_du_soir_et_du_vif_projet_17</t>
  </si>
  <si>
    <t>decisions_et_registres_sur_les_d_323</t>
  </si>
  <si>
    <t>demande_de_clarification_concern</t>
  </si>
  <si>
    <t>liste_des_subsides_attribues_par_34</t>
  </si>
  <si>
    <t>conseil_communal_pour_le_jeudi_3</t>
  </si>
  <si>
    <t>ag_de_ce_22_juin_copie_des_docum</t>
  </si>
  <si>
    <t>nomination_des_commissaires_du_g</t>
  </si>
  <si>
    <t>composition_des_cabinets_provinc</t>
  </si>
  <si>
    <t>bilan_comptable_festival_les_ren</t>
  </si>
  <si>
    <t>demande_de_patrimoine_5</t>
  </si>
  <si>
    <t>demande_sans_reponse_datant_de_2</t>
  </si>
  <si>
    <t>pv_de_vente</t>
  </si>
  <si>
    <t>demande_de_rectification_de_docu</t>
  </si>
  <si>
    <t>statut_des_attaches_parlementair</t>
  </si>
  <si>
    <t>demande_de_patrimoine_4</t>
  </si>
  <si>
    <t>documents_lies_a_la_passation_de_7</t>
  </si>
  <si>
    <t>budget_2017_et_2018_comptes_annu</t>
  </si>
  <si>
    <t>qui_a_demande_les_listes_delecte_4</t>
  </si>
  <si>
    <t>justificatifs_des_remunerationsf_12</t>
  </si>
  <si>
    <t>demande_de_patrimoine_6</t>
  </si>
  <si>
    <t>copie_des_archives_videos_de_la</t>
  </si>
  <si>
    <t>dossiers_administratifs_concerna</t>
  </si>
  <si>
    <t>mise_en_ligne_pv_12_2017_et_08_2</t>
  </si>
  <si>
    <t>qui_a_demande_les_listes_delecte</t>
  </si>
  <si>
    <t>montant_du_jeton_de_presence_fra_77</t>
  </si>
  <si>
    <t>montant_du_jeton_de_presence_fra_4</t>
  </si>
  <si>
    <t>cadastre_des_organismes_publics_3</t>
  </si>
  <si>
    <t>conseil_communal_seance_du_27_fe</t>
  </si>
  <si>
    <t>marche_public_pour_les_infrastru</t>
  </si>
  <si>
    <t>enquete_du_journal_le_vif_projet_15</t>
  </si>
  <si>
    <t>qui_a_demande_les_listes_delecte_3</t>
  </si>
  <si>
    <t>demande_de_patrimoine_8</t>
  </si>
  <si>
    <t>analyse_comparative_des_finances_2</t>
  </si>
  <si>
    <t>qui_a_demande_les_listes_delecte_16</t>
  </si>
  <si>
    <t>frais_de_voyage_des_cabinets_du_3</t>
  </si>
  <si>
    <t>rectification_demande</t>
  </si>
  <si>
    <t>qui_a_demande_les_listes_delecte_28</t>
  </si>
  <si>
    <t>frais_de_voyagesjustificatifs_et_2</t>
  </si>
  <si>
    <t>analyse_comparative_des_finances_128</t>
  </si>
  <si>
    <t>qui_a_demande_les_listes_delecte_25</t>
  </si>
  <si>
    <t>qui_a_demande_les_listes_delecte_15</t>
  </si>
  <si>
    <t>qui_a_demande_les_listes_delecte_21</t>
  </si>
  <si>
    <t>pvs_reunions_de_concertation_pla</t>
  </si>
  <si>
    <t>composition_des_cabinets_du_bour_9</t>
  </si>
  <si>
    <t>qui_a_demande_les_listes_delecte_11</t>
  </si>
  <si>
    <t>qui_a_demande_les_listes_delecte_9</t>
  </si>
  <si>
    <t>qui_a_demande_les_listes_delecte_8</t>
  </si>
  <si>
    <t>pad_friche_josaphat</t>
  </si>
  <si>
    <t>demande_de_patrimoine_3</t>
  </si>
  <si>
    <t>emoluments_des_echevins</t>
  </si>
  <si>
    <t>budget_2018_3</t>
  </si>
  <si>
    <t>qui_a_demande_les_listes_delecte_32</t>
  </si>
  <si>
    <t>qui_a_demande_les_listes_delecte_46</t>
  </si>
  <si>
    <t>qui_a_demande_les_listes_delecte_58</t>
  </si>
  <si>
    <t>qui_a_demande_les_listes_delecte_43</t>
  </si>
  <si>
    <t>qui_a_demande_les_listes_delecte_44</t>
  </si>
  <si>
    <t>qui_a_demande_les_listes_delecte_60</t>
  </si>
  <si>
    <t>qui_a_demande_les_listes_delecte_49</t>
  </si>
  <si>
    <t>qui_a_demande_les_listes_delecte_48</t>
  </si>
  <si>
    <t>qui_a_demande_les_listes_delecte_54</t>
  </si>
  <si>
    <t>qui_a_demande_les_listes_delecte_51</t>
  </si>
  <si>
    <t>qui_a_demande_les_listes_delecte_39</t>
  </si>
  <si>
    <t>qui_a_demande_les_listes_delecte_33</t>
  </si>
  <si>
    <t>enquete_ecole</t>
  </si>
  <si>
    <t>acces_aux_subventions_accordees</t>
  </si>
  <si>
    <t>decisions_et_registres_sur_les_d_236</t>
  </si>
  <si>
    <t>nombre_de_votes_par_procuration_8</t>
  </si>
  <si>
    <t>informations_sur_le_5g_et_le_por</t>
  </si>
  <si>
    <t>pad_josaphat_budget</t>
  </si>
  <si>
    <t>statut_des_attaches_parlementair_4</t>
  </si>
  <si>
    <t>cadastre_des_organismes_publics</t>
  </si>
  <si>
    <t>demande_pour_lobtention_de_lavis</t>
  </si>
  <si>
    <t>qui_a_demande_les_listes_delecte_57</t>
  </si>
  <si>
    <t>question_concernant_un_mandatair</t>
  </si>
  <si>
    <t>demande_contact_cellule_environn</t>
  </si>
  <si>
    <t>demande_de_patrimoine</t>
  </si>
  <si>
    <t>qui_a_demande_les_listes_delecte_31</t>
  </si>
  <si>
    <t>points_specifiques_des_pv_du_col_2</t>
  </si>
  <si>
    <t>reglementation_encadrant_le_cabi_2</t>
  </si>
  <si>
    <t>justificatifs_des_remunerationsf_10</t>
  </si>
  <si>
    <t>qui_a_demande_les_listes_delecte_41</t>
  </si>
  <si>
    <t>demande_de_documents_concernant_2</t>
  </si>
  <si>
    <t>rapports_dactivite_de_lasbl_euro</t>
  </si>
  <si>
    <t>conseil_provincial_seance_du_29</t>
  </si>
  <si>
    <t>pad_josaphat_reactions_des_river</t>
  </si>
  <si>
    <t>composition_des_cabinets_du_bour_19</t>
  </si>
  <si>
    <t>actes_de_nominationdemission_age</t>
  </si>
  <si>
    <t>rapport_2017_sur_la_transparence_8</t>
  </si>
  <si>
    <t>pad_josaphat_documents_relatifs</t>
  </si>
  <si>
    <t>avis_de_la_commission_federale_d</t>
  </si>
  <si>
    <t>qui_a_demande_les_listes_delecte_27</t>
  </si>
  <si>
    <t>linasep_etudie_limplantation_dun</t>
  </si>
  <si>
    <t>qui_a_demande_les_listes_delecte_19</t>
  </si>
  <si>
    <t>le_comite_consultatif_des_utilis</t>
  </si>
  <si>
    <t>pad_jospahat_documents_relatifs</t>
  </si>
  <si>
    <t>plan_cohesion_sociale</t>
  </si>
  <si>
    <t>permis_de_chantier_depot_stib_ma</t>
  </si>
  <si>
    <t>qui_a_demande_les_listes_delecte_45</t>
  </si>
  <si>
    <t>conseil_de_police_seance_du_mard</t>
  </si>
  <si>
    <t>annexes_des_points_publics_du_co_2</t>
  </si>
  <si>
    <t>enquete_du_soir_et_du_vif_projet_14</t>
  </si>
  <si>
    <t>trottoir_montagne_aux_ombres</t>
  </si>
  <si>
    <t>conseil_de_police_seance_lundi_1</t>
  </si>
  <si>
    <t>qui_a_demande_les_listes_delecte_30</t>
  </si>
  <si>
    <t>pad_friche_josaphat_etude_paysag</t>
  </si>
  <si>
    <t>montant_du_jeton_de_presence_fra_8</t>
  </si>
  <si>
    <t>qui_a_demande_les_listes_delecte_35</t>
  </si>
  <si>
    <t>conseil_communal_seance_du_lundi_71</t>
  </si>
  <si>
    <t>vente_de_bois_les_epioux</t>
  </si>
  <si>
    <t>qui_a_demande_les_listes_delecte_42</t>
  </si>
  <si>
    <t>montant_du_jeton_de_presence_fra_24</t>
  </si>
  <si>
    <t>frais_de_voyagesjustificatifs_et_18</t>
  </si>
  <si>
    <t>qui_a_demande_les_listes_delecte_40</t>
  </si>
  <si>
    <t>montant_du_jeton_de_presence_fra_22</t>
  </si>
  <si>
    <t>decisions_et_registres_sur_les_d_325</t>
  </si>
  <si>
    <t>conseil_communal_seance_du_lundi_54</t>
  </si>
  <si>
    <t>rapport_2017_sur_la_transparence_16</t>
  </si>
  <si>
    <t>elections_communales_2018_result_3</t>
  </si>
  <si>
    <t>marche_public_pour_les_infrastru_2</t>
  </si>
  <si>
    <t>rapport_2017_sur_la_transparence_3</t>
  </si>
  <si>
    <t>asbl_osmos_et_asbl_urban_ecology</t>
  </si>
  <si>
    <t>analyse_comparative_des_finances_180</t>
  </si>
  <si>
    <t>composition_des_cabinets_du_bour_34</t>
  </si>
  <si>
    <t>qui_a_demande_les_listes_delecte_56</t>
  </si>
  <si>
    <t>statut_du_personnel_de_la_provin_4</t>
  </si>
  <si>
    <t>rapport_2017_sur_la_transparence_4</t>
  </si>
  <si>
    <t>demande_de_copie_de_tous_les_con</t>
  </si>
  <si>
    <t>tarifs_de_prestation</t>
  </si>
  <si>
    <t>panneaux_electoraux_elections_de_2</t>
  </si>
  <si>
    <t>presences_en_reunion_organismes</t>
  </si>
  <si>
    <t>conseil_communal_seance_du_lundi_25</t>
  </si>
  <si>
    <t>conseil_communal_seance_du_lundi_32</t>
  </si>
  <si>
    <t>conseil_provincial_seance_du_26</t>
  </si>
  <si>
    <t>madame_aung_san_suu_kyi_est_elle_12</t>
  </si>
  <si>
    <t>madame_aung_san_suu_kyi_est_elle_11</t>
  </si>
  <si>
    <t>marche_public_huissier_de_justic</t>
  </si>
  <si>
    <t>madame_aung_san_suu_kyi_est_elle_14</t>
  </si>
  <si>
    <t>liste_des_subsides_de_la_slrb_au_2</t>
  </si>
  <si>
    <t>rapport_2017_sur_la_transparence_2</t>
  </si>
  <si>
    <t>montant_du_jeton_de_presence_fra_78</t>
  </si>
  <si>
    <t>statut_du_personnel_de_la_ville_10</t>
  </si>
  <si>
    <t>dates_de_debut_et_fin_de_mandats</t>
  </si>
  <si>
    <t>dates_et_lieux_des_assemblees_ge_2</t>
  </si>
  <si>
    <t>conseil_communal_seance_du_lundi_34</t>
  </si>
  <si>
    <t>statut_du_personnel_de_la_commun_17</t>
  </si>
  <si>
    <t>cadastre_batiments</t>
  </si>
  <si>
    <t>montant_du_jeton_de_presence_fra_79</t>
  </si>
  <si>
    <t>rapport_2017_sur_la_transparence_12</t>
  </si>
  <si>
    <t>projet_damenagement_zir_ndeg13_f_3</t>
  </si>
  <si>
    <t>projet_damenagement_zir_ndeg13_f</t>
  </si>
  <si>
    <t>conseil_communal_seance_du_lundi_59</t>
  </si>
  <si>
    <t>proces_verbaux_des_conseils_dadm</t>
  </si>
  <si>
    <t>composition_des_cabinets_du_bour_22</t>
  </si>
  <si>
    <t>liste_des_asbl_subsidiees_par_le_15</t>
  </si>
  <si>
    <t>statut_du_personnel_de_la_provin</t>
  </si>
  <si>
    <t>pad_friche_josaphat_2</t>
  </si>
  <si>
    <t>statut_du_personnel_de_la_provin_3</t>
  </si>
  <si>
    <t>pad_friche_josaphat_accroissemen</t>
  </si>
  <si>
    <t>statistiques_sur_la_criminalite</t>
  </si>
  <si>
    <t>statut_du_personnel_de_la_commun_5</t>
  </si>
  <si>
    <t>notes_explicatives_de_synthese_d_13</t>
  </si>
  <si>
    <t>enquete_du_journal_lesoir_projet_56</t>
  </si>
  <si>
    <t>demande_de_local_pour_asbl</t>
  </si>
  <si>
    <t>frais_de_voyages_justificatifs_e</t>
  </si>
  <si>
    <t>pad_friche_josaphat_procedure_de</t>
  </si>
  <si>
    <t>statut_du_personnel_de_la_provin_2</t>
  </si>
  <si>
    <t>statistique_2017_relatif_a_la_ta</t>
  </si>
  <si>
    <t>statistique_taxe_de_sejour</t>
  </si>
  <si>
    <t>conseil_de_police_seance_du_jeud_6</t>
  </si>
  <si>
    <t>demande_de_copie_de_lacte_de_ven</t>
  </si>
  <si>
    <t>conseil_de_police_seance_du_jeud_5</t>
  </si>
  <si>
    <t>liste_detaillee_de_tous_les_mand</t>
  </si>
  <si>
    <t>demande_de_reconsideration_chant</t>
  </si>
  <si>
    <t>conseil_communal_seance_du_lundi_63</t>
  </si>
  <si>
    <t>copie_pv_colleges_depuis_le_0101</t>
  </si>
  <si>
    <t>decisions_et_registres_sur_les_d_351</t>
  </si>
  <si>
    <t>cadastre_des_logements_insalubre</t>
  </si>
  <si>
    <t>deversement_classe_iii</t>
  </si>
  <si>
    <t>rapport_2017_sur_la_transparence_15</t>
  </si>
  <si>
    <t>liste_veterinaire</t>
  </si>
  <si>
    <t>contrat_de_renovation_urbaine_st_3</t>
  </si>
  <si>
    <t>extension_de_la_carriere_du_bois</t>
  </si>
  <si>
    <t>demande_urgente_de_puericultrice</t>
  </si>
  <si>
    <t>rapport_2017_sur_la_transparence_19</t>
  </si>
  <si>
    <t>rapport_2017_sur_la_transparence_7</t>
  </si>
  <si>
    <t>rapport_2017_sur_la_transparence</t>
  </si>
  <si>
    <t>appel_doffre_et_contrat_signe_av_3</t>
  </si>
  <si>
    <t>frais_de_voyagesjustificatifs_et_15</t>
  </si>
  <si>
    <t>mandats_fonctions_exerces_par_sv</t>
  </si>
  <si>
    <t>conseil_communal_du_17_septembre</t>
  </si>
  <si>
    <t>hall_polyvalent_de_la_ville_de_t</t>
  </si>
  <si>
    <t>statut_du_personnel_de_la_commun_15</t>
  </si>
  <si>
    <t>pad_friche_josaphat_budget</t>
  </si>
  <si>
    <t>rapport_2017_sur_la_transparence_6</t>
  </si>
  <si>
    <t>decisions_et_registres_sur_les_d_321</t>
  </si>
  <si>
    <t>frais_de_voyagesjustificatifs_et_23</t>
  </si>
  <si>
    <t>rapport_2017_sur_la_transparence_18</t>
  </si>
  <si>
    <t>organigramme_actuel_de_la_commun</t>
  </si>
  <si>
    <t>passage_chambon_1020_laeken_corr</t>
  </si>
  <si>
    <t>extraits_des_registres_aux_delib_2</t>
  </si>
  <si>
    <t>arretes_dinhabitabilite_6</t>
  </si>
  <si>
    <t>information_et_delivrance_de_cop</t>
  </si>
  <si>
    <t>beliris_serre_urbaine_1020_laeke_2</t>
  </si>
  <si>
    <t>annexes_des_points_publics_du_co</t>
  </si>
  <si>
    <t>conseil_communal_seance_du_lundi_36</t>
  </si>
  <si>
    <t>conseil_communal_seance_du_jeudi</t>
  </si>
  <si>
    <t>demande_de_reconsideration_de_la</t>
  </si>
  <si>
    <t>les_noms_des_conseillers_au_cons</t>
  </si>
  <si>
    <t>copie_du_reglement_medical_isppc</t>
  </si>
  <si>
    <t>rapport_2017_sur_la_transparence_11</t>
  </si>
  <si>
    <t>transparence_des_mandats_liste_d_8</t>
  </si>
  <si>
    <t>calendrier_travaux_renovation_du</t>
  </si>
  <si>
    <t>document_reprenant_les_montants</t>
  </si>
  <si>
    <t>cabinets_des_bourgmestres_et_ech_17</t>
  </si>
  <si>
    <t>montant_du_jeton_de_presence_fra_2</t>
  </si>
  <si>
    <t>montant_du_jeton_de_presence_fra_30</t>
  </si>
  <si>
    <t>travaux_dans_le_centre_de_pepins</t>
  </si>
  <si>
    <t>conseil_communal_seance_du_lundi_38</t>
  </si>
  <si>
    <t>fresque_martine_a_laeken_dossier</t>
  </si>
  <si>
    <t>information_relative_a_un_bail_d</t>
  </si>
  <si>
    <t>conseil_communal_seance_du_25_fe</t>
  </si>
  <si>
    <t>demande_de_la_liste_du_patrimoin_6</t>
  </si>
  <si>
    <t>cahier_des_charges_a_destination</t>
  </si>
  <si>
    <t>montant_du_jeton_de_presence_fra_10</t>
  </si>
  <si>
    <t>montant_du_jeton_de_presence_fra_46</t>
  </si>
  <si>
    <t>montant_du_jeton_de_presence_fra_40</t>
  </si>
  <si>
    <t>montant_du_jeton_de_presence_fra_64</t>
  </si>
  <si>
    <t>frais_de_voyagesjustificatifs_et_6</t>
  </si>
  <si>
    <t>serre_urbaine_1020_laeken_proces</t>
  </si>
  <si>
    <t>enquete_du_soir_et_du_vif_projet_20</t>
  </si>
  <si>
    <t>nombre_de_votes_par_procuration_16</t>
  </si>
  <si>
    <t>cabinets_mayoral_de_madame_targn</t>
  </si>
  <si>
    <t>conseil_communal_seance_du_mercr_7</t>
  </si>
  <si>
    <t>montant_du_jeton_de_presence_fra_56</t>
  </si>
  <si>
    <t>montant_du_jeton_de_presence_fra_58</t>
  </si>
  <si>
    <t>conseil_communal_seance_du_lundi_8</t>
  </si>
  <si>
    <t>decisions_et_registres_sur_les_d_151</t>
  </si>
  <si>
    <t>demande_du_resultat_dun_controle</t>
  </si>
  <si>
    <t>arretes_dinhabitabilite_8</t>
  </si>
  <si>
    <t>conseil_communal_seance_du_28_ma</t>
  </si>
  <si>
    <t>conseil_de_police_seance_du_jeud_2</t>
  </si>
  <si>
    <t>la_liste_des_asbl_subventionnees</t>
  </si>
  <si>
    <t>conseil_provincial_seance_du_28</t>
  </si>
  <si>
    <t>conseil_communal_seance_du_mardi_2</t>
  </si>
  <si>
    <t>annexes_de_oj_cc1210</t>
  </si>
  <si>
    <t>conseil_communal_seance_du_lundi_13</t>
  </si>
  <si>
    <t>conseil_communal_seance_du_mardi_3</t>
  </si>
  <si>
    <t>notes_techniques_sous_jacentes_a</t>
  </si>
  <si>
    <t>registre_2018_des_demandes_dacce</t>
  </si>
  <si>
    <t>fresque_floyd_1020_laeken_proces</t>
  </si>
  <si>
    <t>permis_durbanisme_accorde_a_lasb</t>
  </si>
  <si>
    <t>plan_strategique_transversal_pst</t>
  </si>
  <si>
    <t>enquete_du_vif_et_du_soir_projet_21</t>
  </si>
  <si>
    <t>note_explicative_du_conseil_comm</t>
  </si>
  <si>
    <t>qui_a_demande_les_listes_delecte_10</t>
  </si>
  <si>
    <t>qui_a_demande_les_listes_delecte_59</t>
  </si>
  <si>
    <t>qui_a_demande_les_listes_delecte_18</t>
  </si>
  <si>
    <t>liste_des_subsides_attribues_par_22</t>
  </si>
  <si>
    <t>conseil_communal_seance_du_lundi_48</t>
  </si>
  <si>
    <t>arrete_tutelle_region_bxl_suspen</t>
  </si>
  <si>
    <t>appel_doffre_pour_prestaires_du</t>
  </si>
  <si>
    <t>qui_a_demande_les_listes_delecte_36</t>
  </si>
  <si>
    <t>frais_de_voyagesjustificatifs_et_8</t>
  </si>
  <si>
    <t>qui_a_demande_les_listes_delecte_53</t>
  </si>
  <si>
    <t>qui_a_demande_les_listes_delecte_34</t>
  </si>
  <si>
    <t>conseil_communal_seance_du_12_ma</t>
  </si>
  <si>
    <t>qui_a_demande_les_listes_delecte_47</t>
  </si>
  <si>
    <t>qui_a_demande_les_listes_delecte_13</t>
  </si>
  <si>
    <t>coordinateur_de_securite_manquem</t>
  </si>
  <si>
    <t>notes_explicative_de_synthese_du_24</t>
  </si>
  <si>
    <t>montants_publicitaires_investis</t>
  </si>
  <si>
    <t>qui_a_demande_les_listes_delecte_38</t>
  </si>
  <si>
    <t>publication_site_internet_commun</t>
  </si>
  <si>
    <t>activite_carriere_bel_pierre_ent</t>
  </si>
  <si>
    <t>contrat_relatif_a_lenlevement_et</t>
  </si>
  <si>
    <t>qui_a_demande_les_listes_delecte_55</t>
  </si>
  <si>
    <t>qui_a_demande_les_listes_delecte_26</t>
  </si>
  <si>
    <t>qui_a_demande_les_listes_delecte_29</t>
  </si>
  <si>
    <t>enquete_du_vif_et_du_soir_projet_37</t>
  </si>
  <si>
    <t>qui_a_demande_les_listes_delecte_12</t>
  </si>
  <si>
    <t>liste_des_subventions_communales</t>
  </si>
  <si>
    <t>cabinets_des_bourgmestres_et_ech_5</t>
  </si>
  <si>
    <t>conseil_communal_seance_du_lundi_53</t>
  </si>
  <si>
    <t>dossier_creche_2</t>
  </si>
  <si>
    <t>repartition_des_couts_de_lenseig</t>
  </si>
  <si>
    <t>notes_explicatives_projets_de_de_31</t>
  </si>
  <si>
    <t>information_concernant_les_asbl</t>
  </si>
  <si>
    <t>demande_de_patrimoine_7</t>
  </si>
  <si>
    <t>conseil_communal_seance_du_lundi_55</t>
  </si>
  <si>
    <t>demande_de_reconsideration_dossi</t>
  </si>
  <si>
    <t>quels_sont_les_avantages_octroye</t>
  </si>
  <si>
    <t>panneaux_electoraux_elections_de</t>
  </si>
  <si>
    <t>conseil_communal_seance_du_lundi_56</t>
  </si>
  <si>
    <t>contrats_de_gestion_entre_la_pro</t>
  </si>
  <si>
    <t>publication_sur_le_site_internet</t>
  </si>
  <si>
    <t>organigramme_du_personnel_de_la</t>
  </si>
  <si>
    <t>atelier_serre_urbaine_21042021_e</t>
  </si>
  <si>
    <t>echanges_de_correspondances_la_m</t>
  </si>
  <si>
    <t>enquete_avec_la_presse_demande_d</t>
  </si>
  <si>
    <t>conseil_communal_seance_du_lundi_57</t>
  </si>
  <si>
    <t>frais_de_voyagesjustificatifs_et</t>
  </si>
  <si>
    <t>demande_de_la_copie_du_dossier_r</t>
  </si>
  <si>
    <t>reponse_interpellation_citoyenne</t>
  </si>
  <si>
    <t>enquete_avec_la_presse_demande_d_3</t>
  </si>
  <si>
    <t>enquete_publique_concernant_un_p_2</t>
  </si>
  <si>
    <t>projets_de_deliberations_5</t>
  </si>
  <si>
    <t>demande_de_documents_sur_le_trai_14</t>
  </si>
  <si>
    <t>proposition_dassouplissement_des</t>
  </si>
  <si>
    <t>immeuble_situe_avenue_charles_gi</t>
  </si>
  <si>
    <t>statut_du_personnel_de_la_commun_14</t>
  </si>
  <si>
    <t>travaux_urbanisme_dossier_de_dem</t>
  </si>
  <si>
    <t>conseil_communal_seance_du_lundi_69</t>
  </si>
  <si>
    <t>dossier_creche_nouvelle_demande</t>
  </si>
  <si>
    <t>demande_dinventaire_amiante_des_3</t>
  </si>
  <si>
    <t>demande_des_2_dernieres_versions</t>
  </si>
  <si>
    <t>liste_des_asbl_subsidiees_par_le_16</t>
  </si>
  <si>
    <t>nombre_de_votes_par_procuration_7</t>
  </si>
  <si>
    <t>courrier_envoye_a_lautorite_de_p</t>
  </si>
  <si>
    <t>presences_en_reunion_zone_de_pol</t>
  </si>
  <si>
    <t>organigramme_cpas</t>
  </si>
  <si>
    <t>demande_de_la_composition_de</t>
  </si>
  <si>
    <t>contrats_de_prestation_de_servic</t>
  </si>
  <si>
    <t>listing_des_logements_inoccupes_18</t>
  </si>
  <si>
    <t>enquete_avec_la_presse_demande_d_4</t>
  </si>
  <si>
    <t>demande_dinformation_concernant_2</t>
  </si>
  <si>
    <t>decisions_et_registres_sur_les_d_347</t>
  </si>
  <si>
    <t>documents_preparatoires_du_proch_78</t>
  </si>
  <si>
    <t>organigramme_lettre_de_mission_e</t>
  </si>
  <si>
    <t>panneaux_electoraux_elections_de_3</t>
  </si>
  <si>
    <t>etudes_concernant_utilisation_du</t>
  </si>
  <si>
    <t>cabinets_des_bourgmestres_et_ech_6</t>
  </si>
  <si>
    <t>taxe_immondice_cout_verite_budge</t>
  </si>
  <si>
    <t>nombre_de_votes_par_procuration_13</t>
  </si>
  <si>
    <t>etude_pour_la_conservation_des_f</t>
  </si>
  <si>
    <t>organigramme_ou_cadre_du_personn</t>
  </si>
  <si>
    <t>incident_fixmystreet_ordre_de_mi</t>
  </si>
  <si>
    <t>enquete_avec_la_presse_demande_d_8</t>
  </si>
  <si>
    <t>composition_des_cabinets_du_bour_38</t>
  </si>
  <si>
    <t>bande_enherbee_le_long_des_ruiss</t>
  </si>
  <si>
    <t>obtention_du_dossier_qui_traite</t>
  </si>
  <si>
    <t>concerne_deplacement_en_voiture_2</t>
  </si>
  <si>
    <t>notes_explicatives_de_synthese_d_18</t>
  </si>
  <si>
    <t>arrete_ministeriel_du_06_octobre</t>
  </si>
  <si>
    <t>arretes_dinhabitabilite_24</t>
  </si>
  <si>
    <t>rapport_definitif_du_pacte_natio</t>
  </si>
  <si>
    <t>document_du_commissariat_general</t>
  </si>
  <si>
    <t>budget_2021</t>
  </si>
  <si>
    <t>enquete_avec_la_presse_demande_d_10</t>
  </si>
  <si>
    <t>analyse_comparative_des_finances_3</t>
  </si>
  <si>
    <t>dossier_creche</t>
  </si>
  <si>
    <t>liste_des_asbl_subsidiees_par_la</t>
  </si>
  <si>
    <t>bdd_agendabrussels</t>
  </si>
  <si>
    <t>conseil_communal_seance_du_lundi_30</t>
  </si>
  <si>
    <t>plan_strategique_transversal_pst_2</t>
  </si>
  <si>
    <t>liste_complete_des_subsides_du_m</t>
  </si>
  <si>
    <t>copie_du_pv_relatif_a_la_prestat</t>
  </si>
  <si>
    <t>demande_dune_copie_de_convention</t>
  </si>
  <si>
    <t>notes_explicatives_projets_de_de_27</t>
  </si>
  <si>
    <t>objet_demande_de_confirmation_de</t>
  </si>
  <si>
    <t>demande_du_slide_show_a_propos_d</t>
  </si>
  <si>
    <t>copie_circulaire_administrative</t>
  </si>
  <si>
    <t>decisions_et_registres_sur_les_d_39</t>
  </si>
  <si>
    <t>demande_de_documents_a_propos_du_2</t>
  </si>
  <si>
    <t>conseil_communal_seance_du_lundi_22</t>
  </si>
  <si>
    <t>subsides_octroyes_par_lone_a_las</t>
  </si>
  <si>
    <t>zone_basse_emission</t>
  </si>
  <si>
    <t>cadastre_des_organismes_publics_2</t>
  </si>
  <si>
    <t>agenda_des_seances_du_conseil_du</t>
  </si>
  <si>
    <t>liste_des_subsidessubventions_as</t>
  </si>
  <si>
    <t>demande_de_la_liste_du_patrimoin_8</t>
  </si>
  <si>
    <t>composition_des_cabinets_du_bour_32</t>
  </si>
  <si>
    <t>frais_de_voyagesjustificatifs_et_19</t>
  </si>
  <si>
    <t>notes_explicatives_de_synthese_d_59</t>
  </si>
  <si>
    <t>conseil_communal_seance_du_lundi_33</t>
  </si>
  <si>
    <t>cadastre_des_logements_insalubre_2</t>
  </si>
  <si>
    <t>demande_des_registres_de_securit</t>
  </si>
  <si>
    <t>pcs_et_plan_prevention_les_chang</t>
  </si>
  <si>
    <t>musee_de_tancremont_gestion_par</t>
  </si>
  <si>
    <t>conseil_communal_seance_du_lundi_31</t>
  </si>
  <si>
    <t>site_de_lancienne_cimenterie_dha</t>
  </si>
  <si>
    <t>publications_des_prochains_conse_10</t>
  </si>
  <si>
    <t>etude_sauvetage_fresque_annie_co</t>
  </si>
  <si>
    <t>conseil_communal_seance_du_lundi_37</t>
  </si>
  <si>
    <t>enquete_avec_la_presse_demande_d_11</t>
  </si>
  <si>
    <t>demande_dinformations_sur_le_mag</t>
  </si>
  <si>
    <t>conseil_communal_seance_du_lundi_35</t>
  </si>
  <si>
    <t>cadastre_des_immeubles_et_logeme</t>
  </si>
  <si>
    <t>cabinets_des_bourgmestres_et_ech_3</t>
  </si>
  <si>
    <t>enquete_avec_la_presse_demande_d_12</t>
  </si>
  <si>
    <t>conseil_communal_seance_du_lundi_39</t>
  </si>
  <si>
    <t>enquete_avec_la_presse_demande_d_19</t>
  </si>
  <si>
    <t>documents_sur_la_vente_pr_1_euro</t>
  </si>
  <si>
    <t>notes_explicatives_de_synthese_d_61</t>
  </si>
  <si>
    <t>statut_du_personnel_de_la_commun_16</t>
  </si>
  <si>
    <t>concerne_enquete_vifsoir_transpa_33</t>
  </si>
  <si>
    <t>conseil_communal_du_mois_de_mars</t>
  </si>
  <si>
    <t>projets_de_deliberation_des_poin_31</t>
  </si>
  <si>
    <t>conseil_communal_seance_du_lundi_58</t>
  </si>
  <si>
    <t>demande_de_copie_de_dossiers_inh</t>
  </si>
  <si>
    <t>compte_rendu_du_ca_de_mai_2020</t>
  </si>
  <si>
    <t>conseil_communal_seance_du_lundi_40</t>
  </si>
  <si>
    <t>decisions_et_registres_sur_les_d_16</t>
  </si>
  <si>
    <t>reamenagement_de_la_place_d_auve</t>
  </si>
  <si>
    <t>depliants_informatifs_copies_con</t>
  </si>
  <si>
    <t>etude_horeca_parvis_notre_dame_1</t>
  </si>
  <si>
    <t>conseil_communal_seance_du_lundi_41</t>
  </si>
  <si>
    <t>charges_urbanistiques_prison_dha</t>
  </si>
  <si>
    <t>reglement_justifiant_les_non_rem</t>
  </si>
  <si>
    <t>conseil_communal_seance_du_lundi_61</t>
  </si>
  <si>
    <t>informations_sur_les_dispositifs_29</t>
  </si>
  <si>
    <t>informations_sur_les_dispositifs_32</t>
  </si>
  <si>
    <t>informations_sur_les_dispositifs_30</t>
  </si>
  <si>
    <t>notes_explicatives_de_synthese_d_62</t>
  </si>
  <si>
    <t>asbl_pays_haute_ambleve</t>
  </si>
  <si>
    <t>charte_du_cyclopartage_en_libre</t>
  </si>
  <si>
    <t>analyse_de_cout_de_la_motion_rel</t>
  </si>
  <si>
    <t>conseil_communal_seance_du_samed</t>
  </si>
  <si>
    <t>cahier_des_charges_reamenagement</t>
  </si>
  <si>
    <t>pv_de_la_reunion_de_concertation</t>
  </si>
  <si>
    <t>seance_du_college_communal_2019_2021</t>
  </si>
  <si>
    <t>documents_sur_ventestracabilite</t>
  </si>
  <si>
    <t>informations_sur_les_dispositifs_37</t>
  </si>
  <si>
    <t>conseil_communal_seance_du_lundi_42</t>
  </si>
  <si>
    <t>nombre_de_votes_par_procuration_6</t>
  </si>
  <si>
    <t>conseil_communal_de_fevrier_docu</t>
  </si>
  <si>
    <t>conseil_communal_de_mars_documen</t>
  </si>
  <si>
    <t>appel_doffre_et_contrat_signe_av_2</t>
  </si>
  <si>
    <t>demande_des_registres_de_securit_3</t>
  </si>
  <si>
    <t>annexes_des_projets_de_deliberat</t>
  </si>
  <si>
    <t>informations_sur_les_dispositifs_40</t>
  </si>
  <si>
    <t>quelle_est_la_date_estimee_pour</t>
  </si>
  <si>
    <t>demande_de_documents_suite_au_cc</t>
  </si>
  <si>
    <t>combien_il_y_a_t_il_de_vehicules</t>
  </si>
  <si>
    <t>recettes_et_depenses_2019_pour_l</t>
  </si>
  <si>
    <t>conseil_communal_seance_du_lundi_43</t>
  </si>
  <si>
    <t>demande_au_nom_de_la_liberte_dac</t>
  </si>
  <si>
    <t>conseil_communal_seance_du_lundi_47</t>
  </si>
  <si>
    <t>rapports_des_controles_incendie</t>
  </si>
  <si>
    <t>projets_de_deliberations_du_cons</t>
  </si>
  <si>
    <t>enquete_avec_la_presse_demande_d_20</t>
  </si>
  <si>
    <t>reglementation_concernant_le_gra</t>
  </si>
  <si>
    <t>rapport_de_linspection_du_bien_e</t>
  </si>
  <si>
    <t>larrete_de_lexecutif</t>
  </si>
  <si>
    <t>informations_sur_les_dispositifs_49</t>
  </si>
  <si>
    <t>informations_sur_les_dispositifs_54</t>
  </si>
  <si>
    <t>informations_sur_les_dispositifs_50</t>
  </si>
  <si>
    <t>demande_des_registres_de_securit_4</t>
  </si>
  <si>
    <t>conseil_communal_seance_du_mercr_6</t>
  </si>
  <si>
    <t>conseil_communal_seance_du_lundi_24</t>
  </si>
  <si>
    <t>amenagement_dune_maison_de_villa_2</t>
  </si>
  <si>
    <t>decisions_et_registres_sur_les_d_141</t>
  </si>
  <si>
    <t>asbl_soutenues_par_la_commune_2</t>
  </si>
  <si>
    <t>accessibilite_des_batiments_aux</t>
  </si>
  <si>
    <t>conseil_communal_seance_du_lundi_51</t>
  </si>
  <si>
    <t>transit_des_camions</t>
  </si>
  <si>
    <t>controle_du_pont_walrand</t>
  </si>
  <si>
    <t>ippj_appels_doffre_fournisseurs</t>
  </si>
  <si>
    <t>notes_explicatives_projets_de_de_13</t>
  </si>
  <si>
    <t>conseil_communal_seance_du_lundi_26</t>
  </si>
  <si>
    <t>demande_des_registres_de_securit_5</t>
  </si>
  <si>
    <t>cabinets_des_bourgmestres_et_ech_4</t>
  </si>
  <si>
    <t>registre_de_securite_des_ecoles_9</t>
  </si>
  <si>
    <t>notes_explicatives_de_synthese_d_63</t>
  </si>
  <si>
    <t>objet_demande_concernant_la_lega</t>
  </si>
  <si>
    <t>pcdn_stoumont</t>
  </si>
  <si>
    <t>documents_preparatoires_du_proch_77</t>
  </si>
  <si>
    <t>cahier_des_charges_reamenagement_2</t>
  </si>
  <si>
    <t>informations_sur_les_dispositifs_59</t>
  </si>
  <si>
    <t>statut_du_personnel_de_la_commun</t>
  </si>
  <si>
    <t>nombre_de_votes_par_procuration_2</t>
  </si>
  <si>
    <t>conseil_communal_seance_du_lundi_60</t>
  </si>
  <si>
    <t>informations_sur_les_dispositifs_79</t>
  </si>
  <si>
    <t>liste_des_asbl_subsidiees_par_le_2</t>
  </si>
  <si>
    <t>documents_sur_tracabiliteventes_8</t>
  </si>
  <si>
    <t>enquete_avec_la_presse_demande_d_22</t>
  </si>
  <si>
    <t>liste_des_personnes_engagees_par_2</t>
  </si>
  <si>
    <t>cadastre_des_emplacements_reserv_2</t>
  </si>
  <si>
    <t>reglement_communal_concernant_la</t>
  </si>
  <si>
    <t>informations_sur_les_dispositifs_86</t>
  </si>
  <si>
    <t>conseil_communal_seance_du_lundi_28</t>
  </si>
  <si>
    <t>concerne_deplacement_en_voiture</t>
  </si>
  <si>
    <t>larrete_de_lexecutif_2</t>
  </si>
  <si>
    <t>documents_preparatoires_du_proch_79</t>
  </si>
  <si>
    <t>guide_pour_la_preparation_du_dos</t>
  </si>
  <si>
    <t>informations_sur_les_dispositifs_87</t>
  </si>
  <si>
    <t>la_vallonia</t>
  </si>
  <si>
    <t>demande_des_registres_de_securit_6</t>
  </si>
  <si>
    <t>mise_en_ligne_des_dossier_comple</t>
  </si>
  <si>
    <t>conseil_communal_seance_du_mardi_5</t>
  </si>
  <si>
    <t>justificatifs_des_remunerationsf_7</t>
  </si>
  <si>
    <t>conseil_communal_seance_du_lundi_29</t>
  </si>
  <si>
    <t>documents_preparatoires_du_proch_20</t>
  </si>
  <si>
    <t>je_voudrais_avoir_les_statistiqu</t>
  </si>
  <si>
    <t>objet_demande_concernant_le_stat</t>
  </si>
  <si>
    <t>conseil_communal_seance_du_lundi_62</t>
  </si>
  <si>
    <t>informations_sur_les_dispositifs_94</t>
  </si>
  <si>
    <t>composition_des_bureaux_de_vote</t>
  </si>
  <si>
    <t>notes_explicatives_de_synthese_d_64</t>
  </si>
  <si>
    <t>conseil_communal_seance_du_lundi_44</t>
  </si>
  <si>
    <t>decisions_et_registres_sur_les_d_198</t>
  </si>
  <si>
    <t>objet_demande_de_clarification_j</t>
  </si>
  <si>
    <t>decisions_et_registres_sur_les_d_202</t>
  </si>
  <si>
    <t>fresque_george_floyd_convention</t>
  </si>
  <si>
    <t>documents_administratifs_relatif</t>
  </si>
  <si>
    <t>a_lattention_du_service_de_letat</t>
  </si>
  <si>
    <t>conseil_provincial_seance_du_20</t>
  </si>
  <si>
    <t>liste_des_asbl_subsidiees_par_le_4</t>
  </si>
  <si>
    <t>nombre_de_personnes_percevant_le</t>
  </si>
  <si>
    <t>conseil_communal_seance_du_lundi_46</t>
  </si>
  <si>
    <t>documents_sur_tracabiliteventes_9</t>
  </si>
  <si>
    <t>demande_de_documents</t>
  </si>
  <si>
    <t>pv_meeting_reunion_de_demarrage</t>
  </si>
  <si>
    <t>demande_des_registres_de_securit_7</t>
  </si>
  <si>
    <t>demande_de_reconsideration_trans</t>
  </si>
  <si>
    <t>demande_dinformations_sur_le_fon</t>
  </si>
  <si>
    <t>demande_de_communication_des_doc</t>
  </si>
  <si>
    <t>registre_des_demandes_de_documen</t>
  </si>
  <si>
    <t>genre_et_situation_familliale_al</t>
  </si>
  <si>
    <t>pv_reunion_du_ca_du_12_juin_2019</t>
  </si>
  <si>
    <t>subsides_accordes_a_lasbl_dour_e_2</t>
  </si>
  <si>
    <t>nombre_de_plaintes_pour_calomnie</t>
  </si>
  <si>
    <t>cabinets_des_bourgmestres_et_ech_11</t>
  </si>
  <si>
    <t>ventilation_du_budget_des_provin</t>
  </si>
  <si>
    <t>transmission_illegale_de_donnees</t>
  </si>
  <si>
    <t>nombre_de_votes_par_procuration</t>
  </si>
  <si>
    <t>notes_explicatives_du_prochain_c</t>
  </si>
  <si>
    <t>demande_des_registres_de_securit_8</t>
  </si>
  <si>
    <t>college_urbanisme_reglement_dord</t>
  </si>
  <si>
    <t>nombre_de_votes_par_procuration_17</t>
  </si>
  <si>
    <t>documents_sur_tracabiliteventes_10</t>
  </si>
  <si>
    <t>conseil_communal_seance_du_lundi_2</t>
  </si>
  <si>
    <t>avant_projet_reamenagement_de_la</t>
  </si>
  <si>
    <t>nombre_de_votes_par_procuration_3</t>
  </si>
  <si>
    <t>composition_des_cabinets_du_bour_51</t>
  </si>
  <si>
    <t>prime_adel</t>
  </si>
  <si>
    <t>demolition_de_la_maison_du_peupl</t>
  </si>
  <si>
    <t>demande_dinformation_concernant</t>
  </si>
  <si>
    <t>enquete_avec_la_presse_demande_d_25</t>
  </si>
  <si>
    <t>rapport_daudit_musee_kanal_regio</t>
  </si>
  <si>
    <t>demande_de_documents_suite_au_co</t>
  </si>
  <si>
    <t>demande_dacces_a_des_information</t>
  </si>
  <si>
    <t>registre_de_securite_des_ecoles_3</t>
  </si>
  <si>
    <t>code_de_lenvironnement_demande_d</t>
  </si>
  <si>
    <t>permis_durbanisme_accorde_a_lasb_2</t>
  </si>
  <si>
    <t>nombre_de_votes_par_procuration_18</t>
  </si>
  <si>
    <t>conseil_de_police_seance_du_lund_3</t>
  </si>
  <si>
    <t>fixmystreet_bruxelles_inventaire</t>
  </si>
  <si>
    <t>projet_fusion_abri_de_nuit_et_de</t>
  </si>
  <si>
    <t>rapport_relatif_a_la_reforme_des</t>
  </si>
  <si>
    <t>demande_de_documents_sur_le_trai_19</t>
  </si>
  <si>
    <t>statistique_sur_lallocation_comm</t>
  </si>
  <si>
    <t>nombre_de_votes_par_procuration_4</t>
  </si>
  <si>
    <t>vente_de_bois_du_5_decembre_2023</t>
  </si>
  <si>
    <t>dossier_creche_reiteration_et_ex</t>
  </si>
  <si>
    <t>dossier_creche_reiteration_de_ma</t>
  </si>
  <si>
    <t>projets_de_deliberation_des_poin_6</t>
  </si>
  <si>
    <t>arretes_dinhabitabilite_9</t>
  </si>
  <si>
    <t>conseil_communal_du_19092022</t>
  </si>
  <si>
    <t>notes_explicatives_de_synthese_d_66</t>
  </si>
  <si>
    <t>foire_du_midi_2</t>
  </si>
  <si>
    <t>arretes_dinhabitabilite_10</t>
  </si>
  <si>
    <t>composition_des_cabinets_du_bour_31</t>
  </si>
  <si>
    <t>demande_de_confirmation_de_la_le</t>
  </si>
  <si>
    <t>nombre_de_personnes_en_adresse_d</t>
  </si>
  <si>
    <t>enquete_avec_la_presse_demande_d_29</t>
  </si>
  <si>
    <t>cabinets_des_bourgmestres_et_ech_16</t>
  </si>
  <si>
    <t>objet_demande_dacces_a_la_liste</t>
  </si>
  <si>
    <t>rapport_devaluation_globale_des</t>
  </si>
  <si>
    <t>statut_du_personnel_de_la_ville_6</t>
  </si>
  <si>
    <t>nombre_de_votes_par_procuration_5</t>
  </si>
  <si>
    <t>demande_des_registres_de_securit_10</t>
  </si>
  <si>
    <t>statut_administratif_et_pecuniai</t>
  </si>
  <si>
    <t>cadastre_des_immeubles_inoccupes</t>
  </si>
  <si>
    <t>statut_du_personnel_de_la_ville_11</t>
  </si>
  <si>
    <t>pad_josaphat_cession_de_propriet</t>
  </si>
  <si>
    <t>politique_de_mutualisation_ou_ex</t>
  </si>
  <si>
    <t>informations_relatives_aux_dispo</t>
  </si>
  <si>
    <t>demande_dune_copie_du_recours_nd</t>
  </si>
  <si>
    <t>demande_dune_copie_du_rapport_r</t>
  </si>
  <si>
    <t>informations_relatives_aux_dispo_2</t>
  </si>
  <si>
    <t>documents_ayant_trait_a_la_remun_3</t>
  </si>
  <si>
    <t>presences_en_reunion_cpas_2</t>
  </si>
  <si>
    <t>nombre_de_votes_par_procuration_9</t>
  </si>
  <si>
    <t>recrutement_gardiens_de_parc</t>
  </si>
  <si>
    <t>notes_explicatives_de_synthese_d_68</t>
  </si>
  <si>
    <t>demande_du_montants_des_subsides</t>
  </si>
  <si>
    <t>nombre_de_votes_par_procuration_12</t>
  </si>
  <si>
    <t>documents_sur_tracabiliteventes_11</t>
  </si>
  <si>
    <t>cabinets_des_bourgmestres_et_ech_15</t>
  </si>
  <si>
    <t>statut_du_personnel_de_la_ville_7</t>
  </si>
  <si>
    <t>liste_des_asbl_subsidiees_par_le_6</t>
  </si>
  <si>
    <t>demande_des_registres_de_securit_11</t>
  </si>
  <si>
    <t>pv_reunion_dossier_beliris_ndeg4</t>
  </si>
  <si>
    <t>conseil_communal_seance_du_lundi_23</t>
  </si>
  <si>
    <t>enquete_avec_la_presse_demande_d_30</t>
  </si>
  <si>
    <t>demande_copie_de_jugement_2024</t>
  </si>
  <si>
    <t>nombre_de_votes_par_procuration_11</t>
  </si>
  <si>
    <t>contrat_de_mobilier_urbain_a_lie</t>
  </si>
  <si>
    <t>nombre_de_votes_par_procuration_14</t>
  </si>
  <si>
    <t>demande_de_transparence_enquete</t>
  </si>
  <si>
    <t>demande_des_registres_de_securit_12</t>
  </si>
  <si>
    <t>echanges_courriers_avec_le_cabin</t>
  </si>
  <si>
    <t>le_reglement_redevance_pour_le_s</t>
  </si>
  <si>
    <t>le_cadastre_des_subsides_accorde</t>
  </si>
  <si>
    <t>nombre_de_votes_par_procuration_15</t>
  </si>
  <si>
    <t>conseil_communal_seance_du_lundi_21</t>
  </si>
  <si>
    <t>conseil_communal_seance_du_lundi_50</t>
  </si>
  <si>
    <t>nombre_de_votes_par_procuration_19</t>
  </si>
  <si>
    <t>contrat_de_prestation_de_service</t>
  </si>
  <si>
    <t>composition_des_cabinets_du_bour_33</t>
  </si>
  <si>
    <t>subsides_aux_asbl</t>
  </si>
  <si>
    <t>demande_des_registres_de_securit_13</t>
  </si>
  <si>
    <t>projets_de_deliberation_des_poin_36</t>
  </si>
  <si>
    <t>demande_de_communication_de_docu</t>
  </si>
  <si>
    <t>informations_relatives_aux_dispo_3</t>
  </si>
  <si>
    <t>statut_du_personnel_de_la_ville_2</t>
  </si>
  <si>
    <t>poids_lourds_et_cars_en_stationn</t>
  </si>
  <si>
    <t>compte_rendu_du_ca_de_fin_mai_20</t>
  </si>
  <si>
    <t>projet_cultivons_des_legumes_pou</t>
  </si>
  <si>
    <t>refuse_dune_aide_a_la_garantie_l</t>
  </si>
  <si>
    <t>documents_sur_tracabiliteventes_12</t>
  </si>
  <si>
    <t>pad_friche_josaphat_propriete_de</t>
  </si>
  <si>
    <t>reamenagement_du_pont_des_trous</t>
  </si>
  <si>
    <t>voitures_de_societe_notes_du_com</t>
  </si>
  <si>
    <t>montant_du_jeton_de_presence_fra_33</t>
  </si>
  <si>
    <t>conseil_communal_seance_du_lundi_70</t>
  </si>
  <si>
    <t>vente_des_forets_au_cpas_de_mons</t>
  </si>
  <si>
    <t>statut_du_personnel_de_la_ville_3</t>
  </si>
  <si>
    <t>demande_de_patrimoine_2</t>
  </si>
  <si>
    <t>cabinets_des_bourgmestres_et_ech_18</t>
  </si>
  <si>
    <t>liste_des_asbl_subsidiees_par_le_7</t>
  </si>
  <si>
    <t>pacte_de_majorite_de_la_ville_de</t>
  </si>
  <si>
    <t>beliris_serre_urbaine_1020_laeke_3</t>
  </si>
  <si>
    <t>comites_dattribution_des_societe</t>
  </si>
  <si>
    <t>informations_sur_les_dispositifs_4</t>
  </si>
  <si>
    <t>enquete_du_journal_le_vif_projet_60</t>
  </si>
  <si>
    <t>demande_des_registres_de_securit_15</t>
  </si>
  <si>
    <t>violation_de_larticle_22_de_la_c</t>
  </si>
  <si>
    <t>declaration_a_la_responsable_de</t>
  </si>
  <si>
    <t>copie_de_la_viseoconference_du_o</t>
  </si>
  <si>
    <t>arretes_dinhabitabilite_18</t>
  </si>
  <si>
    <t>pv_anonymises_contrat_de_quartie</t>
  </si>
  <si>
    <t>bruit_foire_du_midi</t>
  </si>
  <si>
    <t>adresses_mail_professionnelles_d</t>
  </si>
  <si>
    <t>procedure_expulsions_administrat</t>
  </si>
  <si>
    <t>notes_explicatives_de_synthese_d_69</t>
  </si>
  <si>
    <t>incompatibilites_liees_a_la_pare</t>
  </si>
  <si>
    <t>demande_des_registres_de_securit_17</t>
  </si>
  <si>
    <t>demande_de_la_liste_complete_du</t>
  </si>
  <si>
    <t>frais_de_voyagesjustificatifs_et_14</t>
  </si>
  <si>
    <t>demande_des_inventaire_amiante_d</t>
  </si>
  <si>
    <t>transaction_stib_berkane_2</t>
  </si>
  <si>
    <t>liste_des_asbl_subsidiees_par_le_8</t>
  </si>
  <si>
    <t>statut_des_attaches_parlementair_2</t>
  </si>
  <si>
    <t>repartition_geographique_des_enf</t>
  </si>
  <si>
    <t>liste_des_personnes_engagees_par</t>
  </si>
  <si>
    <t>montant_du_jeton_de_presence_fra_75</t>
  </si>
  <si>
    <t>frais_de_voyagesjustificatifs_et_27</t>
  </si>
  <si>
    <t>plans_de_la_future_zone_artisana</t>
  </si>
  <si>
    <t>declarations_son_amplifie_2</t>
  </si>
  <si>
    <t>piste_cyclo_pietonne_ancienne_ga</t>
  </si>
  <si>
    <t>pacte_de_majorite</t>
  </si>
  <si>
    <t>convention_de_vente_acquisition</t>
  </si>
  <si>
    <t>liste_des_asbl_subsidiees_par_le_9</t>
  </si>
  <si>
    <t>projet_de_modification_du_reglem</t>
  </si>
  <si>
    <t>re_demande_dossier_poulailler_bo</t>
  </si>
  <si>
    <t>statut_du_personnel_de_la_commun_2</t>
  </si>
  <si>
    <t>statut_des_attaches_parlementair_3</t>
  </si>
  <si>
    <t>cout_verite_gestion_des_dechets</t>
  </si>
  <si>
    <t>informations_de_securite_riverai</t>
  </si>
  <si>
    <t>le_rapport_etabli_suite_a_la_pla</t>
  </si>
  <si>
    <t>promoteur_pour_travaux_quartier</t>
  </si>
  <si>
    <t>enquete_avec_la_presse_demande_d_31</t>
  </si>
  <si>
    <t>liste_des_asbl_subsidiees_par_le_10</t>
  </si>
  <si>
    <t>budget_2025_et_sa_premiere_modif</t>
  </si>
  <si>
    <t>cabinets_des_bourgmestres_et_ech_20</t>
  </si>
  <si>
    <t>enquete_journal_le_soir</t>
  </si>
  <si>
    <t>liste_de_expulsions_des_logement</t>
  </si>
  <si>
    <t>documents_sur_tracabiliteventes_15</t>
  </si>
  <si>
    <t>demande_de_copie_du_jugement_meu</t>
  </si>
  <si>
    <t>declarations_du_son_amplifie_apr</t>
  </si>
  <si>
    <t>demande_dinformations_concernant_2</t>
  </si>
  <si>
    <t>stade_national_sommes_enregistre</t>
  </si>
  <si>
    <t>subsides_octroyes_en_2017</t>
  </si>
  <si>
    <t>transparence_des_mandats_liste_d_2</t>
  </si>
  <si>
    <t>transparence_des_mandats_liste_d_3</t>
  </si>
  <si>
    <t>projets_de_deliberation_des_poin_56</t>
  </si>
  <si>
    <t>transparence_des_mandats_liste_d_7</t>
  </si>
  <si>
    <t>transparence_des_mandats_liste_d_10</t>
  </si>
  <si>
    <t>transparence_des_mandats_liste_d_19</t>
  </si>
  <si>
    <t>subsides_octroyes_par_la_cocof_a</t>
  </si>
  <si>
    <t>competences_et_organisation_du_f_2</t>
  </si>
  <si>
    <t>documents_sur_tracabiliteventes_13</t>
  </si>
  <si>
    <t>comptes_2018</t>
  </si>
  <si>
    <t>affaire_valentine_delwart_stefan</t>
  </si>
  <si>
    <t>composition_des_cabinets_du_bour_47</t>
  </si>
  <si>
    <t>resultat_denquete_publique_proje</t>
  </si>
  <si>
    <t>demande_de_communication_des_pla</t>
  </si>
  <si>
    <t>liste_des_asbl_subsidiees_par_le_11</t>
  </si>
  <si>
    <t>texte_de_motion_deposee_par_john</t>
  </si>
  <si>
    <t>avis_de_lautorite_de_protection</t>
  </si>
  <si>
    <t>cadastre_des_organismes_publics_4</t>
  </si>
  <si>
    <t>cyclostrade_l28_a_1020_laeken_pv</t>
  </si>
  <si>
    <t>composition_du_cabinet_de_mr_le</t>
  </si>
  <si>
    <t>etat_des_trottoirs_de_la_chausse</t>
  </si>
  <si>
    <t>resultats_des_appels_a_candidatu</t>
  </si>
  <si>
    <t>avis_favorable_remis_par_le_dire</t>
  </si>
  <si>
    <t>conseil_communal_seance_du_27_ma</t>
  </si>
  <si>
    <t>notes_explicatives_de_synthese_d_70</t>
  </si>
  <si>
    <t>composition_des_cabinets_de_la_p</t>
  </si>
  <si>
    <t>mons_passage_du_centre_fonds_fed_2</t>
  </si>
  <si>
    <t>conseil_communal_du_210219_point</t>
  </si>
  <si>
    <t>pv_de_reunion_ou_les_epioux_sont</t>
  </si>
  <si>
    <t>passage_chambon_echanges_avec_la</t>
  </si>
  <si>
    <t>contrat_avec_societe_checkmarket</t>
  </si>
  <si>
    <t>cabinets_des_bourgmestres_et_ech_22</t>
  </si>
  <si>
    <t>notes_explicatives_projets_de_de_39</t>
  </si>
  <si>
    <t>correspondances_ville_de_bruxell</t>
  </si>
  <si>
    <t>permis_durbanisme_reamenagement</t>
  </si>
  <si>
    <t>demande_a_propos_des_travaux_en</t>
  </si>
  <si>
    <t>demande_du_dossier_ayant_trait_a_2</t>
  </si>
  <si>
    <t>notification_dune_decision</t>
  </si>
  <si>
    <t>pv_reunion_securite_informelle_d</t>
  </si>
  <si>
    <t>prime_de_120_euros_pour_les_prop</t>
  </si>
  <si>
    <t>statut_du_personnel_de_la_ville_8</t>
  </si>
  <si>
    <t>passage_chambon_1020_laeken_echa</t>
  </si>
  <si>
    <t>conseil_provincial_seance_du_29_2</t>
  </si>
  <si>
    <t>demande_de_documents_relatifs_au_2</t>
  </si>
  <si>
    <t>reglement_redevance_pour_le_stat</t>
  </si>
  <si>
    <t>immeuble_floyd_coin_avenue_de_la</t>
  </si>
  <si>
    <t>quand_vous_allez_payer_les_heure</t>
  </si>
  <si>
    <t>bon_de_commande_etude_technique</t>
  </si>
  <si>
    <t>decisions_et_registres_sur_les_d</t>
  </si>
  <si>
    <t>liste_des_asbl_subsidiees_par_le_18</t>
  </si>
  <si>
    <t>projets_de_deliberations_du_cons_2</t>
  </si>
  <si>
    <t>compte_rendu_conseil_communal_04</t>
  </si>
  <si>
    <t>permis_durbanisme_reamenagement_2</t>
  </si>
  <si>
    <t>petit_bois_de_vandervelde_woluwe</t>
  </si>
  <si>
    <t>belgique_bruxelles_services_de_p</t>
  </si>
  <si>
    <t>pv_du_college_communal</t>
  </si>
  <si>
    <t>enquete_avec_la_presse_demande_d_32</t>
  </si>
  <si>
    <t>liste_des_asbl_subsidiees_par_le_19</t>
  </si>
  <si>
    <t>enquete_vifsoir_transparence_des_3</t>
  </si>
  <si>
    <t>cru_8_contrat_de_renovation_urba_2</t>
  </si>
  <si>
    <t>documents_sur_tracabiliteventes_14</t>
  </si>
  <si>
    <t>conseil_communal_du_17_decembre</t>
  </si>
  <si>
    <t>presences_en_reunion_cpas</t>
  </si>
  <si>
    <t>resultats_des_appels_a_candidatu_2</t>
  </si>
  <si>
    <t>camping_du_preau</t>
  </si>
  <si>
    <t>conseil_dadministration_ouvert_a</t>
  </si>
  <si>
    <t>marches_publics_remises_de_prix</t>
  </si>
  <si>
    <t>projet_festival_age_dor_meetthef</t>
  </si>
  <si>
    <t>enquete_avec_la_presse_demande_d_17</t>
  </si>
  <si>
    <t>passage_chambon_reunion_avec_crm</t>
  </si>
  <si>
    <t>demande_dune_copie_integrale_du</t>
  </si>
  <si>
    <t>notes_explicatives_de_synthese_d_71</t>
  </si>
  <si>
    <t>recherche_texte_octroi_dun_permi</t>
  </si>
  <si>
    <t>composition_des_cabinets_du_bour_48</t>
  </si>
  <si>
    <t>documents_dans_le_cadre_de_limpl</t>
  </si>
  <si>
    <t>taxes_2021_sur_les_secondes_resi_4</t>
  </si>
  <si>
    <t>acces_aux_donnees_budgetaires_de</t>
  </si>
  <si>
    <t>conseil_consultatif_egalites_des</t>
  </si>
  <si>
    <t>pv_ca_25_septembre_2019</t>
  </si>
  <si>
    <t>rapport_dinspection_des_cpas_spp</t>
  </si>
  <si>
    <t>composition_des_cabinets_du_bour_46</t>
  </si>
  <si>
    <t>reglement_medical</t>
  </si>
  <si>
    <t>enquete_du_journal_lesoir_projet_55</t>
  </si>
  <si>
    <t>cabinets_des_bourgmestres_et_ech_23</t>
  </si>
  <si>
    <t>decisions_et_registres_sur_les_d_4</t>
  </si>
  <si>
    <t>demande_de_la_liste_complete_du_2</t>
  </si>
  <si>
    <t>documents_sur_provenancetracabil_2</t>
  </si>
  <si>
    <t>rapport_annuel_du_conseiller_ene</t>
  </si>
  <si>
    <t>la_taille_des_marronniers_de_lav</t>
  </si>
  <si>
    <t>justificatifs_des_remunerationsf</t>
  </si>
  <si>
    <t>nombre_de_toitures_verdurisees_p</t>
  </si>
  <si>
    <t>quid_de_la_creation_de_chemins_c</t>
  </si>
  <si>
    <t>engagement_moral_et_formation_de</t>
  </si>
  <si>
    <t>immeuble_floyd_1020_laeken_enreg</t>
  </si>
  <si>
    <t>demande_de_la_liste_du_patrimoin_16</t>
  </si>
  <si>
    <t>dossier_administratif_lie_au_cha</t>
  </si>
  <si>
    <t>proces_verbal_du_conseil_communa</t>
  </si>
  <si>
    <t>statut_du_personnel_cpas_saint_g</t>
  </si>
  <si>
    <t>enquete_vifsoir_transparence_des_7</t>
  </si>
  <si>
    <t>enquete_avec_la_presse_demande_d_33</t>
  </si>
  <si>
    <t>enquete_du_vif_et_du_soir_projet</t>
  </si>
  <si>
    <t>taxes_2021_sur_les_secondes_resi_5</t>
  </si>
  <si>
    <t>dossier_administratif_lie_au_cha_3</t>
  </si>
  <si>
    <t>frais_davocat_procedure_a_lencon</t>
  </si>
  <si>
    <t>demande_copie_convention_belgo_s</t>
  </si>
  <si>
    <t>composition_du_cabinet_de_la_pre</t>
  </si>
  <si>
    <t>engagement_moral_et_formation_de_3</t>
  </si>
  <si>
    <t>democratie_a_anderlecht</t>
  </si>
  <si>
    <t>passage_chambon_1020_laeken_corr_6</t>
  </si>
  <si>
    <t>engagement_moral_et_formation_de_5</t>
  </si>
  <si>
    <t>listing_des_logements_inoccupes</t>
  </si>
  <si>
    <t>enquete_du_journal_lesoir_projet_47</t>
  </si>
  <si>
    <t>taxes_2021_sur_les_secondes_resi_8</t>
  </si>
  <si>
    <t>absence_de_reponse_a_nos_courrie_3</t>
  </si>
  <si>
    <t>proces_verbal_de_cloture_de_lenq</t>
  </si>
  <si>
    <t>arretes_dinhabitabilite_21</t>
  </si>
  <si>
    <t>souper_dapres_vente_de_bois</t>
  </si>
  <si>
    <t>listing_des_logements_inoccupes_2</t>
  </si>
  <si>
    <t>firme_de_sous_traitance_tlsconta</t>
  </si>
  <si>
    <t>demande_dacces_a_un_marche_publi</t>
  </si>
  <si>
    <t>camping_du_preau_a_bernissart_st</t>
  </si>
  <si>
    <t>conseil_communal_la_louviere_sea</t>
  </si>
  <si>
    <t>engagement_moral_et_formation_de_7</t>
  </si>
  <si>
    <t>administratif</t>
  </si>
  <si>
    <t>pensions_complementaires_des_man</t>
  </si>
  <si>
    <t>aabords_de_lancienne_gare_de_lae</t>
  </si>
  <si>
    <t>notes_explicatives_de_synthese_d_72</t>
  </si>
  <si>
    <t>taxes_2021_sur_les_secondes_resi_9</t>
  </si>
  <si>
    <t>decisions_et_registres_sur_les_d_10</t>
  </si>
  <si>
    <t>dossier_visant_a_renforcer_la_se_2</t>
  </si>
  <si>
    <t>acces_aux_documents_relatifs_a_l</t>
  </si>
  <si>
    <t>demande_denquete_administrative</t>
  </si>
  <si>
    <t>absence_de_reponse_a_nos_courrie</t>
  </si>
  <si>
    <t>liste_des_assistants_parlementai</t>
  </si>
  <si>
    <t>enquete_du_vif_et_du_soir_projet_10</t>
  </si>
  <si>
    <t>demande_de_la_liste_de_toutes_le</t>
  </si>
  <si>
    <t>notes_explicatives_de_synthese_d_73</t>
  </si>
  <si>
    <t>listing_des_logements_inoccupes_5</t>
  </si>
  <si>
    <t>conseil_communal_seance_du_jeudi_2</t>
  </si>
  <si>
    <t>demande_de_rectification_de_la_f</t>
  </si>
  <si>
    <t>verification_de_la_base_juridiqu</t>
  </si>
  <si>
    <t>taxes_2021_sur_les_secondes_resi_10</t>
  </si>
  <si>
    <t>listing_des_logements_inoccupes_10</t>
  </si>
  <si>
    <t>passage_chambon_1020_laeken_corr_4</t>
  </si>
  <si>
    <t>etude_hydrologique_bureau_aquale</t>
  </si>
  <si>
    <t>decompte_complet_et_detaille_par</t>
  </si>
  <si>
    <t>fixmystreet_bruxelles_inventaire_3</t>
  </si>
  <si>
    <t>enquete_avec_la_presse_demande_d_6</t>
  </si>
  <si>
    <t>demande_dinformation_forfait_ino</t>
  </si>
  <si>
    <t>offres_demploi_zone_de_police_ve</t>
  </si>
  <si>
    <t>certificat_covid_numerique_et_cs</t>
  </si>
  <si>
    <t>enquete_avec_la_presse_demande_d_7</t>
  </si>
  <si>
    <t>appel_doffres_projets_soumis_per</t>
  </si>
  <si>
    <t>introduire_une_plainte_aupres_de</t>
  </si>
  <si>
    <t>identification_des_policiers_en_5</t>
  </si>
  <si>
    <t>norme_de_productivite_pour_les_a</t>
  </si>
  <si>
    <t>combien_de_logements_vide_dans_l</t>
  </si>
  <si>
    <t>demande_des_resultats_globaux_du</t>
  </si>
  <si>
    <t>demande_statut_pecuniaire_du_per</t>
  </si>
  <si>
    <t>notes_explicatives_de_synthese_d_74</t>
  </si>
  <si>
    <t>prise_de_connaissance_dun_cahier</t>
  </si>
  <si>
    <t>courrier_non_utilisation_des_ter</t>
  </si>
  <si>
    <t>publicite_des_offres_demploi_ouv</t>
  </si>
  <si>
    <t>composition_des_cabinets_du_bour_50</t>
  </si>
  <si>
    <t>liste_des_asbl_subsidiees_par_le_3</t>
  </si>
  <si>
    <t>comment_fonctionne_exactement_le</t>
  </si>
  <si>
    <t>demande_dinformations_detaillees</t>
  </si>
  <si>
    <t>notes_explicatives_de_synthese_d_75</t>
  </si>
  <si>
    <t>composition_des_cabinets_du_bour_39</t>
  </si>
  <si>
    <t>enquete_du_vif_et_du_soir_projet_2</t>
  </si>
  <si>
    <t>reamenagement_des_abords_de_lanc_2</t>
  </si>
  <si>
    <t>service_etat_civil_refus_dobteni</t>
  </si>
  <si>
    <t>bilan_comptable_et_compte_de_res_3</t>
  </si>
  <si>
    <t>gestion_de_la_page_fb_de_la_vill</t>
  </si>
  <si>
    <t>asbl_la_vallonia_facturier</t>
  </si>
  <si>
    <t>projets_de_deliberation_des_poin_26</t>
  </si>
  <si>
    <t>remplacement_marchesescalier_egl</t>
  </si>
  <si>
    <t>rejet_de_la_constitution_par_un</t>
  </si>
  <si>
    <t>amenagement_du_siteparc_annie_co</t>
  </si>
  <si>
    <t>demande_dinformation_sur_le_sala</t>
  </si>
  <si>
    <t>enquete_du_vif_et_du_soir_projet_14</t>
  </si>
  <si>
    <t>saisine_tutelle_donnees_statisti</t>
  </si>
  <si>
    <t>quant_nettoyer_legout_aerien_se</t>
  </si>
  <si>
    <t>notes_explicatives_des_conseils_2</t>
  </si>
  <si>
    <t>decisions_et_registres_sur_les_d_34</t>
  </si>
  <si>
    <t>copie_des_documents_pertinents_c_2</t>
  </si>
  <si>
    <t>courriers_davis_dirregularite_au</t>
  </si>
  <si>
    <t>demande_de_copie_du_dossier_admi</t>
  </si>
  <si>
    <t>statistiques_sur_les_accords_pou</t>
  </si>
  <si>
    <t>reunion_de_quartier_officielle_c</t>
  </si>
  <si>
    <t>acces_aux_statistiques_sur_les_r</t>
  </si>
  <si>
    <t>donner_un_ris_incomplet_a_un_sdf</t>
  </si>
  <si>
    <t>liste_des_asbl_subsidiees_par_le_17</t>
  </si>
  <si>
    <t>compte_rendu_du_ca_du_26062019</t>
  </si>
  <si>
    <t>decisions_et_registres_sur_les_d_42</t>
  </si>
  <si>
    <t>informations_sur_les_dispositifs_36</t>
  </si>
  <si>
    <t>chantier_de_la_place_piqueray_se</t>
  </si>
  <si>
    <t>parc_annie_cordy_1020_laeken_pet</t>
  </si>
  <si>
    <t>organigramme_actualise_du_person</t>
  </si>
  <si>
    <t>projets_de_deliberation_des_poin_28</t>
  </si>
  <si>
    <t>circulaire_etendant_le_champ_du</t>
  </si>
  <si>
    <t>modification_rgp_cc_du_21_novemb</t>
  </si>
  <si>
    <t>gare_sncb_bockstael_1020_laeken</t>
  </si>
  <si>
    <t>pv_reunion_du_ca_de_lisppc_du_12</t>
  </si>
  <si>
    <t>plainte_pour_violation_de_la_con</t>
  </si>
  <si>
    <t>composition_des_cabinets_du_bour_44</t>
  </si>
  <si>
    <t>immeuble_floyd_1020_laeken_corre_3</t>
  </si>
  <si>
    <t>composition_des_cabinets_de_la_p_2</t>
  </si>
  <si>
    <t>liste_des_vaccins_contre_la_covi</t>
  </si>
  <si>
    <t>demande_dinitiative_belge_en_fav</t>
  </si>
  <si>
    <t>decisions_et_registres_sur_les_d_44</t>
  </si>
  <si>
    <t>parc_annie_cordy_1020_laeken_gri</t>
  </si>
  <si>
    <t>montant_de_la_taxe_sur_les_logem_8</t>
  </si>
  <si>
    <t>montant_de_la_taxe_sur_les_logem_7</t>
  </si>
  <si>
    <t>souper_dapres_vente_de_bois_2022</t>
  </si>
  <si>
    <t>declaration_concernant_une_possi</t>
  </si>
  <si>
    <t>primes_pour_fonctions_superieure</t>
  </si>
  <si>
    <t>montant_de_la_taxe_sur_les_logem_10</t>
  </si>
  <si>
    <t>notes_explicatives_de_synthese_d_76</t>
  </si>
  <si>
    <t>obligation_de_mettre_en_avant_le</t>
  </si>
  <si>
    <t>jumelage_berkane_saint_gilles</t>
  </si>
  <si>
    <t>echanges_avec_le_musee_kanal_dem</t>
  </si>
  <si>
    <t>contrainte_a_la_signature_du_pii</t>
  </si>
  <si>
    <t>prix_total_du_reamenagement_de_l</t>
  </si>
  <si>
    <t>non_reponse_a_demande_du_13_aout</t>
  </si>
  <si>
    <t>correspondances_beliris_et_commu</t>
  </si>
  <si>
    <t>toujours_a_propos_du_rapport_de</t>
  </si>
  <si>
    <t>les_cinq_incidents_environnement</t>
  </si>
  <si>
    <t>roi_du_conseil_transmis_et_pv_de</t>
  </si>
  <si>
    <t>ventes_de_bois</t>
  </si>
  <si>
    <t>pourquoi_le_choix_de_monsieur_al</t>
  </si>
  <si>
    <t>notes_explicatives_de_synthese_d_77</t>
  </si>
  <si>
    <t>marche_public_concernant_les_mas</t>
  </si>
  <si>
    <t>projets_de_deliberation_des_poin_67</t>
  </si>
  <si>
    <t>jeux_non_conforme_et_niveau_de_b</t>
  </si>
  <si>
    <t>audit_gestion_du_cpas_anderlecht</t>
  </si>
  <si>
    <t>bilan_comptable_et_compte_de_res</t>
  </si>
  <si>
    <t>listing_des_logements_inoccupes_23</t>
  </si>
  <si>
    <t>concerne_enquete_vifsoir_transpa_10</t>
  </si>
  <si>
    <t>enquete_du_vif_et_du_soir_projet_27</t>
  </si>
  <si>
    <t>objet_signalement_dune_pratique</t>
  </si>
  <si>
    <t>pv_conseil_de_police</t>
  </si>
  <si>
    <t>inventairecadastre_des_batiments</t>
  </si>
  <si>
    <t>bruit_de_voisinage_demandes_et_d_2</t>
  </si>
  <si>
    <t>rapport_de_laudit_ocde_region_br</t>
  </si>
  <si>
    <t>facture</t>
  </si>
  <si>
    <t>demande_dacces_a_des_documents_a</t>
  </si>
  <si>
    <t>conseil_de_police</t>
  </si>
  <si>
    <t>audit_waterloo_sports</t>
  </si>
  <si>
    <t>enquete_du_journal_lesoir_projet_46</t>
  </si>
  <si>
    <t>enquete_du_journal_le_vif_projet_89</t>
  </si>
  <si>
    <t>suivis_des_asbl</t>
  </si>
  <si>
    <t>comptes_etoile_forestiere_stoumo</t>
  </si>
  <si>
    <t>facture_2</t>
  </si>
  <si>
    <t>fourneau_saint_michel</t>
  </si>
  <si>
    <t>conseil_de_police_2</t>
  </si>
  <si>
    <t>rapports_du_jury_nomination_cont</t>
  </si>
  <si>
    <t>depenses_publiques_fontaine_du_b</t>
  </si>
  <si>
    <t>objet_demande_concernant_la_legi</t>
  </si>
  <si>
    <t>presences_en_reunion_ville</t>
  </si>
  <si>
    <t>notes_explicatives_de_synthese_d_80</t>
  </si>
  <si>
    <t>listing_des_logements_inoccupes_11</t>
  </si>
  <si>
    <t>decisions_et_registres_sur_les_d_48</t>
  </si>
  <si>
    <t>nourriture_college_des_bourgmest_2</t>
  </si>
  <si>
    <t>nombre_de_transmigrants_passant</t>
  </si>
  <si>
    <t>etude_hydrologique_plaine_danton</t>
  </si>
  <si>
    <t>effectif_scolaire</t>
  </si>
  <si>
    <t>bail_emphyteotique_conclu_avec_k</t>
  </si>
  <si>
    <t>demande_dextraits_de_pv_du_colle_2</t>
  </si>
  <si>
    <t>enquete_du_vif_et_du_soir_projet_32</t>
  </si>
  <si>
    <t>n633_targon</t>
  </si>
  <si>
    <t>listing_des_logements_inoccupes_17</t>
  </si>
  <si>
    <t>charges_des_garderies_du_mercred</t>
  </si>
  <si>
    <t>parking_gratuit_mandataires_publ_10</t>
  </si>
  <si>
    <t>conseil_communal_du_05092022_rep</t>
  </si>
  <si>
    <t>pad_friche_josaphat_3</t>
  </si>
  <si>
    <t>nourriture_college_des_bourgmest_3</t>
  </si>
  <si>
    <t>enquete_vifsoir_transparence_des_4</t>
  </si>
  <si>
    <t>presence_des_senateurs</t>
  </si>
  <si>
    <t>demande_de_copie_des_documents_r_4</t>
  </si>
  <si>
    <t>immeuble_floyd_1020_laeken_corre_2</t>
  </si>
  <si>
    <t>n633_targnon</t>
  </si>
  <si>
    <t>decisions_et_registres_sur_les_d_49</t>
  </si>
  <si>
    <t>demande_documents_permettant_de_2</t>
  </si>
  <si>
    <t>arretes_dinhabitabilite_7</t>
  </si>
  <si>
    <t>budget_participatif_laeken_proje</t>
  </si>
  <si>
    <t>targnon_village_n_633_stoumont</t>
  </si>
  <si>
    <t>notes_explicatives_de_synthese_d_81</t>
  </si>
  <si>
    <t>demande_dinformations_sur_votre</t>
  </si>
  <si>
    <t>demande_concernant_les_contrats</t>
  </si>
  <si>
    <t>rapport_2017_sur_la_transparence_9</t>
  </si>
  <si>
    <t>concerne_enquete_vifsoir_transpa_21</t>
  </si>
  <si>
    <t>seance_du_college_communal_2019_2020</t>
  </si>
  <si>
    <t>nourriture_college_des_bourgmest_6</t>
  </si>
  <si>
    <t>listing_arretes_inhabitabilite</t>
  </si>
  <si>
    <t>depenses_de_la_province_du_braba</t>
  </si>
  <si>
    <t>targnon_n633_stoumont</t>
  </si>
  <si>
    <t>decisions_et_registres_sur_les_d_52</t>
  </si>
  <si>
    <t>listing_arretes_inhabitabilite_3</t>
  </si>
  <si>
    <t>transparence_sur_la_candidature</t>
  </si>
  <si>
    <t>primes_a_lachat_dun_vae</t>
  </si>
  <si>
    <t>bulletins_des_travaux_de_3_commi</t>
  </si>
  <si>
    <t>listing_arretes_inhabitabilite_5</t>
  </si>
  <si>
    <t>liste_des_subsides_attribues_par_18</t>
  </si>
  <si>
    <t>consommation_energetique</t>
  </si>
  <si>
    <t>conseil_communal_publication_des</t>
  </si>
  <si>
    <t>demande_dinformations_sur_la_com</t>
  </si>
  <si>
    <t>inondation_etat_des_lieux_et_pla</t>
  </si>
  <si>
    <t>enquete_vifsoir_transparence_des_18</t>
  </si>
  <si>
    <t>contrat_de_renovation_urbaine_st_2</t>
  </si>
  <si>
    <t>enquete_du_vif_et_du_soir_projet_34</t>
  </si>
  <si>
    <t>patients_hospitalises_pour_la_gr</t>
  </si>
  <si>
    <t>decisions_et_registres_sur_les_d_208</t>
  </si>
  <si>
    <t>listing_arretes_inhabitabilite_7</t>
  </si>
  <si>
    <t>demande_dinformations_sur_les_pe</t>
  </si>
  <si>
    <t>facture_avocat</t>
  </si>
  <si>
    <t>amenagement_du_ravel_liaison_cyc</t>
  </si>
  <si>
    <t>creation_dune_liaison_douce</t>
  </si>
  <si>
    <t>demande_concernant_les_contrats_2</t>
  </si>
  <si>
    <t>rgpd_concernant_les_rapports_des</t>
  </si>
  <si>
    <t>transmission_systematique_des_do</t>
  </si>
  <si>
    <t>demande_de_documents_specifiques</t>
  </si>
  <si>
    <t>listing_arretes_inhabitabilite_8</t>
  </si>
  <si>
    <t>demande_de_la_liste_du_patrimoin_3</t>
  </si>
  <si>
    <t>contrat_demphyteose_et_de_conces</t>
  </si>
  <si>
    <t>concerne_enquete_vifsoir_transpa_31</t>
  </si>
  <si>
    <t>madame_aung_san_suu_kyi_est_elle_2</t>
  </si>
  <si>
    <t>filiere_collecte_recyclage_bonbo</t>
  </si>
  <si>
    <t>notes_explicatives_de_synthese_d_84</t>
  </si>
  <si>
    <t>denombrement_et_liste_des_logeme</t>
  </si>
  <si>
    <t>les_contrats_employes</t>
  </si>
  <si>
    <t>listing_arretes_inhabitabilite_10</t>
  </si>
  <si>
    <t>etudes_hydrologiques_mentionnees</t>
  </si>
  <si>
    <t>patrimoine_immobilier_bati_et_no</t>
  </si>
  <si>
    <t>laurence_minsart_du_groupe_alter</t>
  </si>
  <si>
    <t>liste_concernant_les_lobbies</t>
  </si>
  <si>
    <t>echange_correspondances_entre_vi</t>
  </si>
  <si>
    <t>utilisation_de_la_pierre_bleue_c</t>
  </si>
  <si>
    <t>liste_des_representants_dinteret</t>
  </si>
  <si>
    <t>demande_concernant_les_contrats_3</t>
  </si>
  <si>
    <t>reactions_officielles_de_la_belg</t>
  </si>
  <si>
    <t>listing_arretes_inhabitabilite_12</t>
  </si>
  <si>
    <t>la_commune_de_woluwe_saint_lambe</t>
  </si>
  <si>
    <t>abattage_de_68_peupliers_pour_ca</t>
  </si>
  <si>
    <t>copie_du_pv_du_conseil_communal_2</t>
  </si>
  <si>
    <t>listing_arretes_inhabitabilite_14</t>
  </si>
  <si>
    <t>decisions_et_registres_sur_les_d_53</t>
  </si>
  <si>
    <t>contestations_de_la_facture_de_s</t>
  </si>
  <si>
    <t>tennis_de_table_la_gleize</t>
  </si>
  <si>
    <t>demande_de_la_liste_du_patrimoin_17</t>
  </si>
  <si>
    <t>documents_sur_tracabiliteventes_3</t>
  </si>
  <si>
    <t>madame_aung_san_suu_kyi_est_elle</t>
  </si>
  <si>
    <t>demande_concernant_les_contrats_4</t>
  </si>
  <si>
    <t>extrait_du_pv_de_la_reunion_du_m</t>
  </si>
  <si>
    <t>pv_des_conseils_de_police_2</t>
  </si>
  <si>
    <t>decisions_et_registres_sur_les_d_62</t>
  </si>
  <si>
    <t>listing_arretes_inhabitabilite_15</t>
  </si>
  <si>
    <t>listing_arretes_inhabitabilite_19</t>
  </si>
  <si>
    <t>enquete_du_journal_le_vif_projet_52</t>
  </si>
  <si>
    <t>oeuvre_dart_picsou_ville_de_brux</t>
  </si>
  <si>
    <t>enquete_du_journal_le_vif_projet_53</t>
  </si>
  <si>
    <t>immeuble_floyd_1020_laeken_corre</t>
  </si>
  <si>
    <t>detail_des_autres_recettes_de_la</t>
  </si>
  <si>
    <t>listing_arretes_inhabitabilite_21</t>
  </si>
  <si>
    <t>notes_explicatives_de_synthese_d_85</t>
  </si>
  <si>
    <t>enquete_vifsoir_transparence_des_29</t>
  </si>
  <si>
    <t>concerne_enquete_vifsoir_transpa_40</t>
  </si>
  <si>
    <t>betterstreet_signalement_numero</t>
  </si>
  <si>
    <t>enquetes_publiques_de_lannee_201</t>
  </si>
  <si>
    <t>madame_aung_san_suu_kyi_est_elle_3</t>
  </si>
  <si>
    <t>demande_de_la_liste_du_patrimoin_18</t>
  </si>
  <si>
    <t>couoe_a_blanc_vequee</t>
  </si>
  <si>
    <t>decisions_et_registres_sur_les_d_69</t>
  </si>
  <si>
    <t>deliberationsbe</t>
  </si>
  <si>
    <t>dossier_concernant_lenquete_publ</t>
  </si>
  <si>
    <t>deuxieme_demande_officielle_legi</t>
  </si>
  <si>
    <t>listing_arretes_inhabitabilite_23</t>
  </si>
  <si>
    <t>decisions_et_registres_sur_les_d_72</t>
  </si>
  <si>
    <t>decisions_et_registres_sur_les_d_161</t>
  </si>
  <si>
    <t>bon_usage_du_budget_de_la_rtbf_c</t>
  </si>
  <si>
    <t>reseau_deau_de_nassogne_demandes</t>
  </si>
  <si>
    <t>listing_arretes_inhabitabilite_28</t>
  </si>
  <si>
    <t>asbl_association_parc_naturel_de</t>
  </si>
  <si>
    <t>notes_explicatives_de_synthese_d_86</t>
  </si>
  <si>
    <t>bouwmeester_courrier_sur_son_rem</t>
  </si>
  <si>
    <t>immeuble_floyd_coin_avenue_de_la_2</t>
  </si>
  <si>
    <t>madame_aung_san_suu_kyi_est_elle_4</t>
  </si>
  <si>
    <t>madame_aung_san_suu_kyi_est_elle_5</t>
  </si>
  <si>
    <t>mons_passage_du_centre_fonds_fed</t>
  </si>
  <si>
    <t>listing_arretes_inhabitabilite_29</t>
  </si>
  <si>
    <t>concerne_enquete_vifsoir_transpa_42</t>
  </si>
  <si>
    <t>notes_explicatives_de_synthese_d_87</t>
  </si>
  <si>
    <t>inventaire_amiante_complexe_spor</t>
  </si>
  <si>
    <t>demande_de_copie_du_contrat_publ</t>
  </si>
  <si>
    <t>decisions_et_registres_sur_les_d_288</t>
  </si>
  <si>
    <t>montant_des_depense_du_good_move</t>
  </si>
  <si>
    <t>decisions_et_registres_sur_les_d_73</t>
  </si>
  <si>
    <t>rapport_annuel_2018_plans_de_ges</t>
  </si>
  <si>
    <t>listing_arretes_inhabitabilite_31</t>
  </si>
  <si>
    <t>listing_arretes_inhabitabilite_34</t>
  </si>
  <si>
    <t>demande_de_communication_des_pro</t>
  </si>
  <si>
    <t>concerne_enquete_vifsoir_transpa</t>
  </si>
  <si>
    <t>nominations_et_jetons_de_presenc_2</t>
  </si>
  <si>
    <t>loi_belge_qui_protege_les_lanceu</t>
  </si>
  <si>
    <t>listing_arretes_inhabitabilite_35</t>
  </si>
  <si>
    <t>listing_des_asbl_subsides_dans_l_2</t>
  </si>
  <si>
    <t>copie_des_factures_des_11_oeuvre</t>
  </si>
  <si>
    <t>renovation_gare_bockstael_sncb_1_4</t>
  </si>
  <si>
    <t>decisions_et_registres_sur_les_d_370</t>
  </si>
  <si>
    <t>montant_des_jetons_de_presence_d</t>
  </si>
  <si>
    <t>demande_concernant_les_contrats_6</t>
  </si>
  <si>
    <t>parc_des_sources</t>
  </si>
  <si>
    <t>notes_explicatives_projets_de_de_14</t>
  </si>
  <si>
    <t>piste_de_ski_du_mont_des_brumes</t>
  </si>
  <si>
    <t>liste_des_subsides_attribues_par_24</t>
  </si>
  <si>
    <t>listing_arretes_inhabitabilite_39</t>
  </si>
  <si>
    <t>approbation_du_plan_de_personnel</t>
  </si>
  <si>
    <t>transaction_stib_berkane</t>
  </si>
  <si>
    <t>eude_dincidence_environnementale</t>
  </si>
  <si>
    <t>fagotin_asbl</t>
  </si>
  <si>
    <t>projets_de_deliberation_des_poin_7</t>
  </si>
  <si>
    <t>ordre_du_jour_pv_et_calendrier_d</t>
  </si>
  <si>
    <t>pepinfo_comite_de_lecture_charte</t>
  </si>
  <si>
    <t>budget_2020</t>
  </si>
  <si>
    <t>concerne_enquete_vifsoir_transpa_50</t>
  </si>
  <si>
    <t>suicide_dalain_dremiere_rapport</t>
  </si>
  <si>
    <t>mission_confiee_a_idea_consult_p</t>
  </si>
  <si>
    <t>demande_de_la_liste_complete_des</t>
  </si>
  <si>
    <t>concerne_enquete_vifsoir_transpa_7</t>
  </si>
  <si>
    <t>demande_concernant_les_contrats_5</t>
  </si>
  <si>
    <t>appel_doffre_cahier_des_charges</t>
  </si>
  <si>
    <t>conseil_communal_seance_du_mercr_8</t>
  </si>
  <si>
    <t>demande_de_lavis_motive_de_la_fe</t>
  </si>
  <si>
    <t>demande_ndeg_16_place_piqueray_d</t>
  </si>
  <si>
    <t>listing_arretes_inhabitabilite_43</t>
  </si>
  <si>
    <t>motif_de_fermeture_des_agences_a</t>
  </si>
  <si>
    <t>objet_clarifications_sur_le_fina</t>
  </si>
  <si>
    <t>listing_arretes_inhabitabilite_45</t>
  </si>
  <si>
    <t>listing_arretes_inhabitabilite_46</t>
  </si>
  <si>
    <t>decisions_et_registres_sur_les_d_308</t>
  </si>
  <si>
    <t>note_de_frais_des_soupers</t>
  </si>
  <si>
    <t>demande_de_la_liste_des_etabliss</t>
  </si>
  <si>
    <t>projets_de_deliberation_des_poin_42</t>
  </si>
  <si>
    <t>police_assurance_militaire_en_op</t>
  </si>
  <si>
    <t>demande_de_reconsideration_contr</t>
  </si>
  <si>
    <t>fuites_de_gaz_aux_nids_daguesses</t>
  </si>
  <si>
    <t>bourgmestre_absent_longue_duree</t>
  </si>
  <si>
    <t>correspondance_entre_le_bourgmes</t>
  </si>
  <si>
    <t>salon_mapic_interventions_de_mon</t>
  </si>
  <si>
    <t>designation_role_et_fonctionneme</t>
  </si>
  <si>
    <t>demande_concernant_les_contrats_7</t>
  </si>
  <si>
    <t>possibilite_de_contournement_pla</t>
  </si>
  <si>
    <t>analyse_financiere_de_belfius</t>
  </si>
  <si>
    <t>projets_de_deliberation_des_poin_22</t>
  </si>
  <si>
    <t>notes_explicatives_projets_de_de_51</t>
  </si>
  <si>
    <t>listing_arretes_inhabitabilite_47</t>
  </si>
  <si>
    <t>belfius_comparatif_essai</t>
  </si>
  <si>
    <t>feu_dartifice_corso_jambes</t>
  </si>
  <si>
    <t>objet_plainte_concernant_la_viol</t>
  </si>
  <si>
    <t>deuxieme_recours_a_madame_la_min</t>
  </si>
  <si>
    <t>demande_dacces_au_rapport_du_com</t>
  </si>
  <si>
    <t>enquete_du_journal_le_vif_projet_31</t>
  </si>
  <si>
    <t>enquete_du_journal_le_vif_projet</t>
  </si>
  <si>
    <t>demande_de_la_liste_complete_des_3</t>
  </si>
  <si>
    <t>listing_arretes_inhabitabilite_50</t>
  </si>
  <si>
    <t>demande_de_liste_complete_de_tou</t>
  </si>
  <si>
    <t>concerne_enquete_vifsoir_transpa_9</t>
  </si>
  <si>
    <t>lutilisation_de_google_analytics</t>
  </si>
  <si>
    <t>bourgmestre_absent_longue_duree_3</t>
  </si>
  <si>
    <t>conseil_communal_seance_du_lundi_72</t>
  </si>
  <si>
    <t>impartialite_du_mediateur_de_la</t>
  </si>
  <si>
    <t>conseil_communal_seance_du_lundi_73</t>
  </si>
  <si>
    <t>demande_des_statut_base_de_donne</t>
  </si>
  <si>
    <t>extension_immeuble_situe_avenue</t>
  </si>
  <si>
    <t>date_des_absences_de_la_vice_pre</t>
  </si>
  <si>
    <t>demande_dinformation_concernant_3</t>
  </si>
  <si>
    <t>demande_de_la_liste_complete_de</t>
  </si>
  <si>
    <t>documents_sur_tracabiliteventes_6</t>
  </si>
  <si>
    <t>analyses_completes_de_la_qualite</t>
  </si>
  <si>
    <t>notes_explicatives_de_synthese_d_90</t>
  </si>
  <si>
    <t>seance_du_college_communal_2019_2022</t>
  </si>
  <si>
    <t>reglement_d_ordre_interieur</t>
  </si>
  <si>
    <t>procedure_de_recrutement_du_pers</t>
  </si>
  <si>
    <t>cadastre_des_mandats_2</t>
  </si>
  <si>
    <t>montant_de_la_taxe_sur_les_logem_11</t>
  </si>
  <si>
    <t>montant_de_la_taxe_sur_les_logem_5</t>
  </si>
  <si>
    <t>demande_de_la_liste_complete_des_4</t>
  </si>
  <si>
    <t>notes_explicatives_de_synthese_d_91</t>
  </si>
  <si>
    <t>demande_dinformations_sur_la_bon</t>
  </si>
  <si>
    <t>concerne_enquete_vifsoir_transpa_52</t>
  </si>
  <si>
    <t>enquete_du_journal_le_vif_projet_2</t>
  </si>
  <si>
    <t>demande_de_la_liste_complete_et</t>
  </si>
  <si>
    <t>montant_de_la_taxe_sur_les_logem_12</t>
  </si>
  <si>
    <t>montant_de_la_taxe_sur_les_logem_13</t>
  </si>
  <si>
    <t>demande_de_la_liste_complete_rep</t>
  </si>
  <si>
    <t>montant_de_la_taxe_sur_les_logem_16</t>
  </si>
  <si>
    <t>expulsions</t>
  </si>
  <si>
    <t>projets_de_deliberations_2</t>
  </si>
  <si>
    <t>montant_de_la_taxe_sur_les_logem_20</t>
  </si>
  <si>
    <t>decisions_et_registres_sur_les_d_269</t>
  </si>
  <si>
    <t>circulairenote_de_service_utilis_2</t>
  </si>
  <si>
    <t>nombre_de_personnes_en_adresse_d_5</t>
  </si>
  <si>
    <t>non_respect_flagrant_du_stationn</t>
  </si>
  <si>
    <t>concerne_enquete_vifsoir_transpa_11</t>
  </si>
  <si>
    <t>demande_de_lorganigramme_actuel</t>
  </si>
  <si>
    <t>projets_de_deliberation_des_poin_50</t>
  </si>
  <si>
    <t>demande_de_la_liste_complete_des_5</t>
  </si>
  <si>
    <t>demande_de_la_liste_detaillee_et</t>
  </si>
  <si>
    <t>subsides_centre_decologie_urbain</t>
  </si>
  <si>
    <t>passage_chambon_laeken_1020_infi_2</t>
  </si>
  <si>
    <t>projets_de_deliberation_des_poin_39</t>
  </si>
  <si>
    <t>releve_des_presence_lors_des_vot</t>
  </si>
  <si>
    <t>copie_du_reglement_dordre_interi</t>
  </si>
  <si>
    <t>arretes_dinhabitabilite_12</t>
  </si>
  <si>
    <t>copie_de_la_facture_du_cerf_comm</t>
  </si>
  <si>
    <t>copie_de_documents_concernant_le</t>
  </si>
  <si>
    <t>demande_de_communication_nombre</t>
  </si>
  <si>
    <t>ventes_de_bois_2</t>
  </si>
  <si>
    <t>arretes_dinhabitabilite_14</t>
  </si>
  <si>
    <t>montant_de_la_taxe_sur_les_logem_21</t>
  </si>
  <si>
    <t>logement_innocupe</t>
  </si>
  <si>
    <t>notes_explicatives_de_synthese_d_92</t>
  </si>
  <si>
    <t>notes_explicatives_de_synthese_d_93</t>
  </si>
  <si>
    <t>demande_de_communication_nombre_2</t>
  </si>
  <si>
    <t>demande_de_communication_nombre_4</t>
  </si>
  <si>
    <t>demande_de_communication_nombre_5</t>
  </si>
  <si>
    <t>demande_de_communication_nombre_6</t>
  </si>
  <si>
    <t>informations_sur_les_dispositifs_28</t>
  </si>
  <si>
    <t>demande_de_la_liste_detaillees_d</t>
  </si>
  <si>
    <t>enquete_vifsoir_transparence_des_50</t>
  </si>
  <si>
    <t>concerne_enquete_vifsoir_transpa_12</t>
  </si>
  <si>
    <t>plan_grand_froid_2017_2018_2019</t>
  </si>
  <si>
    <t>demande_de_la_liste_detaillee_de_2</t>
  </si>
  <si>
    <t>indexation_ris_au_premier_septem</t>
  </si>
  <si>
    <t>demande_de_communication_nombre_9</t>
  </si>
  <si>
    <t>enquete_du_journal_lesoir_projet_37</t>
  </si>
  <si>
    <t>listing_des_logements_inoccupes_16</t>
  </si>
  <si>
    <t>dossier_administratif_complet_re</t>
  </si>
  <si>
    <t>demande_de_communication_nombre_10</t>
  </si>
  <si>
    <t>cadastre_logement_inoccupe_et_in</t>
  </si>
  <si>
    <t>listing_des_logements_inoccupes_19</t>
  </si>
  <si>
    <t>parking_pmr</t>
  </si>
  <si>
    <t>proces_verbaux_du_college</t>
  </si>
  <si>
    <t>montant_de_la_taxe_sur_les_logem_22</t>
  </si>
  <si>
    <t>demande_de_deux_notes_lues_en_se</t>
  </si>
  <si>
    <t>injection_de_prp_plasma_riche_en</t>
  </si>
  <si>
    <t>la_50000000_eu_dette</t>
  </si>
  <si>
    <t>concerne_enquete_vifsoir_transpa_13</t>
  </si>
  <si>
    <t>extraits_des_registres_aux_delib</t>
  </si>
  <si>
    <t>seance_du_college_communal_2019_2023</t>
  </si>
  <si>
    <t>demande_de_communication_nombre_3</t>
  </si>
  <si>
    <t>seance_du_college_communal_2019_2024</t>
  </si>
  <si>
    <t>enquete_avec_la_presse_demande_d_13</t>
  </si>
  <si>
    <t>demande_de_communication_nombre_13</t>
  </si>
  <si>
    <t>enquete_du_journal_le_vif_projet_5</t>
  </si>
  <si>
    <t>identification_des_policiers_et</t>
  </si>
  <si>
    <t>rapport_du_23_octobre_2019</t>
  </si>
  <si>
    <t>demande_de_communication_nombre_14</t>
  </si>
  <si>
    <t>application_rgp_092021_et</t>
  </si>
  <si>
    <t>depenses_de_tubize_dans_le_proje</t>
  </si>
  <si>
    <t>demande_de_communication_nombre_12</t>
  </si>
  <si>
    <t>demande_de_communication_nombre_16</t>
  </si>
  <si>
    <t>communication_des_arretes_dinhab</t>
  </si>
  <si>
    <t>communication_des_arretes_dinhab_3</t>
  </si>
  <si>
    <t>concerne_enquete_vifsoir_transpa_14</t>
  </si>
  <si>
    <t>notes_explicatives_projets_de_de_26</t>
  </si>
  <si>
    <t>seance_du_college_communal_2019_2025</t>
  </si>
  <si>
    <t>locations_de_chasses</t>
  </si>
  <si>
    <t>copie_du_tableau_des_factures_va</t>
  </si>
  <si>
    <t>documents_relatifs_a_lannulation_2</t>
  </si>
  <si>
    <t>forets</t>
  </si>
  <si>
    <t>enquete_du_journal_le_vif_projet_7</t>
  </si>
  <si>
    <t>notes_explicatives_projets_de_de_24</t>
  </si>
  <si>
    <t>projets_de_deliberation_des_poin_98</t>
  </si>
  <si>
    <t>enquete_du_journal_lesoir_projet_44</t>
  </si>
  <si>
    <t>reconstruction_de_la_passerelle</t>
  </si>
  <si>
    <t>voiture_de_societe_notes_du_comi</t>
  </si>
  <si>
    <t>documents_sur_tracabiliteventes_2</t>
  </si>
  <si>
    <t>communication_des_arretes_dinhab_2</t>
  </si>
  <si>
    <t>circulaire_ou_arrete_mendicite_m</t>
  </si>
  <si>
    <t>montant_de_la_taxe_sur_les_logem_27</t>
  </si>
  <si>
    <t>projets_de_deliberation_des_poin_64</t>
  </si>
  <si>
    <t>demande_dacces_au_document_de_pr</t>
  </si>
  <si>
    <t>notes_explicatives_projets_de_de_30</t>
  </si>
  <si>
    <t>concerne_enquete_vifsoir_transpa_15</t>
  </si>
  <si>
    <t>notes_explicatives_projets_de_de_54</t>
  </si>
  <si>
    <t>classement_des_forets_publiques</t>
  </si>
  <si>
    <t>cout_des_appartements_de_fonctio_2</t>
  </si>
  <si>
    <t>decisions_et_registres_sur_les_d_32</t>
  </si>
  <si>
    <t>contrat_de_quartier_bockstael_en</t>
  </si>
  <si>
    <t>notes_explicatives_de_synthese_d_8</t>
  </si>
  <si>
    <t>communication_des_arretes_dinhab_4</t>
  </si>
  <si>
    <t>enquete_du_journal_le_vif_projet_9</t>
  </si>
  <si>
    <t>communication_des_arretes_dinhab_7</t>
  </si>
  <si>
    <t>communication_des_arretes_dinhab_5</t>
  </si>
  <si>
    <t>recensement_sans_chez_soi_ucl_20</t>
  </si>
  <si>
    <t>projets_de_deliberation_des_poin_11</t>
  </si>
  <si>
    <t>modifications_roi_ville_de_namur</t>
  </si>
  <si>
    <t>demande_de_communication_nombre_18</t>
  </si>
  <si>
    <t>communication_des_arretes_dinhab_8</t>
  </si>
  <si>
    <t>demande_de_communication_nombre_20</t>
  </si>
  <si>
    <t>demande_de_communication_nombre_19</t>
  </si>
  <si>
    <t>demande_de_communication_nombre_21</t>
  </si>
  <si>
    <t>demande_de_communication_nombre_22</t>
  </si>
  <si>
    <t>demande_de_communication_nombre_23</t>
  </si>
  <si>
    <t>communication_des_arretes_dinhab_10</t>
  </si>
  <si>
    <t>demande_de_documents_en_relation</t>
  </si>
  <si>
    <t>biomonitoring_pfas_en_zones_dinv</t>
  </si>
  <si>
    <t>concerne_enquete_vifsoir_transpa_16</t>
  </si>
  <si>
    <t>pourcentage_de_logements_sociaux</t>
  </si>
  <si>
    <t>projets_de_deliberation_des_poin_54</t>
  </si>
  <si>
    <t>question_ecrites_toujours_en_att</t>
  </si>
  <si>
    <t>depenses_de_la_commune_dittre_da</t>
  </si>
  <si>
    <t>nombre_de_personnes_en_adresse_d_2</t>
  </si>
  <si>
    <t>notes_explicatives_projets_de_de_37</t>
  </si>
  <si>
    <t>enquete_avec_la_presse_demande_d_14</t>
  </si>
  <si>
    <t>agenda_new_york</t>
  </si>
  <si>
    <t>communication_des_arretes_dinhab_11</t>
  </si>
  <si>
    <t>renovation_gare_bockstael_sncb_1_3</t>
  </si>
  <si>
    <t>patrimoine_immobilier_de_la_vill</t>
  </si>
  <si>
    <t>demande_de_communication_nombre_24</t>
  </si>
  <si>
    <t>destruction_des_batiments_en_bor</t>
  </si>
  <si>
    <t>communication_nombre_de_personne</t>
  </si>
  <si>
    <t>application_de_la_loi_only_once_2</t>
  </si>
  <si>
    <t>mandataires_publiques_figurant_s_14</t>
  </si>
  <si>
    <t>notes_explicatives_projets_de_de_36</t>
  </si>
  <si>
    <t>communication_des_arretes_dinhab_12</t>
  </si>
  <si>
    <t>voyage_ny</t>
  </si>
  <si>
    <t>convention</t>
  </si>
  <si>
    <t>demande_de_dossier_2</t>
  </si>
  <si>
    <t>pose_une_plainte</t>
  </si>
  <si>
    <t>suicide_sur_le_lieu_de_travail</t>
  </si>
  <si>
    <t>notes_explicatives_de_synthese_d_23</t>
  </si>
  <si>
    <t>demandes_de_j_beaupain</t>
  </si>
  <si>
    <t>logements_inoccupes_public_et_pr</t>
  </si>
  <si>
    <t>documents_sur_tracabiliteventes_16</t>
  </si>
  <si>
    <t>communication_des_arretes_dinhab_13</t>
  </si>
  <si>
    <t>notes_explicatives_projets_de_de_56</t>
  </si>
  <si>
    <t>demande_de_communication_nombre_17</t>
  </si>
  <si>
    <t>comite_de_remuneration</t>
  </si>
  <si>
    <t>demande_de_communication_nombre_8</t>
  </si>
  <si>
    <t>enquete_du_journal_le_vif_projet_11</t>
  </si>
  <si>
    <t>notes_explicatives_de_synthese_d_15</t>
  </si>
  <si>
    <t>communication_des_montants_percu_5</t>
  </si>
  <si>
    <t>demande_de_copie_de_la_conventio</t>
  </si>
  <si>
    <t>le_nombre_de_deces_suite_a_la_pa</t>
  </si>
  <si>
    <t>comptes_relatifs_a_limplementati</t>
  </si>
  <si>
    <t>communication_des_arretes_dinhab_9</t>
  </si>
  <si>
    <t>jardin_collectif_rue_champ_de_le</t>
  </si>
  <si>
    <t>demande_de_communication_nombre_15</t>
  </si>
  <si>
    <t>conseil_communal_seance_du_lundi_74</t>
  </si>
  <si>
    <t>conseil_communal_seance_du_12_no</t>
  </si>
  <si>
    <t>conseil_de_laction_sociale_seanc</t>
  </si>
  <si>
    <t>seance_du_college_communal_2019_2026</t>
  </si>
  <si>
    <t>seance_du_college_communal_2020</t>
  </si>
  <si>
    <t>demande_dextrait_du_registre_des</t>
  </si>
  <si>
    <t>delivrance_de_la_copie_de_la_lis</t>
  </si>
  <si>
    <t>les_subventions_a_gsk</t>
  </si>
  <si>
    <t>les_voitures_de_societe</t>
  </si>
  <si>
    <t>demande_de_dossier</t>
  </si>
  <si>
    <t>proces_verbal_ecrit_commission_d</t>
  </si>
  <si>
    <t>securite_routiere_quartier_rue_c</t>
  </si>
  <si>
    <t>notes_explicatives_projets_de_de_38</t>
  </si>
  <si>
    <t>fixmystreet_bruxelles_inventaire_2</t>
  </si>
  <si>
    <t>enquete_avec_la_presse_demande_d_21</t>
  </si>
  <si>
    <t>documents_sur_provenance_des_boi</t>
  </si>
  <si>
    <t>issue_du_vote_participatif_nouve</t>
  </si>
  <si>
    <t>communication_des_montants_percu_6</t>
  </si>
  <si>
    <t>rapport_greco_2022</t>
  </si>
  <si>
    <t>enquete_avec_la_presse_demande_d_26</t>
  </si>
  <si>
    <t>decisions_et_registres_sur_les_d_7</t>
  </si>
  <si>
    <t>subsides_accordes_a_lasbl_le_ref</t>
  </si>
  <si>
    <t>enquete_du_journal_le_vif_projet_51</t>
  </si>
  <si>
    <t>notes_explicatives_de_synthese_d_10</t>
  </si>
  <si>
    <t>mandataires_publiques_figurant_s_2</t>
  </si>
  <si>
    <t>mandataires_publiques_figurant_s_6</t>
  </si>
  <si>
    <t>attribution_de_subsides_aux_orga</t>
  </si>
  <si>
    <t>rapport_2018_et_plans_de_gestion</t>
  </si>
  <si>
    <t>acces_aux_donnees_budgetaires_et</t>
  </si>
  <si>
    <t>concerne_enquete_vifsoir_transpa_19</t>
  </si>
  <si>
    <t>decisions_et_registres_sur_les_d_14</t>
  </si>
  <si>
    <t>communication_des_montants_percu_7</t>
  </si>
  <si>
    <t>decisions_et_registres_sur_les_d_26</t>
  </si>
  <si>
    <t>decisions_et_registres_sur_les_d_28</t>
  </si>
  <si>
    <t>decisions_et_registres_sur_les_d_35</t>
  </si>
  <si>
    <t>decisions_et_registres_sur_les_d_11</t>
  </si>
  <si>
    <t>decisions_et_registres_sur_les_d_12</t>
  </si>
  <si>
    <t>documents_sur_tracabiliteventes_7</t>
  </si>
  <si>
    <t>notes_explicatives_projets_de_de_40</t>
  </si>
  <si>
    <t>decisions_et_registres_sur_les_d_36</t>
  </si>
  <si>
    <t>demande_de_document_a_propos_des</t>
  </si>
  <si>
    <t>communication_des_montants_percu_8</t>
  </si>
  <si>
    <t>enquete_du_journal_le_vif_projet_13</t>
  </si>
  <si>
    <t>notes_explicatives_de_synthese_d_7</t>
  </si>
  <si>
    <t>communication_des_montants_percu_9</t>
  </si>
  <si>
    <t>paiement_en_cash</t>
  </si>
  <si>
    <t>notes_explicatives_de_synthese_d_9</t>
  </si>
  <si>
    <t>enquete_du_journal_le_vif_projet_59</t>
  </si>
  <si>
    <t>decisions_et_registres_sur_les_d_38</t>
  </si>
  <si>
    <t>decisions_et_registres_sur_les_d_45</t>
  </si>
  <si>
    <t>comites_dattribution_des_societe_2</t>
  </si>
  <si>
    <t>decisions_et_registres_sur_les_d_47</t>
  </si>
  <si>
    <t>decisions_et_registres_sur_les_d_56</t>
  </si>
  <si>
    <t>concerne_enquete_vifsoir_transpa_24</t>
  </si>
  <si>
    <t>notes_explicatives_projets_de_de_42</t>
  </si>
  <si>
    <t>decisions_et_registres_sur_les_d_58</t>
  </si>
  <si>
    <t>documents_concernant_la_proposit</t>
  </si>
  <si>
    <t>communication_des_montants_percu_10</t>
  </si>
  <si>
    <t>vente_de_bois_de_chauffage</t>
  </si>
  <si>
    <t>decisions_et_registres_sur_les_d_140</t>
  </si>
  <si>
    <t>decisions_et_registres_sur_les_d_255</t>
  </si>
  <si>
    <t>vote_participatif_annie_cordy_co_2</t>
  </si>
  <si>
    <t>documents_sur_tracabiliteventes</t>
  </si>
  <si>
    <t>cadastre_des_espaces_verts_et_in</t>
  </si>
  <si>
    <t>comites_dattribution_des_societe_4</t>
  </si>
  <si>
    <t>demande_de_pv_du_comite_de_remun</t>
  </si>
  <si>
    <t>decisions_et_registres_sur_les_d_70</t>
  </si>
  <si>
    <t>decisions_et_registres_sur_les_d_71</t>
  </si>
  <si>
    <t>notes_explicatives_de_synthese_d_19</t>
  </si>
  <si>
    <t>enquete_du_journal_le_vif_projet_16</t>
  </si>
  <si>
    <t>dossier_creche_demande_de_copies</t>
  </si>
  <si>
    <t>enquete_du_journal_lesoir_projet_32</t>
  </si>
  <si>
    <t>listing_arretes_inhabitabilite_4</t>
  </si>
  <si>
    <t>demande_de_la_liste_du_patrimoin_9</t>
  </si>
  <si>
    <t>contributions_rebecquois_dans_la</t>
  </si>
  <si>
    <t>listing_arretes_inhabitabilite_17</t>
  </si>
  <si>
    <t>communication_des_montants_percu_11</t>
  </si>
  <si>
    <t>mandataires_publiques_figurant_s_5</t>
  </si>
  <si>
    <t>notes_explicatives_de_synthese_d_6</t>
  </si>
  <si>
    <t>date_et_ordre_du_jour_du_conseil</t>
  </si>
  <si>
    <t>diffusion_du_conseil_communal_su</t>
  </si>
  <si>
    <t>comptes_et_budgets_du_cpas_de_ve</t>
  </si>
  <si>
    <t>cahier_des_charges_2018_1432_et</t>
  </si>
  <si>
    <t>demandes_de_derogation_des_festi</t>
  </si>
  <si>
    <t>enquete_du_journal_le_vif_projet_78</t>
  </si>
  <si>
    <t>mandataires_publiques_figurant_s_11</t>
  </si>
  <si>
    <t>registre_des_pieces_publieesreti</t>
  </si>
  <si>
    <t>demande_de_la_liste_du_patrimoin_5</t>
  </si>
  <si>
    <t>interpellation_citoyenne_relativ</t>
  </si>
  <si>
    <t>justificatifs_des_frais_de_voyag</t>
  </si>
  <si>
    <t>analyse_comparative_des_finances_272</t>
  </si>
  <si>
    <t>conseil_communal_de_septembre_20</t>
  </si>
  <si>
    <t>registre_de_securite_des_ecoles_6</t>
  </si>
  <si>
    <t>opacite_sur_les_ventes_publiques</t>
  </si>
  <si>
    <t>analyse_comparative_des_finances_174</t>
  </si>
  <si>
    <t>communication_des_montants_percu_13</t>
  </si>
  <si>
    <t>analyse_comparative_des_finances_172</t>
  </si>
  <si>
    <t>conseil_communal_seance_du_lundi_75</t>
  </si>
  <si>
    <t>copie_du_pv_du_conseil_communal</t>
  </si>
  <si>
    <t>logements_sociaux</t>
  </si>
  <si>
    <t>concerne_enquete_vifsoir_transpa_27</t>
  </si>
  <si>
    <t>listing_arretes_inhabitabilite_38</t>
  </si>
  <si>
    <t>total_number_of_police_station</t>
  </si>
  <si>
    <t>mandataires_publiques_figurant_s_12</t>
  </si>
  <si>
    <t>reamenagement_des_abords_de_lanc_6</t>
  </si>
  <si>
    <t>conseil_communal_seance_du_lundi_76</t>
  </si>
  <si>
    <t>taxe_sur_les_debits_de_boissons</t>
  </si>
  <si>
    <t>seance_du_college_communal_2020_2026</t>
  </si>
  <si>
    <t>bail_fedasilthierry_aerts_pour_l</t>
  </si>
  <si>
    <t>decisions_et_registres_sur_les_d_80</t>
  </si>
  <si>
    <t>pouvez_vous_me_fournir_les_docum</t>
  </si>
  <si>
    <t>correspondancenotes_et_comptes_r</t>
  </si>
  <si>
    <t>demande_de_documents_lies_aux_co</t>
  </si>
  <si>
    <t>copie_de_la_note_de_synthese_exp_5</t>
  </si>
  <si>
    <t>arretes_dinhabitabilite_16</t>
  </si>
  <si>
    <t>listing_arretes_inhabitabilite_40</t>
  </si>
  <si>
    <t>etude_dincidence_horeca_ancienne</t>
  </si>
  <si>
    <t>communication_des_montants_percu_14</t>
  </si>
  <si>
    <t>listing_arretes_inhabitabilite_64</t>
  </si>
  <si>
    <t>arretes_dinhabitabilite_17</t>
  </si>
  <si>
    <t>decisions_et_registres_sur_les_d_23</t>
  </si>
  <si>
    <t>arretes_dinhabitabilite_19</t>
  </si>
  <si>
    <t>notes_explicatives_de_synthese_d_21</t>
  </si>
  <si>
    <t>mandataires_publiques_figurant_s_13</t>
  </si>
  <si>
    <t>decisions_et_registres_sur_les_d_92</t>
  </si>
  <si>
    <t>decisions_et_registres_sur_les_d_93</t>
  </si>
  <si>
    <t>rapport_du_gees_date_du_14_aout</t>
  </si>
  <si>
    <t>arretes_dinhabitabilite_20</t>
  </si>
  <si>
    <t>convention_entre_la_ville_de_bru</t>
  </si>
  <si>
    <t>demande_de_documents_sur_le_trai_5</t>
  </si>
  <si>
    <t>decisions_et_registres_sur_les_d_103</t>
  </si>
  <si>
    <t>communication_des_montants_percu_15</t>
  </si>
  <si>
    <t>projets_de_deliberation_des_poin_15</t>
  </si>
  <si>
    <t>enquete_du_journal_le_vif_projet_17</t>
  </si>
  <si>
    <t>decisions_et_registres_sur_les_d_125</t>
  </si>
  <si>
    <t>decisions_et_registres_sur_les_d_120</t>
  </si>
  <si>
    <t>enquete_du_journal_le_vif_projet_55</t>
  </si>
  <si>
    <t>oeuvre_dart_le_chat_p_geluck_fac</t>
  </si>
  <si>
    <t>informations_sur_les_personnes_m_2</t>
  </si>
  <si>
    <t>informations_sur_les_personnes_m</t>
  </si>
  <si>
    <t>primes_percues_par_les_instituti</t>
  </si>
  <si>
    <t>decisions_et_registres_sur_les_d_114</t>
  </si>
  <si>
    <t>avantage_nature</t>
  </si>
  <si>
    <t>contrat_de_renovation_urbaine_st</t>
  </si>
  <si>
    <t>vente_publique</t>
  </si>
  <si>
    <t>decisions_et_registres_sur_les_d_118</t>
  </si>
  <si>
    <t>decisions_et_registres_sur_les_d_121</t>
  </si>
  <si>
    <t>informations_sur_les_personnes_m_4</t>
  </si>
  <si>
    <t>decisions_et_registres_sur_les_d_128</t>
  </si>
  <si>
    <t>dossier_de_candidature_presentan_2</t>
  </si>
  <si>
    <t>criteres_permettant_de_sortir_de</t>
  </si>
  <si>
    <t>proces_verbal_reunion_concernait</t>
  </si>
  <si>
    <t>decisions_et_registres_sur_les_d_134</t>
  </si>
  <si>
    <t>tout_document_et_correspondance_4</t>
  </si>
  <si>
    <t>decisions_et_registres_sur_les_d_152</t>
  </si>
  <si>
    <t>communication_des_montants_percu_16</t>
  </si>
  <si>
    <t>cimetiere_de_maubray_exhumation</t>
  </si>
  <si>
    <t>notes_explicatives_de_synthese_d_14</t>
  </si>
  <si>
    <t>copie_interpellation_citoyenne_d</t>
  </si>
  <si>
    <t>exclusion_du_ptb_du_plateau_lors</t>
  </si>
  <si>
    <t>decisions_et_registres_sur_les_d_142</t>
  </si>
  <si>
    <t>rtbf_exclusion_repetee_du_ptb_de</t>
  </si>
  <si>
    <t>passage_chambon_1020_laeken_mur</t>
  </si>
  <si>
    <t>decisions_et_registres_sur_les_d_136</t>
  </si>
  <si>
    <t>decisions_et_registres_sur_les_d_147</t>
  </si>
  <si>
    <t>bruit_foire_du_midi_2</t>
  </si>
  <si>
    <t>arrete_du_24_juillet_2020_obliga</t>
  </si>
  <si>
    <t>communication_faite_au_secretair</t>
  </si>
  <si>
    <t>decisions_et_registres_sur_les_d_159</t>
  </si>
  <si>
    <t>decisions_et_registres_sur_les_d_157</t>
  </si>
  <si>
    <t>notes_explicatives_de_synthese_d_20</t>
  </si>
  <si>
    <t>decisions_et_registres_sur_les_d_168</t>
  </si>
  <si>
    <t>description_de_la_procedure_de_t</t>
  </si>
  <si>
    <t>decisions_et_registres_sur_les_d_158</t>
  </si>
  <si>
    <t>decisions_et_registres_sur_les_d_155</t>
  </si>
  <si>
    <t>decisions_et_registres_sur_les_d_171</t>
  </si>
  <si>
    <t>concerne_enquete_vifsoir_transpa_29</t>
  </si>
  <si>
    <t>demande_pv_conseils_communaux_de</t>
  </si>
  <si>
    <t>a_quelle_date_votre_administrati</t>
  </si>
  <si>
    <t>consignes_donnees_aux_medecins_g</t>
  </si>
  <si>
    <t>declarations_son_amplifie</t>
  </si>
  <si>
    <t>arretes_dinhabitabilite_22</t>
  </si>
  <si>
    <t>decisions_et_registres_sur_les_d_182</t>
  </si>
  <si>
    <t>notes_explicatives_de_synthese_d_4</t>
  </si>
  <si>
    <t>decisions_et_registres_sur_les_d_190</t>
  </si>
  <si>
    <t>communication_des_montants_percu_17</t>
  </si>
  <si>
    <t>frais_divers_et_de_notaire_conce</t>
  </si>
  <si>
    <t>decisions_et_registres_sur_les_d_184</t>
  </si>
  <si>
    <t>la_sapiniere_demande_des_documen</t>
  </si>
  <si>
    <t>decisions_et_registres_sur_les_d_185</t>
  </si>
  <si>
    <t>decisions_et_registres_sur_les_d_201</t>
  </si>
  <si>
    <t>decisions_et_registres_sur_les_d_197</t>
  </si>
  <si>
    <t>decisions_et_registres_sur_les_d_196</t>
  </si>
  <si>
    <t>arretes_dinhabitabilite_23</t>
  </si>
  <si>
    <t>decisions_et_registres_sur_les_d_210</t>
  </si>
  <si>
    <t>pv_de_designation_dun_directeur</t>
  </si>
  <si>
    <t>travaux_preparatoires_de_larrete_2</t>
  </si>
  <si>
    <t>avis_juridique_diffusion_seances</t>
  </si>
  <si>
    <t>decisions_et_registres_sur_les_d_219</t>
  </si>
  <si>
    <t>decisions_et_registres_sur_les_d_144</t>
  </si>
  <si>
    <t>dossier_de_candidature_presentan</t>
  </si>
  <si>
    <t>decisions_et_registres_sur_les_d_215</t>
  </si>
  <si>
    <t>decisions_et_registres_sur_les_d_232</t>
  </si>
  <si>
    <t>decisions_et_registres_sur_les_d_220</t>
  </si>
  <si>
    <t>decisions_et_registres_sur_les_d_234</t>
  </si>
  <si>
    <t>demande_de_transparence_enquete_2</t>
  </si>
  <si>
    <t>decisions_et_registres_sur_les_d_289</t>
  </si>
  <si>
    <t>decisions_et_registres_sur_les_d_287</t>
  </si>
  <si>
    <t>commission_de_concertation_14072</t>
  </si>
  <si>
    <t>notes_explicatives_de_synthese_d_22</t>
  </si>
  <si>
    <t>analyse_realisee_par_la_cellule</t>
  </si>
  <si>
    <t>enquete_du_journal_le_vif_projet_18</t>
  </si>
  <si>
    <t>concerne_enquete_vifsoir_transpa_32</t>
  </si>
  <si>
    <t>decisions_et_registres_sur_les_d_204</t>
  </si>
  <si>
    <t>decisions_et_registres_sur_les_d_239</t>
  </si>
  <si>
    <t>decisions_et_registres_sur_les_d_241</t>
  </si>
  <si>
    <t>decisions_et_registres_sur_les_d_244</t>
  </si>
  <si>
    <t>decisions_et_registres_sur_les_d_246</t>
  </si>
  <si>
    <t>decisions_et_registres_sur_les_d_238</t>
  </si>
  <si>
    <t>informations_sur_les_dispositifs_39</t>
  </si>
  <si>
    <t>notes_explicatives_de_synthese_d_24</t>
  </si>
  <si>
    <t>decisions_et_registres_sur_les_d_247</t>
  </si>
  <si>
    <t>decisions_et_registres_sur_les_d_254</t>
  </si>
  <si>
    <t>rapports_des_experts_conseillant</t>
  </si>
  <si>
    <t>concerne_enquete_vifsoir_transpa_35</t>
  </si>
  <si>
    <t>decisions_et_registres_sur_les_d_261</t>
  </si>
  <si>
    <t>decisions_et_registres_sur_les_d_272</t>
  </si>
  <si>
    <t>decisions_et_registres_sur_les_d_262</t>
  </si>
  <si>
    <t>rapport_ocam_evoque_par_larticle</t>
  </si>
  <si>
    <t>decisions_et_registres_sur_les_d_266</t>
  </si>
  <si>
    <t>rapport_du_celeval_ayant_mene_a</t>
  </si>
  <si>
    <t>decisions_et_registres_sur_les_d_273</t>
  </si>
  <si>
    <t>decisions_et_registres_sur_les_d_274</t>
  </si>
  <si>
    <t>decisions_et_registres_sur_les_d_340</t>
  </si>
  <si>
    <t>decisions_et_registres_sur_les_d_302</t>
  </si>
  <si>
    <t>enquete_avec_la_presse_demande_d_28</t>
  </si>
  <si>
    <t>decisions_et_registres_sur_les_d_296</t>
  </si>
  <si>
    <t>informations_sur_les_dispositifs_78</t>
  </si>
  <si>
    <t>decisions_et_registres_sur_les_d_277</t>
  </si>
  <si>
    <t>decisions_et_registres_sur_les_d_284</t>
  </si>
  <si>
    <t>poubelles_restant_a_demeure_sur</t>
  </si>
  <si>
    <t>decisions_et_registres_sur_les_d_281</t>
  </si>
  <si>
    <t>projets_de_deliberation_des_poin_25</t>
  </si>
  <si>
    <t>parking_parvis_notre_dame_laeken</t>
  </si>
  <si>
    <t>decisions_et_registres_sur_les_d_286</t>
  </si>
  <si>
    <t>contrat_d_assurance</t>
  </si>
  <si>
    <t>decisions_et_registres_sur_les_d_335</t>
  </si>
  <si>
    <t>demande_de_copie_du_permis_de_ba</t>
  </si>
  <si>
    <t>notes_explicatives_de_synthese_d_2</t>
  </si>
  <si>
    <t>echanges_avec_les_autorites_alle</t>
  </si>
  <si>
    <t>decisions_et_registres_sur_les_d_322</t>
  </si>
  <si>
    <t>decisions_et_registres_sur_les_d_297</t>
  </si>
  <si>
    <t>decisions_et_registres_sur_les_d_324</t>
  </si>
  <si>
    <t>arretes_dinhabitabilite_13</t>
  </si>
  <si>
    <t>decisions_et_registres_sur_les_d_311</t>
  </si>
  <si>
    <t>octroi_des_marches_publics</t>
  </si>
  <si>
    <t>la_cellule_ethique_de_la_swl</t>
  </si>
  <si>
    <t>decisions_et_registres_sur_les_d_298</t>
  </si>
  <si>
    <t>decisions_et_registres_sur_les_d_315</t>
  </si>
  <si>
    <t>projets_de_deliberation_des_poin_58</t>
  </si>
  <si>
    <t>reamenagement_de_lancienne_gare</t>
  </si>
  <si>
    <t>informations_sur_les_dispositifs_190</t>
  </si>
  <si>
    <t>cahier_des_charges_bureau_etude</t>
  </si>
  <si>
    <t>centre_de_cooperation_policiere</t>
  </si>
  <si>
    <t>montant_de_la_taxe_sur_les_logem_6</t>
  </si>
  <si>
    <t>decisions_et_registres_sur_les_d_345</t>
  </si>
  <si>
    <t>nouveau_reglement_taxes_habitats</t>
  </si>
  <si>
    <t>notes_explicatives_de_synthese_d_3</t>
  </si>
  <si>
    <t>decisions_et_registres_sur_les_d_328</t>
  </si>
  <si>
    <t>decisions_et_registres_sur_les_d_343</t>
  </si>
  <si>
    <t>enquete_du_journal_lesoir_projet_9</t>
  </si>
  <si>
    <t>decisions_et_registres_sur_les_d_338</t>
  </si>
  <si>
    <t>decisions_et_registres_sur_les_d_330</t>
  </si>
  <si>
    <t>decisions_et_registres_sur_les_d_349</t>
  </si>
  <si>
    <t>liste_des_logements_inoccupes</t>
  </si>
  <si>
    <t>decisions_et_registres_sur_les_d_346</t>
  </si>
  <si>
    <t>decisions_et_registres_sur_les_d_350</t>
  </si>
  <si>
    <t>decisions_et_registres_sur_les_d_352</t>
  </si>
  <si>
    <t>notes_explicatives_projets_de_de</t>
  </si>
  <si>
    <t>concerne_enquete_vifsoir_transpa_36</t>
  </si>
  <si>
    <t>montant_de_la_taxe_sur_les_logem_9</t>
  </si>
  <si>
    <t>informations_sur_la_permanence_j</t>
  </si>
  <si>
    <t>etude_dincidence_horeca_serre_ur</t>
  </si>
  <si>
    <t>montant_de_la_taxe_sur_les_logem_14</t>
  </si>
  <si>
    <t>decisions_et_registres_sur_les_d_358</t>
  </si>
  <si>
    <t>comptes_annuels_de_2019</t>
  </si>
  <si>
    <t>montant_de_la_taxe_sur_les_logem_17</t>
  </si>
  <si>
    <t>parking_parvis_notre_dame_a_1020</t>
  </si>
  <si>
    <t>decisions_et_registres_sur_les_d_357</t>
  </si>
  <si>
    <t>roadshow_annonce_dans_la_presse</t>
  </si>
  <si>
    <t>montant_de_la_taxe_sur_les_logem_19</t>
  </si>
  <si>
    <t>decisions_et_registres_sur_les_d_362</t>
  </si>
  <si>
    <t>montant_de_la_taxe_sur_les_logem_18</t>
  </si>
  <si>
    <t>composition_du_cabinet_de_mme_la_2</t>
  </si>
  <si>
    <t>decisions_et_registres_sur_les_d_360</t>
  </si>
  <si>
    <t>enquete_du_journal_le_vif_projet_19</t>
  </si>
  <si>
    <t>decisions_et_registres_sur_les_d_333</t>
  </si>
  <si>
    <t>cabinets_des_bourgmestres_et_ech</t>
  </si>
  <si>
    <t>ligne_44_demande_dune_copie_du_r</t>
  </si>
  <si>
    <t>decisions_et_registres_sur_les_d_154</t>
  </si>
  <si>
    <t>montant_de_la_taxe_sur_les_logem_28</t>
  </si>
  <si>
    <t>echange_de_courriel_17092021_ame</t>
  </si>
  <si>
    <t>decisions_et_registres_sur_les_d_363</t>
  </si>
  <si>
    <t>decisions_et_registres_sur_les_d_270</t>
  </si>
  <si>
    <t>decisions_et_registres_sur_les_d_192</t>
  </si>
  <si>
    <t>reponse_a_la_question_0609_legis</t>
  </si>
  <si>
    <t>delai_pour_demolition_imposee</t>
  </si>
  <si>
    <t>notes_explicatives_de_synthese_d_12</t>
  </si>
  <si>
    <t>atelier_serre_urbaine_21042021_c</t>
  </si>
  <si>
    <t>concerne_enquete_vifsoir_transpa_44</t>
  </si>
  <si>
    <t>pv_du_vote_en_faveur_de_lachat_d</t>
  </si>
  <si>
    <t>demande_de_documents_a_propos_du</t>
  </si>
  <si>
    <t>promotion_de_responsable_du_noya</t>
  </si>
  <si>
    <t>etude_dincidence_horecacommerces</t>
  </si>
  <si>
    <t>decisions_et_registres_sur_les_d_100</t>
  </si>
  <si>
    <t>demande_de_la_liste_du_patrimoin_12</t>
  </si>
  <si>
    <t>volumes_des_sacs</t>
  </si>
  <si>
    <t>directeur_de_la_commune</t>
  </si>
  <si>
    <t>informations_sur_le_projet_vicig</t>
  </si>
  <si>
    <t>decisions_et_registres_sur_les_d_361</t>
  </si>
  <si>
    <t>notes_explicatives_projets_de_de_25</t>
  </si>
  <si>
    <t>demande_des_pv_du_college_commun</t>
  </si>
  <si>
    <t>notes_explicatives_projets_de_de_23</t>
  </si>
  <si>
    <t>demande_de_document_envoye_au_mi</t>
  </si>
  <si>
    <t>notes_explicatives_projets_de_de_20</t>
  </si>
  <si>
    <t>passage_chambon_laeken_1020</t>
  </si>
  <si>
    <t>projets_de_deliberation_des_poin_44</t>
  </si>
  <si>
    <t>notes_explicatives_de_synthese_d_17</t>
  </si>
  <si>
    <t>notes_explicatives_projets_de_de_2</t>
  </si>
  <si>
    <t>participation_de_la_commune_aux</t>
  </si>
  <si>
    <t>enquete_du_journal_le_vif_projet_27</t>
  </si>
  <si>
    <t>serre_urbaine_agricole_green_cit</t>
  </si>
  <si>
    <t>taxes_2021_sur_les_secondes_resi_2</t>
  </si>
  <si>
    <t>demande_dinformation_sur_les_sys</t>
  </si>
  <si>
    <t>enquete_du_journal_le_vif_projet_29</t>
  </si>
  <si>
    <t>concerne_enquete_vifsoir_transpa_46</t>
  </si>
  <si>
    <t>notes_explicatives_de_synthese_d_25</t>
  </si>
  <si>
    <t>participants_a_lappel_doffre_con</t>
  </si>
  <si>
    <t>demande_du_montant_total_provena</t>
  </si>
  <si>
    <t>permis_durbanisme_copie_referenc</t>
  </si>
  <si>
    <t>devis_cout_de_la_fresque_annie_c</t>
  </si>
  <si>
    <t>rapport_joint_a_la_resolution_du</t>
  </si>
  <si>
    <t>demande_de_documents_ayant_trait_3</t>
  </si>
  <si>
    <t>taxes_2021_sur_les_secondes_resi_3</t>
  </si>
  <si>
    <t>arretes_dinhabitabilite_11</t>
  </si>
  <si>
    <t>statut_des_personnels_de_bars_a</t>
  </si>
  <si>
    <t>reponse_a_la_question_0609_legis_2</t>
  </si>
  <si>
    <t>demande_des_copies_des_rapports</t>
  </si>
  <si>
    <t>recommandations_du_cabinet_de_co</t>
  </si>
  <si>
    <t>travaux_realises_pour_infrabel_e</t>
  </si>
  <si>
    <t>seance_publique_de_ce_jeudi_28_s</t>
  </si>
  <si>
    <t>enquete_du_journal_le_vif_projet_8</t>
  </si>
  <si>
    <t>sol_mambaye_et_rie_adoptes_en_se</t>
  </si>
  <si>
    <t>enquete_vifsoir_transparence_des_33</t>
  </si>
  <si>
    <t>taxes_2021_sur_les_secondes_resi_6</t>
  </si>
  <si>
    <t>demande_de_documents_a_propos_de_2</t>
  </si>
  <si>
    <t>ecoles_de_courcelles_glacerie_et</t>
  </si>
  <si>
    <t>enquete_du_journal_le_vif_projet_32</t>
  </si>
  <si>
    <t>marches_publics</t>
  </si>
  <si>
    <t>motivations_detaillees_recours_t_2</t>
  </si>
  <si>
    <t>budget_2021_documents_produits_p</t>
  </si>
  <si>
    <t>rapport_stabilite_eglise_des_rec</t>
  </si>
  <si>
    <t>notes_explicatives_de_synthese_d_26</t>
  </si>
  <si>
    <t>demande_decopies_de_procurations</t>
  </si>
  <si>
    <t>reunions_concernant_les_2_propos_3</t>
  </si>
  <si>
    <t>piste_cyclo_pietonne_ancienne_ga_2</t>
  </si>
  <si>
    <t>copie_des_etudes_qualimat_origin</t>
  </si>
  <si>
    <t>pv_du_colege_des_03_et_10_mars_2</t>
  </si>
  <si>
    <t>dossier_dinstruction_recours_tut</t>
  </si>
  <si>
    <t>taxes_2021_sur_les_secondes_resi_7</t>
  </si>
  <si>
    <t>cout_des_appartements_de_fonctio</t>
  </si>
  <si>
    <t>decisions_et_registres_sur_les_d_96</t>
  </si>
  <si>
    <t>projets_de_deliberation_des_poin_14</t>
  </si>
  <si>
    <t>budgets_et_comptes</t>
  </si>
  <si>
    <t>immeuble_floyd_1020_laeken_pv_de</t>
  </si>
  <si>
    <t>notes_explicatives_de_synthese_d_27</t>
  </si>
  <si>
    <t>nomination_directrice_generale_a_2</t>
  </si>
  <si>
    <t>conseil_communal_du_30012023_rep</t>
  </si>
  <si>
    <t>declaration_dinterets_de_madame</t>
  </si>
  <si>
    <t>documents_preparatoires_du_proch_44</t>
  </si>
  <si>
    <t>concerne_enquete_vifsoir_transpa_48</t>
  </si>
  <si>
    <t>panneaux_port_du_masque_obligato</t>
  </si>
  <si>
    <t>passage_chambon_laeken_etude_pat</t>
  </si>
  <si>
    <t>notes_explicatives_projets_de_de_45</t>
  </si>
  <si>
    <t>deliberation_du_college_du_1512</t>
  </si>
  <si>
    <t>musee_bilan_2020</t>
  </si>
  <si>
    <t>primes_percues_par_les_medecins</t>
  </si>
  <si>
    <t>economies_budgetaires_de_10_circ</t>
  </si>
  <si>
    <t>taxes_2021_sur_les_secondes_resi_11</t>
  </si>
  <si>
    <t>vos_chiffres_marches_publics_et</t>
  </si>
  <si>
    <t>retrait_du_buste_de_m_roger_nols</t>
  </si>
  <si>
    <t>enquete_du_journal_le_vif_projet_33</t>
  </si>
  <si>
    <t>appel_doffre_contrats_signes_ent</t>
  </si>
  <si>
    <t>illuminations_nocturne</t>
  </si>
  <si>
    <t>projets_de_deliberation_des_poin_52</t>
  </si>
  <si>
    <t>notes_explicatives_de_synthese_d_28</t>
  </si>
  <si>
    <t>pv_de_cloture_de_l_enquete_publi</t>
  </si>
  <si>
    <t>elements_relatifs_au_point_6_de</t>
  </si>
  <si>
    <t>enquete_du_journal_le_vif_projet_36</t>
  </si>
  <si>
    <t>enquete_vifsoir_transparence_des_34</t>
  </si>
  <si>
    <t>notes_explicatives_projets_de_de_28</t>
  </si>
  <si>
    <t>notes_explicatives_de_synthese_d_30</t>
  </si>
  <si>
    <t>decisions_et_registres_sur_les_d_99</t>
  </si>
  <si>
    <t>visites_de_votre_site_internet</t>
  </si>
  <si>
    <t>projets_de_deliberation_des_poin_37</t>
  </si>
  <si>
    <t>inventaire_amiante_et_programme</t>
  </si>
  <si>
    <t>subsite_pour_installation_pannea</t>
  </si>
  <si>
    <t>decisions_et_registres_sur_les_d_256</t>
  </si>
  <si>
    <t>decisions_et_registres_sur_les_d_267</t>
  </si>
  <si>
    <t>decisions_et_registres_sur_les_d_280</t>
  </si>
  <si>
    <t>demande_dune_copie_de_liste_des</t>
  </si>
  <si>
    <t>vente_de_la_male_he_2</t>
  </si>
  <si>
    <t>polysomnographie_a_lhopital_code</t>
  </si>
  <si>
    <t>identification_de_la_police</t>
  </si>
  <si>
    <t>conseil_communal_seance_du_mardi_8</t>
  </si>
  <si>
    <t>decisions_et_registres_sur_les_d_263</t>
  </si>
  <si>
    <t>demande_dextrait_de_pv_de_colleg</t>
  </si>
  <si>
    <t>demande_numero_2_de_copie_comple</t>
  </si>
  <si>
    <t>decisions_et_registres_sur_les_d_41</t>
  </si>
  <si>
    <t>conseil_communal_seance_du_mardi_9</t>
  </si>
  <si>
    <t>demande_dinformation_sur_contrat</t>
  </si>
  <si>
    <t>dossier_dinstruction_recours_tut_2</t>
  </si>
  <si>
    <t>obtention_dune_copie_de_delibera_3</t>
  </si>
  <si>
    <t>ordres_du_jour_et_pv_du_conseil</t>
  </si>
  <si>
    <t>passage_chambon_1020_laeken_corr_8</t>
  </si>
  <si>
    <t>conseil_communal_de_juin_projets</t>
  </si>
  <si>
    <t>decisions_et_registres_sur_les_d_341</t>
  </si>
  <si>
    <t>decisions_et_registres_sur_les_d_304</t>
  </si>
  <si>
    <t>projets_de_deliberation_des_poin_91</t>
  </si>
  <si>
    <t>decisions_et_registres_sur_les_d_233</t>
  </si>
  <si>
    <t>concerne_enquete_vifsoir_transpa_2</t>
  </si>
  <si>
    <t>enquete_du_journal_le_vif_projet_38</t>
  </si>
  <si>
    <t>concerne_enquete_vifsoir_transpa_49</t>
  </si>
  <si>
    <t>informations_sur_les_dispositifs_6</t>
  </si>
  <si>
    <t>nombre_de_beneficiaires_effectif</t>
  </si>
  <si>
    <t>liste_des_detachements_de_person</t>
  </si>
  <si>
    <t>extraits_des_pv_du_college_confi</t>
  </si>
  <si>
    <t>obtention_dune_copie_de_delibera_4</t>
  </si>
  <si>
    <t>informations_sur_les_dispositifs_11</t>
  </si>
  <si>
    <t>puissance_des_antennes_relais_et</t>
  </si>
  <si>
    <t>informations_sur_les_dispositifs_2</t>
  </si>
  <si>
    <t>notes_explicatives_de_synthese_d_31</t>
  </si>
  <si>
    <t>informations_sur_les_dispositifs_14</t>
  </si>
  <si>
    <t>informations_sur_les_dispositifs_9</t>
  </si>
  <si>
    <t>informations_sur_les_dispositifs_3</t>
  </si>
  <si>
    <t>demande</t>
  </si>
  <si>
    <t>informations_sur_les_dispositifs_10</t>
  </si>
  <si>
    <t>informations_sur_les_dispositifs_16</t>
  </si>
  <si>
    <t>metro_3_a_bruxelles_les_trains_s</t>
  </si>
  <si>
    <t>inventaire_amiante_et_programme_2</t>
  </si>
  <si>
    <t>pavage_parvis_notre_dame_laeken_2</t>
  </si>
  <si>
    <t>notes_explicatives_de_synthese_d_32</t>
  </si>
  <si>
    <t>note_de_synthese_intitulee_serre</t>
  </si>
  <si>
    <t>reglement_dordre_interieur_regle</t>
  </si>
  <si>
    <t>enquete_du_vif_et_du_soir_projet_8</t>
  </si>
  <si>
    <t>notes_explicatives_projets_de_de_19</t>
  </si>
  <si>
    <t>serre_urbaine_agricole_dans_le_p</t>
  </si>
  <si>
    <t>informations_sur_les_dispositifs_15</t>
  </si>
  <si>
    <t>informations_sur_les_dispositifs_17</t>
  </si>
  <si>
    <t>changement_dappellation_parvis_n</t>
  </si>
  <si>
    <t>enquete_du_journal_le_vif_projet_45</t>
  </si>
  <si>
    <t>demande_de_rapport_denquete_sur</t>
  </si>
  <si>
    <t>concerne_enquete_vifsoir_transpa_51</t>
  </si>
  <si>
    <t>taxes_2021_sur_les_secondes_resi</t>
  </si>
  <si>
    <t>renovation_du_passage_chambon_a</t>
  </si>
  <si>
    <t>concerne_enquete_vifsoir_transpa_3</t>
  </si>
  <si>
    <t>inventaire_amiante_maison_de_pol</t>
  </si>
  <si>
    <t>nombre_de_sdf_sur_la_commune</t>
  </si>
  <si>
    <t>obtention_de_la_liste_des_entrep</t>
  </si>
  <si>
    <t>decisions_et_registres_sur_les_d_77</t>
  </si>
  <si>
    <t>decisions_et_registres_sur_les_d_78</t>
  </si>
  <si>
    <t>decisions_et_registres_sur_les_d_55</t>
  </si>
  <si>
    <t>pont_walrand_inspection_approfod</t>
  </si>
  <si>
    <t>demande_de_pv_5</t>
  </si>
  <si>
    <t>parking_gratuit_mandataires_publ_3</t>
  </si>
  <si>
    <t>liste_des_entreprises_qui_ont_be</t>
  </si>
  <si>
    <t>concerne_enquete_vifsoir_transpa_26</t>
  </si>
  <si>
    <t>decisions_et_registres_sur_les_d_25</t>
  </si>
  <si>
    <t>concerne_enquete_vifsoir_transpa_53</t>
  </si>
  <si>
    <t>notes_explicatives_de_synthese_d_33</t>
  </si>
  <si>
    <t>nombre_de_personnes_sdf_sur_votr</t>
  </si>
  <si>
    <t>listing_arretes_inhabitabilite_56</t>
  </si>
  <si>
    <t>notes_explicatives_de_synthese_d_34</t>
  </si>
  <si>
    <t>enquete_du_journal_le_vif_projet_46</t>
  </si>
  <si>
    <t>decisions_et_registres_sur_les_d_3</t>
  </si>
  <si>
    <t>decisions_et_registres_sur_les_d_355</t>
  </si>
  <si>
    <t>decisions_et_registres_sur_les_d_223</t>
  </si>
  <si>
    <t>demande_de_lavis_du_gouvernement</t>
  </si>
  <si>
    <t>inventaire_amiante_et_programme_3</t>
  </si>
  <si>
    <t>puissance_des_antennes_relais</t>
  </si>
  <si>
    <t>decisions_et_registres_sur_les_d_336</t>
  </si>
  <si>
    <t>la_declaration_de_politique_du_l</t>
  </si>
  <si>
    <t>arretes_dinhabitabilite</t>
  </si>
  <si>
    <t>arretes_pris_par_le_bourgmestre</t>
  </si>
  <si>
    <t>question_a_propos_de_lamiante_da</t>
  </si>
  <si>
    <t>demande_de_document_ayant_trait_2</t>
  </si>
  <si>
    <t>pv_conseil_communal_23_mars_2020</t>
  </si>
  <si>
    <t>ventes_de_bois_de_chauffage</t>
  </si>
  <si>
    <t>commande_des_masques</t>
  </si>
  <si>
    <t>logements_sociaux_intitules</t>
  </si>
  <si>
    <t>enquete_du_journal_lesoir_projet_16</t>
  </si>
  <si>
    <t>reponse_de_madame_la_bourgmestre</t>
  </si>
  <si>
    <t>depenses_publiques_fontaine_du_b_2</t>
  </si>
  <si>
    <t>parking_gratuit_mandataires_publ_4</t>
  </si>
  <si>
    <t>enquete_vifsoir_transparence_des_36</t>
  </si>
  <si>
    <t>intitule_logements_soci</t>
  </si>
  <si>
    <t>fresques_artistiques_molenbeek</t>
  </si>
  <si>
    <t>arretes_dinhabitabilite_5</t>
  </si>
  <si>
    <t>notes_explicatives_de_synthese_d_35</t>
  </si>
  <si>
    <t>nom_des_proprietaires_arretes_di</t>
  </si>
  <si>
    <t>musee_de_tancremont_accord_de_pr</t>
  </si>
  <si>
    <t>panneaux_de_signalisation_a_arsi</t>
  </si>
  <si>
    <t>enquete_du_journal_le_vif_projet_47</t>
  </si>
  <si>
    <t>decisions_et_registres_sur_les_d_2</t>
  </si>
  <si>
    <t>decisions_et_registres_sur_les_d_67</t>
  </si>
  <si>
    <t>demande_des_pv_de_la_copaloc</t>
  </si>
  <si>
    <t>nombre_dhabitations_laissees_vid</t>
  </si>
  <si>
    <t>notes_de_synthese_explicatives_2</t>
  </si>
  <si>
    <t>coordinateur_de_securite_demande</t>
  </si>
  <si>
    <t>rapport_remunerations_de_vos_dir</t>
  </si>
  <si>
    <t>documents_ayant_trait_au_traitem</t>
  </si>
  <si>
    <t>enquete_vifsoir_transparence_des_37</t>
  </si>
  <si>
    <t>ecole_communale_de_la_gleize</t>
  </si>
  <si>
    <t>rapport_bureau_xmu</t>
  </si>
  <si>
    <t>parking_gratuit_mandataires_publ_6</t>
  </si>
  <si>
    <t>serre_urbaine_bockstael_laeken_a</t>
  </si>
  <si>
    <t>demande_du_rapport_de_letude_de</t>
  </si>
  <si>
    <t>conseil_communal_seance_du_jeudi_3</t>
  </si>
  <si>
    <t>parking_gratuit_mandataires_publ_9</t>
  </si>
  <si>
    <t>demande_de_la_liste_du_patrimoin_7</t>
  </si>
  <si>
    <t>enquete_avec_la_presse_demande_d_9</t>
  </si>
  <si>
    <t>rectificatif_erreur_art_cdld_doc</t>
  </si>
  <si>
    <t>enquete_vifsoir_transparence_des_39</t>
  </si>
  <si>
    <t>facture_societe_dogne_sprl_ecole</t>
  </si>
  <si>
    <t>projets_de_deliberation_des_poin_78</t>
  </si>
  <si>
    <t>dossier_visant_a_renforcer_la_se</t>
  </si>
  <si>
    <t>enquete_du_journal_le_vif_projet_50</t>
  </si>
  <si>
    <t>demande_dacces_au_dernier_rappor</t>
  </si>
  <si>
    <t>dossier_dinspection_concernant_l_3</t>
  </si>
  <si>
    <t>mandataires_publiques_figurant_s_3</t>
  </si>
  <si>
    <t>notes_explicatives_de_synthese_d_36</t>
  </si>
  <si>
    <t>ccatm_candidatures_composition_e</t>
  </si>
  <si>
    <t>notes_explicatives_de_synthese_d_37</t>
  </si>
  <si>
    <t>notes_explicatives_projets_de_de_29</t>
  </si>
  <si>
    <t>lavis_du_comite_de_gestion_des_i</t>
  </si>
  <si>
    <t>la_sapiniere_demande_de_copie_de</t>
  </si>
  <si>
    <t>remblais_suite_aux_travaux_de_la</t>
  </si>
  <si>
    <t>mandataires_publiques_figurant_s_4</t>
  </si>
  <si>
    <t>demande_du_50122_des_projets_de</t>
  </si>
  <si>
    <t>demande_de_documents_sur_le_trai_13</t>
  </si>
  <si>
    <t>mandataires_publiques_figurant_s_7</t>
  </si>
  <si>
    <t>projets_de_deliberation_des_poin_81</t>
  </si>
  <si>
    <t>provenance_du_bois_et_toutes_aid_2</t>
  </si>
  <si>
    <t>projets_de_deliberation_des_poin_18</t>
  </si>
  <si>
    <t>mandataires_publiques_figurant_s_8</t>
  </si>
  <si>
    <t>motivations_detaillees_recours_t</t>
  </si>
  <si>
    <t>enquete_du_journal_le_vif_projet_56</t>
  </si>
  <si>
    <t>enquete_vifsoir_transparence_des_40</t>
  </si>
  <si>
    <t>demande_de_la_liste_du_patrimoin_11</t>
  </si>
  <si>
    <t>conseil_communal_du_23_04_2019</t>
  </si>
  <si>
    <t>registre_de_securite_des_ecoles_15</t>
  </si>
  <si>
    <t>gestion_des_plaintes</t>
  </si>
  <si>
    <t>documents_sur_tracabiliteventes_17</t>
  </si>
  <si>
    <t>notes_explicatives_de_synthese_d_38</t>
  </si>
  <si>
    <t>rapport_annuel_2019</t>
  </si>
  <si>
    <t>composition_des_cabinets_du_bour_43</t>
  </si>
  <si>
    <t>demande_de_transparence_administ_2</t>
  </si>
  <si>
    <t>passage_chambon_1020_laeken_mur_2</t>
  </si>
  <si>
    <t>demande_du_4222_projets_de_delib</t>
  </si>
  <si>
    <t>mandataires_publiques_figurant_s_9</t>
  </si>
  <si>
    <t>mandataires_publiques_figurant_s_10</t>
  </si>
  <si>
    <t>fermeture_de_la_rue_des_jardins</t>
  </si>
  <si>
    <t>notes_explicatives_et_projets_de</t>
  </si>
  <si>
    <t>statistiques_sur_le_nombre_detud</t>
  </si>
  <si>
    <t>consultation_dunpermis_dexploita</t>
  </si>
  <si>
    <t>notes_explicatives_de_synthese_d_39</t>
  </si>
  <si>
    <t>conseil_communal_de_ce_310522_po</t>
  </si>
  <si>
    <t>projets_de_deliberation_des_poin_83</t>
  </si>
  <si>
    <t>helicoptere</t>
  </si>
  <si>
    <t>composition_des_cabinets_du_bour_37</t>
  </si>
  <si>
    <t>marche_public_des_masques</t>
  </si>
  <si>
    <t>enquete_vifsoir_transparence_des_42</t>
  </si>
  <si>
    <t>communications_entre_le_minister</t>
  </si>
  <si>
    <t>question_parlementaire_ndeg_488</t>
  </si>
  <si>
    <t>engagement_otan_2_du_pib_echange</t>
  </si>
  <si>
    <t>publications_des_prochains_conse_4</t>
  </si>
  <si>
    <t>enquete_du_journal_le_vif_projet_72</t>
  </si>
  <si>
    <t>acces_au_rapports_danalyse_sur_l</t>
  </si>
  <si>
    <t>decisions_et_registres_sur_les_d_122</t>
  </si>
  <si>
    <t>marche_public_des_masques_2</t>
  </si>
  <si>
    <t>pv_de_la_task_force_certificats</t>
  </si>
  <si>
    <t>pv_du_college_des_bourgmestre_et</t>
  </si>
  <si>
    <t>demande_de_la_liste_complete_des_7</t>
  </si>
  <si>
    <t>documents_vicigal</t>
  </si>
  <si>
    <t>les_epioux_documents_relatifs_a</t>
  </si>
  <si>
    <t>demande_dimplantation_du_permis</t>
  </si>
  <si>
    <t>cabinets_des_bourgmestres_et_ech_2</t>
  </si>
  <si>
    <t>notes_explicatives_de_synthese_d_40</t>
  </si>
  <si>
    <t>mandataires_publiques_figurant_s_15</t>
  </si>
  <si>
    <t>demande_de_la_liste_du_patrimoin_13</t>
  </si>
  <si>
    <t>suite_mail_2306_reste_sans_repon</t>
  </si>
  <si>
    <t>depenses_de_braine_le_cha</t>
  </si>
  <si>
    <t>port_du_masque_pour_laryngectomi</t>
  </si>
  <si>
    <t>notes_explicatives_de_synthese_d_41</t>
  </si>
  <si>
    <t>decisions_et_registres_sur_les_d_85</t>
  </si>
  <si>
    <t>reamenagement_des_abords_de_lanc_4</t>
  </si>
  <si>
    <t>enquete_avec_la_presse_demande_d_5</t>
  </si>
  <si>
    <t>reponse_de_la_ministre_des_affai</t>
  </si>
  <si>
    <t>notes_explicatives_projets_de_de_12</t>
  </si>
  <si>
    <t>mandataires_publiques_figurant_s_16</t>
  </si>
  <si>
    <t>enquete_vifsoir_transparence_des_43</t>
  </si>
  <si>
    <t>concerne_enquete_vifsoir_transpa_41</t>
  </si>
  <si>
    <t>composition_des_cabinets_du_bour_41</t>
  </si>
  <si>
    <t>dossier_urbanistique_gare_sncb_b</t>
  </si>
  <si>
    <t>composition_des_cabinets_du_bour_42</t>
  </si>
  <si>
    <t>decisions_et_registres_sur_les_d_111</t>
  </si>
  <si>
    <t>decisions_et_registres_sur_les_d_332</t>
  </si>
  <si>
    <t>notes_explicatives_projets_de_de_41</t>
  </si>
  <si>
    <t>mandataires_publiques_figurant_s_18</t>
  </si>
  <si>
    <t>combien_de_refus_de_de_detention</t>
  </si>
  <si>
    <t>mandataires_publiques_figurant_s_19</t>
  </si>
  <si>
    <t>decisions_et_registres_sur_les_d_95</t>
  </si>
  <si>
    <t>documents_relatifs_a_lannulation</t>
  </si>
  <si>
    <t>normes_reglementaires_qui_sappli</t>
  </si>
  <si>
    <t>notes_explicatives_de_synthese_d_42</t>
  </si>
  <si>
    <t>decisions_et_registres_sur_les_d_112</t>
  </si>
  <si>
    <t>passage_chambon_laeken_1020_reaf</t>
  </si>
  <si>
    <t>echelle_de_traitement</t>
  </si>
  <si>
    <t>projets_de_deliberation_des_poin_75</t>
  </si>
  <si>
    <t>composition_du_conseil_dadminist_3</t>
  </si>
  <si>
    <t>plan_operationnel_belge_pandemie</t>
  </si>
  <si>
    <t>demande_de_la_liste_du_patrimoin_15</t>
  </si>
  <si>
    <t>enquete_du_vif_et_du_soir_projet_11</t>
  </si>
  <si>
    <t>enquete_vifsoir_transparence_des_45</t>
  </si>
  <si>
    <t>vente_de_la_male_he</t>
  </si>
  <si>
    <t>life_foret_ardennaise</t>
  </si>
  <si>
    <t>reamenagement_des_abords_de_lanc_9</t>
  </si>
  <si>
    <t>adresse_d_elu_au_19_octobre</t>
  </si>
  <si>
    <t>contrat_de_quartier_bockstael_pv</t>
  </si>
  <si>
    <t>projets_de_deliberations</t>
  </si>
  <si>
    <t>reunions_concernant_les_2_propos</t>
  </si>
  <si>
    <t>contrat_de_quartier_bockstael_se</t>
  </si>
  <si>
    <t>avis_sur_belfius_sfpi</t>
  </si>
  <si>
    <t>passage_chambon_correspondances</t>
  </si>
  <si>
    <t>derniers_budgets_et_comptes_deta</t>
  </si>
  <si>
    <t>affiche_rouge_permis_durbanisme</t>
  </si>
  <si>
    <t>cadastre_des_mandats_3</t>
  </si>
  <si>
    <t>enquete_vifsoir_transparence_des_46</t>
  </si>
  <si>
    <t>question_85_legislature_55_viole</t>
  </si>
  <si>
    <t>statistique_repartition_geograph</t>
  </si>
  <si>
    <t>documents_sur_ventes_de_bois_sub_2</t>
  </si>
  <si>
    <t>contrat_de_quartier_bockstael_10</t>
  </si>
  <si>
    <t>coupe_a_blanc_de_la_vequee</t>
  </si>
  <si>
    <t>adresse_de_marie_monville_a_jalh</t>
  </si>
  <si>
    <t>concerne_enquete_vifsoir_transpa_25</t>
  </si>
  <si>
    <t>rapport_du_suivi_du_crac</t>
  </si>
  <si>
    <t>notes_explicatives_de_synthese_d_43</t>
  </si>
  <si>
    <t>decisions_et_registres_sur_les_d_130</t>
  </si>
  <si>
    <t>decisions_et_registres_sur_les_d_124</t>
  </si>
  <si>
    <t>correspondances_commune_de_fores</t>
  </si>
  <si>
    <t>composition_du_cabinet_de_mme_la_5</t>
  </si>
  <si>
    <t>notes_explicatives_de_synthese_d_44</t>
  </si>
  <si>
    <t>dossier_administratif_et_rapport</t>
  </si>
  <si>
    <t>decisions_et_registres_sur_les_d_83</t>
  </si>
  <si>
    <t>information_concernant_labandon</t>
  </si>
  <si>
    <t>enquete_du_vif_et_du_soir_projet_23</t>
  </si>
  <si>
    <t>parc_annie_cordy_1020_laeken_bat_2</t>
  </si>
  <si>
    <t>notes_explicatives_projets_de_de_57</t>
  </si>
  <si>
    <t>demande_de_la_liste_du_patrimoin_19</t>
  </si>
  <si>
    <t>enquete_vifsoir_transparence_des_47</t>
  </si>
  <si>
    <t>asbl_communale_i_city_personnel</t>
  </si>
  <si>
    <t>objet_demande_dacces_a_la_liste_2</t>
  </si>
  <si>
    <t>asbl_communale_i_city_marches_pu</t>
  </si>
  <si>
    <t>decisions_et_registres_sur_les_d_102</t>
  </si>
  <si>
    <t>tout_document_et_correspondance</t>
  </si>
  <si>
    <t>composition_des_cabinets_du_bour_35</t>
  </si>
  <si>
    <t>demande_de_precisions_sur_la_con</t>
  </si>
  <si>
    <t>demande_du_document_dautorisatio_4</t>
  </si>
  <si>
    <t>notes_explicatives_projets_de_de_43</t>
  </si>
  <si>
    <t>demande_de_copies_des_projets_en</t>
  </si>
  <si>
    <t>cru_8_contrat_de_renovation_urba</t>
  </si>
  <si>
    <t>nombre_de_beneficiaires_effectif_2</t>
  </si>
  <si>
    <t>doit_on_prendre_un_rdv_pour_depo</t>
  </si>
  <si>
    <t>reamenagement_de_lancienne_gare_2</t>
  </si>
  <si>
    <t>decisions_et_registres_sur_les_d_138</t>
  </si>
  <si>
    <t>listing_arretes_inhabitabilite_11</t>
  </si>
  <si>
    <t>decisions_et_registres_sur_les_d_139</t>
  </si>
  <si>
    <t>notes_explicatives_de_synthese_d_45</t>
  </si>
  <si>
    <t>parc_annie_cordy_1020_laeken_net</t>
  </si>
  <si>
    <t>notes_explicatives_projets_de_de_15</t>
  </si>
  <si>
    <t>listing_arretes_inhabitabilite_9</t>
  </si>
  <si>
    <t>logement_social</t>
  </si>
  <si>
    <t>listing_arretes_inhabitabilite_6</t>
  </si>
  <si>
    <t>serre_urbaine_de_production_agri</t>
  </si>
  <si>
    <t>listing_arretes_inhabitabilite_2</t>
  </si>
  <si>
    <t>reglement_relatif_a_la_taxe_comm</t>
  </si>
  <si>
    <t>listing_des_logements_inoccupes_7</t>
  </si>
  <si>
    <t>listing_arretes_inhabitabilite_41</t>
  </si>
  <si>
    <t>listing_des_logements_inoccupes_8</t>
  </si>
  <si>
    <t>listing_arretes_inhabitabilite_55</t>
  </si>
  <si>
    <t>pv_des_dernieres_reunions_du_col</t>
  </si>
  <si>
    <t>listing_arretes_inhabitabilite_49</t>
  </si>
  <si>
    <t>decisions_et_registres_sur_les_d_150</t>
  </si>
  <si>
    <t>notes_explicatives_projets_de_de_17</t>
  </si>
  <si>
    <t>decisions_et_registres_sur_les_d_160</t>
  </si>
  <si>
    <t>listing_arretes_inhabitabilite_27</t>
  </si>
  <si>
    <t>decisions_et_registres_sur_les_d_145</t>
  </si>
  <si>
    <t>demande_de_document</t>
  </si>
  <si>
    <t>demande_dextrait_dun_pv_du_colle</t>
  </si>
  <si>
    <t>la_liste_complete_de_horodateurs</t>
  </si>
  <si>
    <t>listing_arretes_inhabitabilite_18</t>
  </si>
  <si>
    <t>listing_arretes_inhabitabilite_36</t>
  </si>
  <si>
    <t>demande_de_la_liste_du_patrimoin_20</t>
  </si>
  <si>
    <t>listing_arretes_inhabitabilite_26</t>
  </si>
  <si>
    <t>quelles_sont_les_montants_des_ai</t>
  </si>
  <si>
    <t>notes_explicatives_projets_de_de_18</t>
  </si>
  <si>
    <t>listing_des_logements_inoccupes_9</t>
  </si>
  <si>
    <t>enquete_du_vif_et_du_soir_projet_39</t>
  </si>
  <si>
    <t>listing_arretes_inhabitabilite_30</t>
  </si>
  <si>
    <t>decisions_et_registres_sur_les_d_101</t>
  </si>
  <si>
    <t>projets_de_deliberation_des_poin_2</t>
  </si>
  <si>
    <t>listing_arretes_inhabitabilite_25</t>
  </si>
  <si>
    <t>notes_explicatives_de_synthese_d_46</t>
  </si>
  <si>
    <t>fresque_annie_cordy_etude_bureau</t>
  </si>
  <si>
    <t>statistiques_logement_inoccupe</t>
  </si>
  <si>
    <t>enquete_vifsoir_transparence_des_48</t>
  </si>
  <si>
    <t>decisions_et_registres_sur_les_d_162</t>
  </si>
  <si>
    <t>arrete_ministeriel_du_06_octobre_2</t>
  </si>
  <si>
    <t>souper_dapres_vente_de_bois_2021</t>
  </si>
  <si>
    <t>decisions_et_registres_sur_les_d_165</t>
  </si>
  <si>
    <t>decisions_et_registres_sur_les_d_163</t>
  </si>
  <si>
    <t>contrat_de_quartier_palais_outre</t>
  </si>
  <si>
    <t>decisions_et_registres_sur_les_d_164</t>
  </si>
  <si>
    <t>documents_preparatoires_du_proch_74</t>
  </si>
  <si>
    <t>seance_du_college_communal_2020_2021</t>
  </si>
  <si>
    <t>seance_du_college_communal_2020_2022</t>
  </si>
  <si>
    <t>demande_des_comptes_annuels_de_2</t>
  </si>
  <si>
    <t>liste_des_subsides_attribues_par_5</t>
  </si>
  <si>
    <t>listing_arretes_inhabitabilite_42</t>
  </si>
  <si>
    <t>rapport_relatif_a_la_transparenc</t>
  </si>
  <si>
    <t>documents_preparatoires_du_proch_75</t>
  </si>
  <si>
    <t>liste_des_subsides_attribues_par_41</t>
  </si>
  <si>
    <t>listing_arretes_inhabitabilite_44</t>
  </si>
  <si>
    <t>decisions_et_registres_sur_les_d_172</t>
  </si>
  <si>
    <t>decisions_et_registres_sur_les_d_170</t>
  </si>
  <si>
    <t>notes_explicatives_de_synthese_d_47</t>
  </si>
  <si>
    <t>seance_du_college_communal_2020_2023</t>
  </si>
  <si>
    <t>listing_arretes_inhabitabilite_48</t>
  </si>
  <si>
    <t>serre_urbaine_agricole_1020_laek</t>
  </si>
  <si>
    <t>listing_arretes_inhabitabilite_51</t>
  </si>
  <si>
    <t>listing_arretes_inhabitabilite_13</t>
  </si>
  <si>
    <t>seance_du_college_communal_2020_2024</t>
  </si>
  <si>
    <t>listing_des_logements_inoccupes_3</t>
  </si>
  <si>
    <t>seance_du_college_communal_2020_2025</t>
  </si>
  <si>
    <t>notes_explicatives_de_synthese_d_67</t>
  </si>
  <si>
    <t>enquete_avec_la_presse_demande_d_18</t>
  </si>
  <si>
    <t>listing_arretes_inhabitabilite_61</t>
  </si>
  <si>
    <t>listing_arretes_inhabitabilite_54</t>
  </si>
  <si>
    <t>listing_arretes_inhabitabilite_58</t>
  </si>
  <si>
    <t>listing_arretes_inhabitabilite_60</t>
  </si>
  <si>
    <t>listing_arretes_inhabitabilite_59</t>
  </si>
  <si>
    <t>decisions_et_registres_sur_les_d_167</t>
  </si>
  <si>
    <t>listing_arretes_inhabitabilite_63</t>
  </si>
  <si>
    <t>listing_arretes_inhabitabilite_52</t>
  </si>
  <si>
    <t>listing_arretes_inhabitabilite_33</t>
  </si>
  <si>
    <t>parc_annie_cordy_sauvegarde_de_l</t>
  </si>
  <si>
    <t>marie_monville_a_jalhay_pourtant</t>
  </si>
  <si>
    <t>listing_arretes_inhabitabilite_16</t>
  </si>
  <si>
    <t>demande_de_documents_ayant_trait</t>
  </si>
  <si>
    <t>renovation_gare_bockstael_sncb_1</t>
  </si>
  <si>
    <t>ventes_de_bois_3</t>
  </si>
  <si>
    <t>l_echevine_monville_a_jalhay_pou</t>
  </si>
  <si>
    <t>conseil_communal_seance_du_mardi_6</t>
  </si>
  <si>
    <t>la_liste_des_magazines_livres_pr</t>
  </si>
  <si>
    <t>projets_de_deliberation_des_poin_87</t>
  </si>
  <si>
    <t>enquete_vifsoir_transparence_des_49</t>
  </si>
  <si>
    <t>notes_explicatives_de_synthese_d_48</t>
  </si>
  <si>
    <t>budget_cic_20222026_berkane_sain</t>
  </si>
  <si>
    <t>melissa</t>
  </si>
  <si>
    <t>accord_de_cooperation_ville_de_b</t>
  </si>
  <si>
    <t>demande_dacces_au_rapport_genera</t>
  </si>
  <si>
    <t>decisions_et_registres_sur_les_d_180</t>
  </si>
  <si>
    <t>photos_simulation_permis_durbani</t>
  </si>
  <si>
    <t>decisions_et_registres_sur_les_d_188</t>
  </si>
  <si>
    <t>convention_ou_equivalent_liant_l</t>
  </si>
  <si>
    <t>notes_explicatives_de_synthese_d_49</t>
  </si>
  <si>
    <t>a_propos_du_chateau_du_bois</t>
  </si>
  <si>
    <t>documents_sur_bases_tarifaires_d</t>
  </si>
  <si>
    <t>demande_du_dossier_ayant_trait_a</t>
  </si>
  <si>
    <t>decisions_et_registres_sur_les_d_181</t>
  </si>
  <si>
    <t>bilan_comptable_et_compte_de_res_4</t>
  </si>
  <si>
    <t>publication_pv_conseil_communal</t>
  </si>
  <si>
    <t>decisions_et_registres_sur_les_d_183</t>
  </si>
  <si>
    <t>demande_de_documents_2</t>
  </si>
  <si>
    <t>conseil_communal_du_9_septembre</t>
  </si>
  <si>
    <t>ventes_de_bois_coniferes_et_feui</t>
  </si>
  <si>
    <t>notes_explicatives_de_synthese_d_50</t>
  </si>
  <si>
    <t>composition_des_cabinets_du_bour_49</t>
  </si>
  <si>
    <t>demande_dune_copie_du_bail_emphy</t>
  </si>
  <si>
    <t>listing_des_logements_inoccupes_14</t>
  </si>
  <si>
    <t>rtbf_discrimination_quotidienne</t>
  </si>
  <si>
    <t>decisions_et_registres_sur_les_d_179</t>
  </si>
  <si>
    <t>listing_des_logements_inoccupes_13</t>
  </si>
  <si>
    <t>listing_des_logements_inoccupes_12</t>
  </si>
  <si>
    <t>demande_dune_copie_du_bail_emphy_2</t>
  </si>
  <si>
    <t>decisions_et_registres_sur_les_d_189</t>
  </si>
  <si>
    <t>notes_prises_lors_de_la_rencontr</t>
  </si>
  <si>
    <t>rapport_serre_urbaine_1020_laeke</t>
  </si>
  <si>
    <t>listing_arretes_inhabitabilite_20</t>
  </si>
  <si>
    <t>reunioncorrespondances_01092021</t>
  </si>
  <si>
    <t>decisions_et_registres_sur_les_d_191</t>
  </si>
  <si>
    <t>decisions_et_registres_sur_les_d_369</t>
  </si>
  <si>
    <t>decisions_et_registres_sur_les_d_193</t>
  </si>
  <si>
    <t>decisions_et_registres_sur_les_d_194</t>
  </si>
  <si>
    <t>beliris_etude_ecrite_sauvetage_f</t>
  </si>
  <si>
    <t>plan_daction_evaluations_accord</t>
  </si>
  <si>
    <t>evaluation_prealable_du_volet_re</t>
  </si>
  <si>
    <t>identification_des_policiers_en</t>
  </si>
  <si>
    <t>enquete_du_journal_lesoir_projet_41</t>
  </si>
  <si>
    <t>enquete_vifsoir_transparence_des_52</t>
  </si>
  <si>
    <t>centre_culturel_rapport_danalyse</t>
  </si>
  <si>
    <t>projet_de_compost_rue_champ_de_l</t>
  </si>
  <si>
    <t>informations_sur_les_projets_de</t>
  </si>
  <si>
    <t>identification_des_policiers_en_3</t>
  </si>
  <si>
    <t>identification_des_policiers_en_4</t>
  </si>
  <si>
    <t>vote_participatif_nouvelle_oeuvr</t>
  </si>
  <si>
    <t>identification_des_policiers_en_2</t>
  </si>
  <si>
    <t>projets_de_deliberation_des_poin_3</t>
  </si>
  <si>
    <t>proces_verbaux_et_ordre_du_jour_2</t>
  </si>
  <si>
    <t>la_liste_nominative_reprenant_to_3</t>
  </si>
  <si>
    <t>la_liste_nominative_reprenant_to_8</t>
  </si>
  <si>
    <t>decisions_et_registres_sur_les_d_15</t>
  </si>
  <si>
    <t>statistiquelisting_des_logements</t>
  </si>
  <si>
    <t>identite_des_membres_des_cabinet</t>
  </si>
  <si>
    <t>plan_strategique_transversal_pst_3</t>
  </si>
  <si>
    <t>informations_sur_les_dispositifs_12</t>
  </si>
  <si>
    <t>documents_du_marche_public_et_de</t>
  </si>
  <si>
    <t>documents_en_lien_avec_les_piste</t>
  </si>
  <si>
    <t>documents_en_lien_avec_piste_cyc</t>
  </si>
  <si>
    <t>decisions_et_registres_sur_les_d_8</t>
  </si>
  <si>
    <t>decisions_et_registres_sur_les_d_17</t>
  </si>
  <si>
    <t>commission_de_quartier_bockstael</t>
  </si>
  <si>
    <t>dossier_administratif_et_des_rap</t>
  </si>
  <si>
    <t>plateforme_shopping_en_bw</t>
  </si>
  <si>
    <t>les_noms_des_conseillers_au_cons_2</t>
  </si>
  <si>
    <t>dossier_administratif_et_rapport_3</t>
  </si>
  <si>
    <t>la_belgique_a_telle_etudie_la_qu</t>
  </si>
  <si>
    <t>notes_explicatives_de_synthese_d_51</t>
  </si>
  <si>
    <t>vaccin_inutilise</t>
  </si>
  <si>
    <t>documents_permettant_detablir_un</t>
  </si>
  <si>
    <t>vidange_inter</t>
  </si>
  <si>
    <t>decisions_et_registres_sur_les_d_213</t>
  </si>
  <si>
    <t>demande_concernant_civadis_edite</t>
  </si>
  <si>
    <t>decisions_et_registres_sur_les_d_18</t>
  </si>
  <si>
    <t>nombre_de_personnes_en_adresse_d_3</t>
  </si>
  <si>
    <t>nomination_directrice_generale_a</t>
  </si>
  <si>
    <t>precisions_relatives_a_ma_demand</t>
  </si>
  <si>
    <t>documents_relatifs_aux_points_a</t>
  </si>
  <si>
    <t>decisions_et_registres_sur_les_d_216</t>
  </si>
  <si>
    <t>decisions_et_registres_sur_les_d_214</t>
  </si>
  <si>
    <t>demande_de_justificatifs_des_dip</t>
  </si>
  <si>
    <t>listing_des_logements_inoccupes_15</t>
  </si>
  <si>
    <t>engagement_moral_et_formation_de_2</t>
  </si>
  <si>
    <t>decisions_et_registres_sur_les_d_24</t>
  </si>
  <si>
    <t>le_nombre_de_patients_atteints_d</t>
  </si>
  <si>
    <t>ligne_44_travaux_mesures_de_circ</t>
  </si>
  <si>
    <t>publicite_passive_de_l_admnistra</t>
  </si>
  <si>
    <t>enquete_vifsoir_transparence_des_53</t>
  </si>
  <si>
    <t>mise_a_disposition_du_rapport_su</t>
  </si>
  <si>
    <t>decisions_et_registres_sur_les_d_31</t>
  </si>
  <si>
    <t>decisions_et_registres_sur_les_d_9</t>
  </si>
  <si>
    <t>decisions_et_registres_sur_les_d_27</t>
  </si>
  <si>
    <t>passage_chambon_1020_laeken_corr_3</t>
  </si>
  <si>
    <t>notes_explicatives_de_synthese_d_52</t>
  </si>
  <si>
    <t>enquete_avec_la_presse_demande_d_34</t>
  </si>
  <si>
    <t>liste_des_anciens_ministres_ayan</t>
  </si>
  <si>
    <t>enquete_du_vif_et_du_soir_projet_42</t>
  </si>
  <si>
    <t>enquete_vifsoir_transparence_des_55</t>
  </si>
  <si>
    <t>dossier_avant_projet_entre_belir</t>
  </si>
  <si>
    <t>decisions_et_registres_sur_les_d_43</t>
  </si>
  <si>
    <t>decisions_et_registres_sur_les_d_13</t>
  </si>
  <si>
    <t>reglement_de_travail</t>
  </si>
  <si>
    <t>decisions_et_registres_sur_les_d_46</t>
  </si>
  <si>
    <t>frais_de_classe_de_depaysement</t>
  </si>
  <si>
    <t>liste_des_subsides_attribues_par_6</t>
  </si>
  <si>
    <t>demande_dun_pv_du_college_commun</t>
  </si>
  <si>
    <t>publication_pv_conseil_communal_2</t>
  </si>
  <si>
    <t>projets_de_deliberation_des_poin_96</t>
  </si>
  <si>
    <t>notes_explicatives_projets_de_de_47</t>
  </si>
  <si>
    <t>projets_de_deliberation_des_poin_65</t>
  </si>
  <si>
    <t>projets_de_deliberation_des_poin_59</t>
  </si>
  <si>
    <t>serre_urbaine_bockstael_laeken_p_2</t>
  </si>
  <si>
    <t>decisions_et_registres_sur_les_d_231</t>
  </si>
  <si>
    <t>demande_de_pieces_annexes_au_der</t>
  </si>
  <si>
    <t>decisions_et_registres_sur_les_d_227</t>
  </si>
  <si>
    <t>notes_explicatives_de_synthese_d_53</t>
  </si>
  <si>
    <t>demande_dune_copie_de_lextrait_d</t>
  </si>
  <si>
    <t>liste_des_subsides_attribues_par_27</t>
  </si>
  <si>
    <t>enquete_vifsoir_transparence_des_56</t>
  </si>
  <si>
    <t>decisions_et_registres_sur_les_d_230</t>
  </si>
  <si>
    <t>decisions_et_registres_sur_les_d_51</t>
  </si>
  <si>
    <t>demande_de_documents_sur_le_trai_2</t>
  </si>
  <si>
    <t>serre_urbaine_bockstael_laeken_p</t>
  </si>
  <si>
    <t>decisions_et_registres_sur_les_d_21</t>
  </si>
  <si>
    <t>decisions_et_registres_sur_les_d_249</t>
  </si>
  <si>
    <t>decisions_et_registres_sur_les_d_54</t>
  </si>
  <si>
    <t>annie_cordy_fresque</t>
  </si>
  <si>
    <t>contrat_de_quartier_bockstael_pv_2</t>
  </si>
  <si>
    <t>demande_urgente_de_reconsiderer</t>
  </si>
  <si>
    <t>la_liste_nominative_reprenant_to_6</t>
  </si>
  <si>
    <t>demande_de_pieces_annexes_au_con</t>
  </si>
  <si>
    <t>concerne_enquete_vifsoir_transpa_20</t>
  </si>
  <si>
    <t>avis_motive_de_la_commission_de</t>
  </si>
  <si>
    <t>pv_meeting_reunion_de_demarrage_2</t>
  </si>
  <si>
    <t>demande_de_la_liste_du_patrimoin</t>
  </si>
  <si>
    <t>eliberation_du_conseil_communal</t>
  </si>
  <si>
    <t>demande_de_lidentite_des_membres_2</t>
  </si>
  <si>
    <t>passage_chambon_1020_laeken_repo</t>
  </si>
  <si>
    <t>statistiques_sur_le_nombre_de_bu</t>
  </si>
  <si>
    <t>reponse_envoyee_par_la_ville_de</t>
  </si>
  <si>
    <t>demande_de_copie_de_proces_verba</t>
  </si>
  <si>
    <t>decisions_et_registres_sur_les_d_59</t>
  </si>
  <si>
    <t>decisions_et_registres_sur_les_d_61</t>
  </si>
  <si>
    <t>decisions_et_registres_sur_les_d_30</t>
  </si>
  <si>
    <t>permis_de_construire_avancement</t>
  </si>
  <si>
    <t>demande_de_copie_de_proces_verba_2</t>
  </si>
  <si>
    <t>contrat_de_quartier_bockstael_bi</t>
  </si>
  <si>
    <t>reamenagement_des_abords_de_lanc</t>
  </si>
  <si>
    <t>decisions_et_registres_sur_les_d_259</t>
  </si>
  <si>
    <t>entretien_et_reparation_des_gril</t>
  </si>
  <si>
    <t>notes_explicatives_de_synthese_d_54</t>
  </si>
  <si>
    <t>notes_explicatives_de_synthese_d_29</t>
  </si>
  <si>
    <t>demande_dacces_aux_documents_de</t>
  </si>
  <si>
    <t>contrat_de_quartier_bosckstael_d</t>
  </si>
  <si>
    <t>commission_de_quartier_compositi</t>
  </si>
  <si>
    <t>decisions_et_registres_sur_les_d_68</t>
  </si>
  <si>
    <t>reunions_concernant_les_2_propos_2</t>
  </si>
  <si>
    <t>inspection_statistics</t>
  </si>
  <si>
    <t>liste_des_subsides_attribues_par</t>
  </si>
  <si>
    <t>decisions_et_registres_sur_les_d_257</t>
  </si>
  <si>
    <t>contrat_de_quartier_reine_demand</t>
  </si>
  <si>
    <t>dossier_pres_la_tour_compromis_d</t>
  </si>
  <si>
    <t>enquete_du_journal_lesoir_projet_27</t>
  </si>
  <si>
    <t>deuxieme_demande_dun_extrait_de</t>
  </si>
  <si>
    <t>nourriture_college_des_bourgmest</t>
  </si>
  <si>
    <t>liste_des_subsides_attribues_par_14</t>
  </si>
  <si>
    <t>demande_de_documents_a_propos_de</t>
  </si>
  <si>
    <t>parc_annie_cordy_abords_de_lanci</t>
  </si>
  <si>
    <t>projets_de_deliberation_des_poin_49</t>
  </si>
  <si>
    <t>liste_des_subsides_attribues_par_39</t>
  </si>
  <si>
    <t>inventaires_amiante_et_programme</t>
  </si>
  <si>
    <t>demande_dune_copie_complete_du_d_2</t>
  </si>
  <si>
    <t>nourriture_college_des_bourgmest_5</t>
  </si>
  <si>
    <t>demande_de_la_liste_du_patrimoin_2</t>
  </si>
  <si>
    <t>notes_des_memos_et_des_communica</t>
  </si>
  <si>
    <t>enquete_du_soir_et_du_vif_projet</t>
  </si>
  <si>
    <t>decisions_et_registres_sur_les_d_57</t>
  </si>
  <si>
    <t>la_liste_nominative_reprenant_to_2</t>
  </si>
  <si>
    <t>objet_effets_des_rayonnements_el</t>
  </si>
  <si>
    <t>liste_des_subsides_attribues_par_40</t>
  </si>
  <si>
    <t>cadastre_des_batiments_inoccupes</t>
  </si>
  <si>
    <t>projets_de_deliberation_des_poin_79</t>
  </si>
  <si>
    <t>concerne_enquete_vifsoir_transpa_22</t>
  </si>
  <si>
    <t>decisions_et_registres_sur_les_d_374</t>
  </si>
  <si>
    <t>montant_des_subsides_octroyes_pa</t>
  </si>
  <si>
    <t>informations_sur_les_dispositifs_7</t>
  </si>
  <si>
    <t>notes_explicatives_de_synthese_d_55</t>
  </si>
  <si>
    <t>demande_du_document_dautorisatio_3</t>
  </si>
  <si>
    <t>passage_chambon_1020_laeken_corr_5</t>
  </si>
  <si>
    <t>documents_preparatoires_du_proch_36</t>
  </si>
  <si>
    <t>reponse_envoyee_par_la_ville_de_2</t>
  </si>
  <si>
    <t>conseil_communal_seance_du_mardi_7</t>
  </si>
  <si>
    <t>protocole_daccord_entre_le_centr</t>
  </si>
  <si>
    <t>demande_de_documents_sur_le_trai_18</t>
  </si>
  <si>
    <t>enquete_du_journal_lesoir_projet_52</t>
  </si>
  <si>
    <t>informations_sur_les_dispositifs_5</t>
  </si>
  <si>
    <t>dossier_administratif_et_rapport_2</t>
  </si>
  <si>
    <t>statistiquelisting_des_logements_2</t>
  </si>
  <si>
    <t>conseil_communal_de_wanze_du_7_f</t>
  </si>
  <si>
    <t>decisions_et_registres_sur_les_d_94</t>
  </si>
  <si>
    <t>pv_rencontre_ensembe_reinventons</t>
  </si>
  <si>
    <t>notes_explicatives_de_synthese_d_56</t>
  </si>
  <si>
    <t>commission_travaux_16_janvier_20</t>
  </si>
  <si>
    <t>composition_du_cabinet_de_mr_le_2</t>
  </si>
  <si>
    <t>projets_de_deliberation_des_poin_86</t>
  </si>
  <si>
    <t>concerne_enquete_vifsoir_transpa_34</t>
  </si>
  <si>
    <t>composition_du_cabinet_de_mr_le_3</t>
  </si>
  <si>
    <t>decisions_et_registres_sur_les_d_294</t>
  </si>
  <si>
    <t>faire_parvenir_le_compte_de_resu</t>
  </si>
  <si>
    <t>infraction_a_la_pulverisation_de</t>
  </si>
  <si>
    <t>place_flagey_incident_du_20_dece</t>
  </si>
  <si>
    <t>demande_au_nom_de_la_liberte_dac_2</t>
  </si>
  <si>
    <t>offre_soumise_par_lunion_saint_g</t>
  </si>
  <si>
    <t>notes_explicatives_de_synthese_d_57</t>
  </si>
  <si>
    <t>projet_rw_logements_sdf_polytoxi</t>
  </si>
  <si>
    <t>fonctions_et_salaires_dideta_et</t>
  </si>
  <si>
    <t>arrete_dinhabitabilite</t>
  </si>
  <si>
    <t>rapport_devaluation_globale_des_2</t>
  </si>
  <si>
    <t>decisions_et_registres_sur_les_d_97</t>
  </si>
  <si>
    <t>elections_communales_2018_procur</t>
  </si>
  <si>
    <t>composition_du_cabinet_de_mr_le_4</t>
  </si>
  <si>
    <t>enquete_du_soir_et_du_vif_projet_21</t>
  </si>
  <si>
    <t>enquete_vifsoir_transparence_des</t>
  </si>
  <si>
    <t>decisions_et_registres_sur_les_d_317</t>
  </si>
  <si>
    <t>decisions_et_registres_sur_les_d_5</t>
  </si>
  <si>
    <t>decisions_et_registres_sur_les_d_344</t>
  </si>
  <si>
    <t>decisions_et_registres_sur_les_d_63</t>
  </si>
  <si>
    <t>bruits_de_voisinage_demandes_et</t>
  </si>
  <si>
    <t>decisions_et_registres_sur_les_d_334</t>
  </si>
  <si>
    <t>decisions_et_registres_sur_les_d_366</t>
  </si>
  <si>
    <t>arretes_dinhabitabilite_2</t>
  </si>
  <si>
    <t>octroi_des_marches_publics_2</t>
  </si>
  <si>
    <t>debit_de_l_eau_hameau_de_stoumon</t>
  </si>
  <si>
    <t>arretes_dinhabitabilite_25</t>
  </si>
  <si>
    <t>asbl_entreprises_et_administrati</t>
  </si>
  <si>
    <t>decisions_et_registres_sur_les_d_146</t>
  </si>
  <si>
    <t>decisions_et_registres_sur_les_d_337</t>
  </si>
  <si>
    <t>reseau_deau_communal</t>
  </si>
  <si>
    <t>documents_sur_provenancetracabil_3</t>
  </si>
  <si>
    <t>composition_du_cabinet_de_mr_le_6</t>
  </si>
  <si>
    <t>decisions_et_registres_sur_les_d_81</t>
  </si>
  <si>
    <t>documents_ayant_trait_a_la_remun_2</t>
  </si>
  <si>
    <t>decisions_et_registres_sur_les_d_149</t>
  </si>
  <si>
    <t>tout_document_et_correspondance_2</t>
  </si>
  <si>
    <t>decisions_et_registres_sur_les_d_153</t>
  </si>
  <si>
    <t>analyse_decision_de_la_tutelle_n</t>
  </si>
  <si>
    <t>notes_explicatives_de_synthese_d_58</t>
  </si>
  <si>
    <t>decisions_et_registres_sur_les_d_242</t>
  </si>
  <si>
    <t>decisions_et_registres_sur_les_d_229</t>
  </si>
  <si>
    <t>dossier_dinspection_concernant_l_2</t>
  </si>
  <si>
    <t>notes_explicatives_de_synthese_d_60</t>
  </si>
  <si>
    <t>decisions_et_registres_sur_les_d_186</t>
  </si>
  <si>
    <t>mise_a_la_disposition_du_pesonne</t>
  </si>
  <si>
    <t>demande_davis_de_la_commune_wsl</t>
  </si>
  <si>
    <t>dossier_dinspection_concernant_l</t>
  </si>
  <si>
    <t>attribution_de_lensemble_des_sub_2</t>
  </si>
  <si>
    <t>transparence_des_mandats_liste_d_5</t>
  </si>
  <si>
    <t>composition_du_cabinet_de_mr_le_7</t>
  </si>
  <si>
    <t>concerne_enquete_vifsoir_transpa_39</t>
  </si>
  <si>
    <t>passage_chambon_laeken_correspon</t>
  </si>
  <si>
    <t>documents_sur_provenancetracabil_4</t>
  </si>
  <si>
    <t>documents_sur_provenancetracabil_5</t>
  </si>
  <si>
    <t>composition_du_cabinet_de_mme_la_6</t>
  </si>
  <si>
    <t>decisions_et_registres_sur_les_d_282</t>
  </si>
  <si>
    <t>presentation_projet_beliris_cont</t>
  </si>
  <si>
    <t>decisions_et_registres_sur_les_d_319</t>
  </si>
  <si>
    <t>frais_de_voyagesjustificatifs_et_30</t>
  </si>
  <si>
    <t>decisions_et_registres_sur_les_d_225</t>
  </si>
  <si>
    <t>saisies_de_cocaine_en_provenance</t>
  </si>
  <si>
    <t>enquete_du_journal_le_vif_projet_12</t>
  </si>
  <si>
    <t>parc_annie_cordy_nettoyagesablag</t>
  </si>
  <si>
    <t>avortements_des_femes_de_lue_en</t>
  </si>
  <si>
    <t>decisions_et_registres_sur_les_d_359</t>
  </si>
  <si>
    <t>composition_des_cabinets_du_bour_36</t>
  </si>
  <si>
    <t>listing_logements_videsreglement</t>
  </si>
  <si>
    <t>mandats_et_emplois_remuneres_des</t>
  </si>
  <si>
    <t>demande_au_nom_de_la_liberte_dac_4</t>
  </si>
  <si>
    <t>statistiques_expulsions_administ_7</t>
  </si>
  <si>
    <t>passage_chambon_laeken_correspon_2</t>
  </si>
  <si>
    <t>enquete_du_journal_le_vif_projet_6</t>
  </si>
  <si>
    <t>marais_wiels_1190_forest_plan_de</t>
  </si>
  <si>
    <t>notes_explicatives_de_synthese_d_65</t>
  </si>
  <si>
    <t>decisions_et_registres_sur_les_d_312</t>
  </si>
  <si>
    <t>decisions_et_registres_sur_les_d_174</t>
  </si>
  <si>
    <t>decisions_et_registres_sur_les_d_228</t>
  </si>
  <si>
    <t>fresque_annie_cordy_duree</t>
  </si>
  <si>
    <t>non_reponse_a_notre_courrier_du</t>
  </si>
  <si>
    <t>decisions_et_registres_sur_les_d_187</t>
  </si>
  <si>
    <t>demande_au_nom_de_la_liberte_dac_5</t>
  </si>
  <si>
    <t>fichiers_des_annonces_audio_util</t>
  </si>
  <si>
    <t>demande_de_la_liste_complete_et_2</t>
  </si>
  <si>
    <t>composition_des_cabinets_du_bour_45</t>
  </si>
  <si>
    <t>contrat_de_quartier_bockstael_se_2</t>
  </si>
  <si>
    <t>rapport_sur_la_penurie_et_labsen</t>
  </si>
  <si>
    <t>liste_des_subsides_attribues_par_16</t>
  </si>
  <si>
    <t>pavage_parvis_notre_dame_laeken</t>
  </si>
  <si>
    <t>fresque_eyes_b_et_parole_la_conv</t>
  </si>
  <si>
    <t>demande_de_2_copies_de_documents</t>
  </si>
  <si>
    <t>decisions_et_registres_sur_les_d_278</t>
  </si>
  <si>
    <t>taxe_sur_les_debits_de_boissons_2</t>
  </si>
  <si>
    <t>enquete_du_journal_le_vif_projet_48</t>
  </si>
  <si>
    <t>frais_divers_et_de_notaire_conce_2</t>
  </si>
  <si>
    <t>demande_au_nom_de_la_liberte_dac_6</t>
  </si>
  <si>
    <t>statistique_sur_le_reflux_gastro</t>
  </si>
  <si>
    <t>fresque_shake_defo_convention</t>
  </si>
  <si>
    <t>decisions_et_registres_sur_les_d_348</t>
  </si>
  <si>
    <t>decisions_et_registres_sur_les_d_176</t>
  </si>
  <si>
    <t>poubelles</t>
  </si>
  <si>
    <t>cadastre_de_letat_des_batiments</t>
  </si>
  <si>
    <t>notes_explicatives_de_synthese_d_78</t>
  </si>
  <si>
    <t>toiture_eglise_saint_va</t>
  </si>
  <si>
    <t>composition_du_cabinet_de_mme_la</t>
  </si>
  <si>
    <t>traite_sur_linterdiction_des_arm</t>
  </si>
  <si>
    <t>statistiques_expulsions_administ</t>
  </si>
  <si>
    <t>composition_du_cabinet_de_mme_la_3</t>
  </si>
  <si>
    <t>liste_des_asbl_subsidiees_par_le_5</t>
  </si>
  <si>
    <t>permis_durbanisme_ecoquartier_de</t>
  </si>
  <si>
    <t>composition_du_cabinet_de_mr_le_5</t>
  </si>
  <si>
    <t>statistiques_expulsions_administ_2</t>
  </si>
  <si>
    <t>notes_explicatives_projets_de_de_53</t>
  </si>
  <si>
    <t>foire_du_midi</t>
  </si>
  <si>
    <t>listing_des_batiments_residentie</t>
  </si>
  <si>
    <t>decisions_et_registres_sur_les_d_342</t>
  </si>
  <si>
    <t>delivrance_des_permis_durbanisme</t>
  </si>
  <si>
    <t>pv_de_la_seance_publique_des_con</t>
  </si>
  <si>
    <t>notes_explicatives_de_synthese_d_79</t>
  </si>
  <si>
    <t>conseil_communal_seance_du_vendr</t>
  </si>
  <si>
    <t>conseil_communal_seance_du_lundi_45</t>
  </si>
  <si>
    <t>passage_chambon_etude_actualisee</t>
  </si>
  <si>
    <t>composition_du_cabinet_de_mme_la_4</t>
  </si>
  <si>
    <t>frais_de_voyagesjustificatifs_et_9</t>
  </si>
  <si>
    <t>liste_des_subsides_attribues_par_35</t>
  </si>
  <si>
    <t>nombre_de_votes_par_procuration_10</t>
  </si>
  <si>
    <t>enquete_du_journal_le_vif_projet_65</t>
  </si>
  <si>
    <t>objet_demande_de_copie_de_la_dec</t>
  </si>
  <si>
    <t>amenagement_interieur_de_la_mais</t>
  </si>
  <si>
    <t>pv_ca_du_11_fevrier_2021</t>
  </si>
  <si>
    <t>enquete_du_journal_le_vif_projet_41</t>
  </si>
  <si>
    <t>contrat_de_quartier_bockstael_de</t>
  </si>
  <si>
    <t>notes_explicatives_projets_de_de_7</t>
  </si>
  <si>
    <t>renseignements_complementaires_p</t>
  </si>
  <si>
    <t>rapport_danalyse_de_sol</t>
  </si>
  <si>
    <t>info_financiere</t>
  </si>
  <si>
    <t>enquete_du_journal_le_vif_projet_24</t>
  </si>
  <si>
    <t>registres_dutilisation_des_produ_2</t>
  </si>
  <si>
    <t>parvis_notre_dame_plan_regional_2</t>
  </si>
  <si>
    <t>demande_de_documents_sur_le_trai_7</t>
  </si>
  <si>
    <t>composition_des_cabinets_du_bour_40</t>
  </si>
  <si>
    <t>copaloc_pv_des_reunions_depuis_j</t>
  </si>
  <si>
    <t>contrat_de_quartier_bockstael_pa</t>
  </si>
  <si>
    <t>demande_de_copie_dun_echange_de</t>
  </si>
  <si>
    <t>parvis_notre_dame_plan_regional</t>
  </si>
  <si>
    <t>notes_explicatives_de_synthese_d_82</t>
  </si>
  <si>
    <t>la_liste_nominative_reprenant_to_4</t>
  </si>
  <si>
    <t>enquete_du_journal_lesoir_projet_35</t>
  </si>
  <si>
    <t>enquete_du_journal_le_vif_projet_40</t>
  </si>
  <si>
    <t>permis_durbanisme_abords_ancienn</t>
  </si>
  <si>
    <t>avis_du_22042013_du_comite_de_ge</t>
  </si>
  <si>
    <t>factures_et_bons_de_commabde_des</t>
  </si>
  <si>
    <t>combien_de_policiers_ont_un_casi</t>
  </si>
  <si>
    <t>passage_chambon_reunion_infrabel</t>
  </si>
  <si>
    <t>permis_durbanisme_dun_terrain_de</t>
  </si>
  <si>
    <t>projet_immobilier_rue_pierre_str</t>
  </si>
  <si>
    <t>demande_de_documents_sur_le_trai_20</t>
  </si>
  <si>
    <t>enquete_du_journal_le_vif_projet_64</t>
  </si>
  <si>
    <t>enquete_du_journal_lesoir_projet_4</t>
  </si>
  <si>
    <t>contrats_pfizer_vaccins_anti_cov</t>
  </si>
  <si>
    <t>camping_fontaine_monseu</t>
  </si>
  <si>
    <t>extrait_du_pv_du_11_juillet_2024</t>
  </si>
  <si>
    <t>documents_preparatoires_du_proch_2</t>
  </si>
  <si>
    <t>projets_de_deliberation_des_poin_82</t>
  </si>
  <si>
    <t>enquete_du_journal_lesoir_projet_50</t>
  </si>
  <si>
    <t>analyse_comparative_des_finances_6</t>
  </si>
  <si>
    <t>documents_preparatoires_du_proch_7</t>
  </si>
  <si>
    <t>notes_explicatives_de_synthese_d_83</t>
  </si>
  <si>
    <t>demande_de_documents_sur_le_trai_4</t>
  </si>
  <si>
    <t>analyse_comparative_des_finances_11</t>
  </si>
  <si>
    <t>analyse_comparative_des_finances_12</t>
  </si>
  <si>
    <t>demande_de_document_3</t>
  </si>
  <si>
    <t>documents_preparatoires_du_proch_4</t>
  </si>
  <si>
    <t>enquete_du_soir_et_du_vif_projet_4</t>
  </si>
  <si>
    <t>notes_explicatives_de_synthese_d_88</t>
  </si>
  <si>
    <t>analyse_comparative_des_finances_9</t>
  </si>
  <si>
    <t>demande_des_etudes_geologiques_r</t>
  </si>
  <si>
    <t>rapports_etudes_permis_pv_de_reu</t>
  </si>
  <si>
    <t>analyse_comparative_des_finances_13</t>
  </si>
  <si>
    <t>parc_annie_cordy_1020_laeken_bat</t>
  </si>
  <si>
    <t>demande_de_document_4</t>
  </si>
  <si>
    <t>nombre_de_patients_appareilles_e</t>
  </si>
  <si>
    <t>analyse_comparative_des_finances_15</t>
  </si>
  <si>
    <t>demande_de_documents_sur_le_trai_10</t>
  </si>
  <si>
    <t>documents_preparatoires_du_proch_3</t>
  </si>
  <si>
    <t>objet_demande_officielle_de_comm</t>
  </si>
  <si>
    <t>analyse_comparative_des_finances_14</t>
  </si>
  <si>
    <t>demande_de_document_ayant_trait</t>
  </si>
  <si>
    <t>enquete_du_journal_le_vif_projet_70</t>
  </si>
  <si>
    <t>demande_de_communication_de_la_d</t>
  </si>
  <si>
    <t>listing_arretes_inhabitabilite_57</t>
  </si>
  <si>
    <t>notes_explicatives_de_synthese_d_89</t>
  </si>
  <si>
    <t>analyse_comparative_des_finances_16</t>
  </si>
  <si>
    <t>listing_arretes_inhabitabilite_62</t>
  </si>
  <si>
    <t>analyse_comparative_des_finances_17</t>
  </si>
  <si>
    <t>analyse_comparative_des_finances_18</t>
  </si>
  <si>
    <t>belgique_bruxelles_services_de_p_2</t>
  </si>
  <si>
    <t>enquete_du_soir_et_du_vif_projet_6</t>
  </si>
  <si>
    <t>analyse_comparative_des_finances_23</t>
  </si>
  <si>
    <t>analyse_comparative_des_finances_25</t>
  </si>
  <si>
    <t>enquete_du_soir_et_du_vif_projet_9</t>
  </si>
  <si>
    <t>analyse_comparative_des_finances_22</t>
  </si>
  <si>
    <t>enquete_du_journal_le_vif_projet_68</t>
  </si>
  <si>
    <t>notes_explicatives_de_synthese_d_94</t>
  </si>
  <si>
    <t>analyse_comparative_des_finances_26</t>
  </si>
  <si>
    <t>analyse_comparative_des_finances_27</t>
  </si>
  <si>
    <t>demande_au_nom_de_la_liberte_dac_11</t>
  </si>
  <si>
    <t>tout_document_et_correspondance_3</t>
  </si>
  <si>
    <t>les_jardins_doisquercq_pur201600</t>
  </si>
  <si>
    <t>analyse_comparative_des_finances_28</t>
  </si>
  <si>
    <t>fresques_artistiques</t>
  </si>
  <si>
    <t>enquete_du_soir_et_du_vif_projet_12</t>
  </si>
  <si>
    <t>beliris_serre_urbaine_1020_laeke</t>
  </si>
  <si>
    <t>analyse_comparative_des_finances_30</t>
  </si>
  <si>
    <t>analyse_comparative_des_finances_31</t>
  </si>
  <si>
    <t>demande_de_copie_de_documents_co</t>
  </si>
  <si>
    <t>enquete_vifsoir_transparence_des_27</t>
  </si>
  <si>
    <t>reamenagement_des_abords_de_lanc_5</t>
  </si>
  <si>
    <t>analyse_comparative_des_finances_33</t>
  </si>
  <si>
    <t>analyse_comparative_des_finances_34</t>
  </si>
  <si>
    <t>annexion_de_rues_de_1040_etterbe</t>
  </si>
  <si>
    <t>analyse_comparative_des_finances_32</t>
  </si>
  <si>
    <t>demande_dune_mise_a_jour_de_la_l</t>
  </si>
  <si>
    <t>demande_du_rapport_detude_sur_le</t>
  </si>
  <si>
    <t>contrat_de_quartier_bockstael_pv_3</t>
  </si>
  <si>
    <t>commission_de_concertation_gare</t>
  </si>
  <si>
    <t>fresque_george_floyd_laeken</t>
  </si>
  <si>
    <t>analyse_comparative_des_finances_35</t>
  </si>
  <si>
    <t>demande_de_permis_durbanisme_pou</t>
  </si>
  <si>
    <t>projets_de_deliberations_3</t>
  </si>
  <si>
    <t>demande_de_la_premiere_version_d</t>
  </si>
  <si>
    <t>budget_participatif_de_namur_dem</t>
  </si>
  <si>
    <t>projets_de_deliberations_4</t>
  </si>
  <si>
    <t>analyse_comparative_des_finances_36</t>
  </si>
  <si>
    <t>analyse_comparative_des_finances_37</t>
  </si>
  <si>
    <t>liste_des_subsides_attribues_par_12</t>
  </si>
  <si>
    <t>fresques_artistiques_jette</t>
  </si>
  <si>
    <t>projets_de_deliberation_des_poin_4</t>
  </si>
  <si>
    <t>frais_davocat_procedure_a_lencon_2</t>
  </si>
  <si>
    <t>demande_au_nom_de_la_liberte_dac_12</t>
  </si>
  <si>
    <t>analyse_comparative_des_finances_40</t>
  </si>
  <si>
    <t>pv_comite_de_remuneration</t>
  </si>
  <si>
    <t>marche_de_collecte_des_dechets_p</t>
  </si>
  <si>
    <t>analyse_comparative_des_finances_41</t>
  </si>
  <si>
    <t>projets_de_deliberations_6</t>
  </si>
  <si>
    <t>fresques_artistiques_ixelles</t>
  </si>
  <si>
    <t>notes_explicatives_projets_de_de_50</t>
  </si>
  <si>
    <t>enquete_le_vif_projet_de_deliber</t>
  </si>
  <si>
    <t>demande_de_la_liste_du_patrimoin_10</t>
  </si>
  <si>
    <t>enquete_vifsoir_transparence_des_21</t>
  </si>
  <si>
    <t>fresques_artistiques_saint_gille</t>
  </si>
  <si>
    <t>composition_dudes_cabinets_10</t>
  </si>
  <si>
    <t>analyse_comparative_des_finances_38</t>
  </si>
  <si>
    <t>analyse_comparative_des_finances_39</t>
  </si>
  <si>
    <t>analyse_comparative_des_finances_44</t>
  </si>
  <si>
    <t>analyse_comparative_des_finances_42</t>
  </si>
  <si>
    <t>liste_des_subsides_attribues_par_3</t>
  </si>
  <si>
    <t>liste_des_subsides_attribues_par_26</t>
  </si>
  <si>
    <t>demande_dune_copie_de_la_note_n_2</t>
  </si>
  <si>
    <t>analyse_comparative_des_finances_43</t>
  </si>
  <si>
    <t>liste_des_subsides_attribues_par_44</t>
  </si>
  <si>
    <t>analyse_comparative_des_finances_45</t>
  </si>
  <si>
    <t>oeuvre_de_saint_georges_et_le_dr</t>
  </si>
  <si>
    <t>candidature_contrat_de_quartier</t>
  </si>
  <si>
    <t>liste_des_subsides_attribues_par_7</t>
  </si>
  <si>
    <t>voir_le_conseil_communal_en_diff</t>
  </si>
  <si>
    <t>enquete_du_journal_lesoir_projet_15</t>
  </si>
  <si>
    <t>rapport_dincidence_environnement</t>
  </si>
  <si>
    <t>parkings_pmr_communes_belges</t>
  </si>
  <si>
    <t>demande_dune_copie_de_la_note_n</t>
  </si>
  <si>
    <t>projets_de_deliberations_des_pro</t>
  </si>
  <si>
    <t>enquete_du_journal_lesoir_projet_17</t>
  </si>
  <si>
    <t>analyse_comparative_des_finances_46</t>
  </si>
  <si>
    <t>enquete_vifsoir_transparence_des_44</t>
  </si>
  <si>
    <t>liste_des_subsides_attribues_par_19</t>
  </si>
  <si>
    <t>analyse_comparative_des_finances_47</t>
  </si>
  <si>
    <t>projets_de_deliberation_des_poin_8</t>
  </si>
  <si>
    <t>analyse_comparative_des_finances_50</t>
  </si>
  <si>
    <t>enquete_du_journal_le_vif_projet_74</t>
  </si>
  <si>
    <t>enquete_du_journal_lesoir_projet_18</t>
  </si>
  <si>
    <t>liste_des_subsides_attribues_par_21</t>
  </si>
  <si>
    <t>analyse_comparative_des_finances_49</t>
  </si>
  <si>
    <t>concerne_enquete_vifsoir_transpa_8</t>
  </si>
  <si>
    <t>interdiction_longue_duree_de_sta</t>
  </si>
  <si>
    <t>qui_a_demande_les_listes_delecte_17</t>
  </si>
  <si>
    <t>liste_des_subsides_attribues_par_23</t>
  </si>
  <si>
    <t>enquete_du_journal_lesoir_projet_19</t>
  </si>
  <si>
    <t>analyse_comparative_des_finances_53</t>
  </si>
  <si>
    <t>analyse_comparative_des_finances_51</t>
  </si>
  <si>
    <t>la_liste_nominative_reprenant_to_7</t>
  </si>
  <si>
    <t>200_000_eu_trop_percus_de_valent</t>
  </si>
  <si>
    <t>enquete_du_journal_lesoir_projet_21</t>
  </si>
  <si>
    <t>enquete_du_journal_lesoir_projet_53</t>
  </si>
  <si>
    <t>enquete_avec_la_presse_demande_d_23</t>
  </si>
  <si>
    <t>analyse_comparative_des_finances_54</t>
  </si>
  <si>
    <t>enquete_vifsoir_transparence_des_15</t>
  </si>
  <si>
    <t>analyse_comparative_des_finances_55</t>
  </si>
  <si>
    <t>listing_arretes_inhabitabilite_24</t>
  </si>
  <si>
    <t>asbl_amis_du_chateau_de_rahier</t>
  </si>
  <si>
    <t>analyse_comparative_des_finances_52</t>
  </si>
  <si>
    <t>enquete_du_journal_lesoir_projet_23</t>
  </si>
  <si>
    <t>projets_de_deliberation_des_poin_9</t>
  </si>
  <si>
    <t>liste_des_subsides_attribues_par_25</t>
  </si>
  <si>
    <t>enquete_du_vif_et_du_soir_projet_7</t>
  </si>
  <si>
    <t>analyse_comparative_des_finances_59</t>
  </si>
  <si>
    <t>obtention_de_lextrait_du_pv_du_c</t>
  </si>
  <si>
    <t>analyse_comparative_des_finances_58</t>
  </si>
  <si>
    <t>enquete_du_journal_lesoir_projet_24</t>
  </si>
  <si>
    <t>concerne_enquete_vifsoir_transpa_37</t>
  </si>
  <si>
    <t>analyse_comparative_des_finances_56</t>
  </si>
  <si>
    <t>lattestation_officielle_autorisa</t>
  </si>
  <si>
    <t>decisions_et_registres_sur_les_d_84</t>
  </si>
  <si>
    <t>liste_des_subsides_attribues_par_30</t>
  </si>
  <si>
    <t>concerne_enquete_vifsoir_transpa_18</t>
  </si>
  <si>
    <t>composition_dudes_cabinets_13</t>
  </si>
  <si>
    <t>enquete_du_journal_lesoir_projet_30</t>
  </si>
  <si>
    <t>liste_des_subsides_attribues_par_8</t>
  </si>
  <si>
    <t>liste_des_subsides_attribues_par_32</t>
  </si>
  <si>
    <t>analyse_comparative_des_finances_63</t>
  </si>
  <si>
    <t>analyse_comparative_des_finances_62</t>
  </si>
  <si>
    <t>enquete_vifsoir_transparence_des_20</t>
  </si>
  <si>
    <t>enquete_vifsoir_transparence_des_19</t>
  </si>
  <si>
    <t>enquete_du_journal_lesoir_projet_33</t>
  </si>
  <si>
    <t>enquete_du_vif_et_du_soir_projet_28</t>
  </si>
  <si>
    <t>liste_des_subsides_attribues_par_13</t>
  </si>
  <si>
    <t>liste_des_subsides_attribues_par_9</t>
  </si>
  <si>
    <t>analyse_comparative_des_finances_60</t>
  </si>
  <si>
    <t>analyse_comparative_des_finances_61</t>
  </si>
  <si>
    <t>copie_du_schema_de_developpement</t>
  </si>
  <si>
    <t>analyse_comparative_des_finances_64</t>
  </si>
  <si>
    <t>analyse_comparative_des_finances_69</t>
  </si>
  <si>
    <t>liste_des_subsides_attribues_par_33</t>
  </si>
  <si>
    <t>enquete_du_journal_lesoir_projet_38</t>
  </si>
  <si>
    <t>projets_de_deliberation_des_poin_17</t>
  </si>
  <si>
    <t>reunions_planu_liste_des_commune</t>
  </si>
  <si>
    <t>demande_de_placement_dun_panneau</t>
  </si>
  <si>
    <t>concerne_enquete_vifsoir_transpa_17</t>
  </si>
  <si>
    <t>enquete_du_journal_lesoir_projet_42</t>
  </si>
  <si>
    <t>enquete_vifsoir_transparence_des_22</t>
  </si>
  <si>
    <t>inventaire_faune_et_flore_preala</t>
  </si>
  <si>
    <t>projets_de_deliberation_des_poin_55</t>
  </si>
  <si>
    <t>analyse_comparative_des_finances_67</t>
  </si>
  <si>
    <t>renovation_gare_bockstael_sncb_1_2</t>
  </si>
  <si>
    <t>analyse_comparative_des_finances_72</t>
  </si>
  <si>
    <t>enquete_du_journal_lesoir_projet_51</t>
  </si>
  <si>
    <t>liste_des_subsides_attribues_par_28</t>
  </si>
  <si>
    <t>ensemble_des_ecrits_entre_commun</t>
  </si>
  <si>
    <t>la_liste_nominative_reprenant_to_5</t>
  </si>
  <si>
    <t>enquete_du_journal_lesoir_projet_48</t>
  </si>
  <si>
    <t>analyse_comparative_des_finances_71</t>
  </si>
  <si>
    <t>projets_de_deliberation_des_poin_76</t>
  </si>
  <si>
    <t>analyse_comparative_des_finances_73</t>
  </si>
  <si>
    <t>demande_de_copie_integrale_non_c</t>
  </si>
  <si>
    <t>analyse_comparative_des_finances_74</t>
  </si>
  <si>
    <t>demande_de_documents_administrat_2</t>
  </si>
  <si>
    <t>enquete_vifsoir_transparence_des_38</t>
  </si>
  <si>
    <t>analyse_comparative_des_finances_75</t>
  </si>
  <si>
    <t>analyse_comparative_des_finances_76</t>
  </si>
  <si>
    <t>demande_dune_copie_complete_du_d</t>
  </si>
  <si>
    <t>liste_des_subsides_attribues_par_29</t>
  </si>
  <si>
    <t>analyse_comparative_des_finances_79</t>
  </si>
  <si>
    <t>ecoiris_demande_des_rapports_dac</t>
  </si>
  <si>
    <t>analyse_comparative_des_finances_77</t>
  </si>
  <si>
    <t>demande_de_copie_integrale_non_c_3</t>
  </si>
  <si>
    <t>rapports_dactivites_de_lagence_p</t>
  </si>
  <si>
    <t>enquete_vifsoir_transparence_des_26</t>
  </si>
  <si>
    <t>projets_de_deliberation_des_poin_20</t>
  </si>
  <si>
    <t>nombre_de_personnes_en_adresse_d_4</t>
  </si>
  <si>
    <t>analyse_comparative_des_finances_83</t>
  </si>
  <si>
    <t>liste_des_subsides_attribues_par_2</t>
  </si>
  <si>
    <t>plan_grand_froid_rapport_dactivi</t>
  </si>
  <si>
    <t>analyse_comparative_des_finances_84</t>
  </si>
  <si>
    <t>analyse_comparative_des_finances_85</t>
  </si>
  <si>
    <t>budget_2020_art_104111_08_compte</t>
  </si>
  <si>
    <t>analyse_comparative_des_finances_86</t>
  </si>
  <si>
    <t>analyse_comparative_des_finances_82</t>
  </si>
  <si>
    <t>liste_des_subsides_attribues_par_15</t>
  </si>
  <si>
    <t>analyse_comparative_des_finances_81</t>
  </si>
  <si>
    <t>dossier_urbanistique_avenue_de_l</t>
  </si>
  <si>
    <t>echange_courriers_avec_la_ville</t>
  </si>
  <si>
    <t>liste_des_subsides_attribues_par_17</t>
  </si>
  <si>
    <t>objet_question_sur_la_legitimite</t>
  </si>
  <si>
    <t>enquete_vifsoir_transparence_des_41</t>
  </si>
  <si>
    <t>objet_demande_dinformations_sur</t>
  </si>
  <si>
    <t>documents_preparatoires_du_proch_73</t>
  </si>
  <si>
    <t>analyse_comparative_des_finances_87</t>
  </si>
  <si>
    <t>analyse_comparative_des_finances_88</t>
  </si>
  <si>
    <t>demande_du_decompte_complet_et_d</t>
  </si>
  <si>
    <t>projets_de_deliberation_des_poin_40</t>
  </si>
  <si>
    <t>toutes_les_conventions_passees_e</t>
  </si>
  <si>
    <t>enquete_vifsoir_transparence_des_32</t>
  </si>
  <si>
    <t>analyse_comparative_des_finances_10</t>
  </si>
  <si>
    <t>projets_de_deliberations_et_note</t>
  </si>
  <si>
    <t>arretes_dinhabitabilite_3</t>
  </si>
  <si>
    <t>sejour_inutile_a_new_york</t>
  </si>
  <si>
    <t>liste_des_subsides_attribues_par_36</t>
  </si>
  <si>
    <t>analyse_comparative_des_finances_24</t>
  </si>
  <si>
    <t>analyse_comparative_des_finances_29</t>
  </si>
  <si>
    <t>demande_de_document_2</t>
  </si>
  <si>
    <t>enquete_avec_la_presse_demande_d_24</t>
  </si>
  <si>
    <t>decisions_et_registres_sur_les_d_6</t>
  </si>
  <si>
    <t>projets_de_deliberation_des_poin_21</t>
  </si>
  <si>
    <t>analyse_comparative_des_finances_5</t>
  </si>
  <si>
    <t>projets_de_deliberation_des_poin_60</t>
  </si>
  <si>
    <t>enquete_du_journal_le_vif_projet_42</t>
  </si>
  <si>
    <t>analyse_comparative_des_finances_70</t>
  </si>
  <si>
    <t>enquete_du_journal_le_vif_projet_20</t>
  </si>
  <si>
    <t>analyse_comparative_des_finances_80</t>
  </si>
  <si>
    <t>decisions_et_registres_sur_les_d_40</t>
  </si>
  <si>
    <t>localisation_des_conduites_deau</t>
  </si>
  <si>
    <t>projets_de_deliberation_des_poin_88</t>
  </si>
  <si>
    <t>analyse_comparative_des_finances_48</t>
  </si>
  <si>
    <t>declaration_dinterets_elie_cogan</t>
  </si>
  <si>
    <t>enquete_du_journal_le_vif_projet_43</t>
  </si>
  <si>
    <t>projets_de_deliberation_des_poin_23</t>
  </si>
  <si>
    <t>analyse_comparative_des_finances_78</t>
  </si>
  <si>
    <t>identification_de_la_police_et_m</t>
  </si>
  <si>
    <t>enquete_du_journal_le_vif_projet_44</t>
  </si>
  <si>
    <t>demande_de_la_liste_du_patrimoin_4</t>
  </si>
  <si>
    <t>projets_de_deliberation_des_poin_27</t>
  </si>
  <si>
    <t>comptes_annuels</t>
  </si>
  <si>
    <t>arretes_dinhabitabilite_et_expul</t>
  </si>
  <si>
    <t>analyse_comparative_des_finances_68</t>
  </si>
  <si>
    <t>demande_de_dossiers_denquete_sur</t>
  </si>
  <si>
    <t>enquete_du_journal_le_vif_projet_57</t>
  </si>
  <si>
    <t>decisions_et_registres_sur_les_d_50</t>
  </si>
  <si>
    <t>enquete_du_journal_le_vif_projet_49</t>
  </si>
  <si>
    <t>projets_de_deliberation_des_poin_92</t>
  </si>
  <si>
    <t>decisions_et_registres_sur_les_d_86</t>
  </si>
  <si>
    <t>analyse_comparative_des_finances_89</t>
  </si>
  <si>
    <t>analyse_comparative_des_finances_90</t>
  </si>
  <si>
    <t>enquete_du_journal_le_vif_projet_62</t>
  </si>
  <si>
    <t>demande_de_la_liste_du_patrimoin_14</t>
  </si>
  <si>
    <t>analyse_comparative_des_finances_92</t>
  </si>
  <si>
    <t>proces_verbaux_et_ordre_du_jour</t>
  </si>
  <si>
    <t>analyse_comparative_des_finances_93</t>
  </si>
  <si>
    <t>analyse_comparative_des_finances_91</t>
  </si>
  <si>
    <t>notes_explicatives_projets_de_de_52</t>
  </si>
  <si>
    <t>notes_explicatives_projets_de_de_44</t>
  </si>
  <si>
    <t>decisions_et_registres_sur_les_d_87</t>
  </si>
  <si>
    <t>notes_explicatives_projets_de_de_46</t>
  </si>
  <si>
    <t>analyse_comparative_des_finances_98</t>
  </si>
  <si>
    <t>enquete_du_journal_le_vif_projet_84</t>
  </si>
  <si>
    <t>art_32_constitution_demande_de_c</t>
  </si>
  <si>
    <t>analyse_comparative_des_finances_94</t>
  </si>
  <si>
    <t>analyse_comparative_des_finances_95</t>
  </si>
  <si>
    <t>analyse_comparative_des_finances_96</t>
  </si>
  <si>
    <t>analyse_comparative_des_finances_97</t>
  </si>
  <si>
    <t>enquete_du_journal_le_vif_projet_61</t>
  </si>
  <si>
    <t>demande_au_nom_de_la_liberte_dac_13</t>
  </si>
  <si>
    <t>decisions_et_registres_sur_les_d_88</t>
  </si>
  <si>
    <t>notes_explicatives_projets_de_de_10</t>
  </si>
  <si>
    <t>projets_de_deliberation_des_poin_29</t>
  </si>
  <si>
    <t>enquete_du_journal_le_vif_projet_86</t>
  </si>
  <si>
    <t>analyse_comparative_des_finances_101</t>
  </si>
  <si>
    <t>analyse_comparative_des_finances_99</t>
  </si>
  <si>
    <t>decisions_et_registres_sur_les_d_89</t>
  </si>
  <si>
    <t>enquete_du_journal_le_vif_projet_69</t>
  </si>
  <si>
    <t>beliris_pv_non_biffes_ndeg41581</t>
  </si>
  <si>
    <t>analyse_comparative_des_finances_100</t>
  </si>
  <si>
    <t>passage_chambon_laeken_1020_infi</t>
  </si>
  <si>
    <t>analyse_comparative_des_finances_102</t>
  </si>
  <si>
    <t>analyse_comparative_des_finances_103</t>
  </si>
  <si>
    <t>notes_explicatives_projets_de_de_49</t>
  </si>
  <si>
    <t>notes_explicatives_projets_de_de_16</t>
  </si>
  <si>
    <t>demande_de_copie_des_rapports_da</t>
  </si>
  <si>
    <t>analyse_comparative_des_finances_106</t>
  </si>
  <si>
    <t>projets_de_deliberation_des_poin_33</t>
  </si>
  <si>
    <t>decisions_et_registres_sur_les_d_90</t>
  </si>
  <si>
    <t>enquete_du_journal_le_vif_projet_71</t>
  </si>
  <si>
    <t>analyse_comparative_des_finances_104</t>
  </si>
  <si>
    <t>analyse_comparative_des_finances_105</t>
  </si>
  <si>
    <t>analyse_comparative_des_finances_107</t>
  </si>
  <si>
    <t>analyse_comparative_des_finances_108</t>
  </si>
  <si>
    <t>plans_des_traces_alternatifs_vic</t>
  </si>
  <si>
    <t>enquete_du_journal_le_vif_projet_88</t>
  </si>
  <si>
    <t>analyse_comparative_des_finances_111</t>
  </si>
  <si>
    <t>demande_de_copie_integrale_non_c_2</t>
  </si>
  <si>
    <t>analyse_comparative_des_finances_112</t>
  </si>
  <si>
    <t>demande_de_comptes_annuels</t>
  </si>
  <si>
    <t>decisions_et_registres_sur_les_d_91</t>
  </si>
  <si>
    <t>analyse_comparative_des_finances_113</t>
  </si>
  <si>
    <t>analyse_comparative_des_finances_115</t>
  </si>
  <si>
    <t>notes_explicatives_du_conseil_co_2</t>
  </si>
  <si>
    <t>analyse_comparative_des_finances_110</t>
  </si>
  <si>
    <t>projets_de_deliberation_des_poin_34</t>
  </si>
  <si>
    <t>decisions_et_registres_sur_les_d_104</t>
  </si>
  <si>
    <t>enquete_du_journal_lesoir_projet_10</t>
  </si>
  <si>
    <t>decisions_et_registres_sur_les_d_105</t>
  </si>
  <si>
    <t>analyse_comparative_des_finances_120</t>
  </si>
  <si>
    <t>enquete_du_journal_le_vif_projet_73</t>
  </si>
  <si>
    <t>liste_des_subsides_attribues_par_43</t>
  </si>
  <si>
    <t>registre_de_securite_des_ecoles_5</t>
  </si>
  <si>
    <t>enquete_du_journal_le_vif_projet_90</t>
  </si>
  <si>
    <t>analyse_comparative_des_finances_116</t>
  </si>
  <si>
    <t>analyse_comparative_des_finances_118</t>
  </si>
  <si>
    <t>enquete_du_journal_lesoir_projet_12</t>
  </si>
  <si>
    <t>analyse_comparative_des_finances_119</t>
  </si>
  <si>
    <t>decisions_et_registres_sur_les_d_107</t>
  </si>
  <si>
    <t>analyse_comparative_des_finances_121</t>
  </si>
  <si>
    <t>analyse_comparative_des_finances_124</t>
  </si>
  <si>
    <t>analyse_comparative_des_finances_126</t>
  </si>
  <si>
    <t>projets_de_deliberation_des_poin_77</t>
  </si>
  <si>
    <t>demande_dinformation_sur_les_sys_3</t>
  </si>
  <si>
    <t>demande_dexplication_concernant</t>
  </si>
  <si>
    <t>analyse_comparative_des_finances_122</t>
  </si>
  <si>
    <t>enquete_du_vif_et_du_soir_projet_16</t>
  </si>
  <si>
    <t>analyse_comparative_des_finances_123</t>
  </si>
  <si>
    <t>enquete_du_journal_le_vif_projet_76</t>
  </si>
  <si>
    <t>piste_cyclo_pietonne_place_bocks</t>
  </si>
  <si>
    <t>decisions_et_registres_sur_les_d_108</t>
  </si>
  <si>
    <t>analyse_comparative_des_finances_127</t>
  </si>
  <si>
    <t>enquete_vifsoir_transparence_des_2</t>
  </si>
  <si>
    <t>projets_de_deliberation_des_poin_85</t>
  </si>
  <si>
    <t>contrat_de_quartier_bockstael_pa_2</t>
  </si>
  <si>
    <t>bruit_de_voisinage_demandes_et_d</t>
  </si>
  <si>
    <t>budgets_et_depenses_annuelles_po</t>
  </si>
  <si>
    <t>nombre_dimmeubles_inocupes</t>
  </si>
  <si>
    <t>analyse_comparative_des_finances_137</t>
  </si>
  <si>
    <t>demande_au_nom_de_la_liberte_dac_3</t>
  </si>
  <si>
    <t>enquete_vifsoir_transparence_des_6</t>
  </si>
  <si>
    <t>projets_de_deliberation_des_poin_35</t>
  </si>
  <si>
    <t>analyse_comparative_des_finances_133</t>
  </si>
  <si>
    <t>analyse_comparative_des_finances_19</t>
  </si>
  <si>
    <t>enquete_du_journal_le_vif_projet_77</t>
  </si>
  <si>
    <t>decisions_et_registres_sur_les_d_367</t>
  </si>
  <si>
    <t>notes_explicatives_projets_de_de_48</t>
  </si>
  <si>
    <t>deliberation_du_conseil_communal</t>
  </si>
  <si>
    <t>analyse_comparative_des_finances_8</t>
  </si>
  <si>
    <t>analyse_comparative_des_finances_20</t>
  </si>
  <si>
    <t>enquete_du_journal_le_vif_projet_83</t>
  </si>
  <si>
    <t>analyse_comparative_des_finances_21</t>
  </si>
  <si>
    <t>analyse_comparative_des_finances_65</t>
  </si>
  <si>
    <t>enquete_du_journal_lesoir_projet_5</t>
  </si>
  <si>
    <t>enquete_du_vif_et_du_soir_projet_17</t>
  </si>
  <si>
    <t>enquete_du_journal_lesoir_projet_8</t>
  </si>
  <si>
    <t>enquete_du_journal_lesoir_projet_57</t>
  </si>
  <si>
    <t>enquete_du_journal_lesoir_projet_49</t>
  </si>
  <si>
    <t>enquete_du_vif_et_du_soir_projet_12</t>
  </si>
  <si>
    <t>enquete_vifsoir_transparence_des_8</t>
  </si>
  <si>
    <t>enquete_du_vif_et_du_soir_projet_18</t>
  </si>
  <si>
    <t>enquete_du_journal_le_vif_projet_85</t>
  </si>
  <si>
    <t>analyse_comparative_des_finances_139</t>
  </si>
  <si>
    <t>enquete_vifsoir_transparence_des_10</t>
  </si>
  <si>
    <t>decisions_et_registres_sur_les_d_109</t>
  </si>
  <si>
    <t>decisions_et_registres_sur_les_d_113</t>
  </si>
  <si>
    <t>analyse_comparative_des_finances_143</t>
  </si>
  <si>
    <t>analyse_comparative_des_finances_66</t>
  </si>
  <si>
    <t>analyse_comparative_des_finances_145</t>
  </si>
  <si>
    <t>analyse_comparative_des_finances_140</t>
  </si>
  <si>
    <t>copie_de_la_note_de_synthese_exp_2</t>
  </si>
  <si>
    <t>enquete_du_journal_le_vif_projet_35</t>
  </si>
  <si>
    <t>assemblees_citoyennes_region_bxl_2</t>
  </si>
  <si>
    <t>enquete_vifsoir_transparence_des_11</t>
  </si>
  <si>
    <t>demande_au_nom_de_la_liberte_dac_7</t>
  </si>
  <si>
    <t>copie_de_la_note_de_synthese_exp_6</t>
  </si>
  <si>
    <t>analyse_comparative_des_finances_148</t>
  </si>
  <si>
    <t>projets_de_deliberation_des_poin_41</t>
  </si>
  <si>
    <t>enquete_du_vif_et_du_soir_projet_20</t>
  </si>
  <si>
    <t>analyse_comparative_des_finances_109</t>
  </si>
  <si>
    <t>analyse_comparative_des_finances_147</t>
  </si>
  <si>
    <t>analyse_comparative_des_finances_150</t>
  </si>
  <si>
    <t>analyse_comparative_des_finances_129</t>
  </si>
  <si>
    <t>decisions_et_registres_sur_les_d_115</t>
  </si>
  <si>
    <t>analyse_comparative_des_finances_130</t>
  </si>
  <si>
    <t>analyse_comparative_des_finances_131</t>
  </si>
  <si>
    <t>analyse_comparative_des_finances_134</t>
  </si>
  <si>
    <t>analyse_comparative_des_finances_135</t>
  </si>
  <si>
    <t>enquete_du_vif_et_du_soir_projet_25</t>
  </si>
  <si>
    <t>reparation_luminaires_encastres</t>
  </si>
  <si>
    <t>enquete_du_journal_le_vif_projet_39</t>
  </si>
  <si>
    <t>enquete_vifsoir_transparence_des_13</t>
  </si>
  <si>
    <t>analyse_comparative_des_finances_155</t>
  </si>
  <si>
    <t>analyse_comparative_des_finances_136</t>
  </si>
  <si>
    <t>analyse_comparative_des_finances_152</t>
  </si>
  <si>
    <t>fresque_george_floyd_laeken_depo</t>
  </si>
  <si>
    <t>enquete_du_vif_et_du_soir_projet_24</t>
  </si>
  <si>
    <t>analyse_comparative_des_finances_153</t>
  </si>
  <si>
    <t>decisions_et_registres_sur_les_d_116</t>
  </si>
  <si>
    <t>decisions_et_registres_sur_les_d_117</t>
  </si>
  <si>
    <t>analyse_comparative_des_finances_141</t>
  </si>
  <si>
    <t>analyse_comparative_des_finances_154</t>
  </si>
  <si>
    <t>prendre_des_mesures_pour_elimine</t>
  </si>
  <si>
    <t>analyse_comparative_des_finances_144</t>
  </si>
  <si>
    <t>analyse_comparative_des_finances_146</t>
  </si>
  <si>
    <t>analyse_comparative_des_finances_156</t>
  </si>
  <si>
    <t>analyse_comparative_des_finances_157</t>
  </si>
  <si>
    <t>enquete_vifsoir_transparence_des_16</t>
  </si>
  <si>
    <t>analyse_comparative_des_finances_149</t>
  </si>
  <si>
    <t>batiment_rue_de_ligne_ancien_dex</t>
  </si>
  <si>
    <t>demande_au_nom_de_la_liberte_dac_8</t>
  </si>
  <si>
    <t>decisions_et_registres_sur_les_d_119</t>
  </si>
  <si>
    <t>enquete_vifsoir_transparence_des_24</t>
  </si>
  <si>
    <t>test</t>
  </si>
  <si>
    <t>analyse_comparative_des_finances_151</t>
  </si>
  <si>
    <t>projets_de_deliberation_des_poin_45</t>
  </si>
  <si>
    <t>analyse_comparative_des_finances_132</t>
  </si>
  <si>
    <t>analyse_comparative_des_finances_173</t>
  </si>
  <si>
    <t>analyse_comparative_des_finances_159</t>
  </si>
  <si>
    <t>analyse_comparative_des_finances_161</t>
  </si>
  <si>
    <t>rapports_du_comite_technique_du</t>
  </si>
  <si>
    <t>analyse_comparative_des_finances_160</t>
  </si>
  <si>
    <t>enquete_du_vif_et_du_soir_projet_26</t>
  </si>
  <si>
    <t>notes_explicatives_du_conseil_co</t>
  </si>
  <si>
    <t>analyse_comparative_des_finances_162</t>
  </si>
  <si>
    <t>decisions_et_registres_sur_les_d_123</t>
  </si>
  <si>
    <t>comptes_de_fabrique_deglise</t>
  </si>
  <si>
    <t>enquete_du_soir_et_du_vif_projet_18</t>
  </si>
  <si>
    <t>analyse_comparative_des_finances_164</t>
  </si>
  <si>
    <t>decisions_et_registres_sur_les_d_127</t>
  </si>
  <si>
    <t>enquete_vifsoir_transparence_des_25</t>
  </si>
  <si>
    <t>analyse_comparative_des_finances_170</t>
  </si>
  <si>
    <t>analyse_comparative_des_finances_175</t>
  </si>
  <si>
    <t>notes_explicatives_des_conseils_3</t>
  </si>
  <si>
    <t>analyse_comparative_des_finances_176</t>
  </si>
  <si>
    <t>analyse_comparative_des_finances_171</t>
  </si>
  <si>
    <t>analyse_comparative_des_finances_168</t>
  </si>
  <si>
    <t>analyse_comparative_des_finances_182</t>
  </si>
  <si>
    <t>analyse_comparative_des_finances_181</t>
  </si>
  <si>
    <t>analyse_comparative_des_finances_178</t>
  </si>
  <si>
    <t>analyse_comparative_des_finances_184</t>
  </si>
  <si>
    <t>demande_au_nom_de_la_liberte_dac_9</t>
  </si>
  <si>
    <t>enquete_vifsoir_transparence_des_28</t>
  </si>
  <si>
    <t>decisions_et_registres_sur_les_d_129</t>
  </si>
  <si>
    <t>analyse_comparative_des_finances_185</t>
  </si>
  <si>
    <t>decisions_et_registres_sur_les_d_131</t>
  </si>
  <si>
    <t>analyse_comparative_des_finances_186</t>
  </si>
  <si>
    <t>analyse_comparative_des_finances_255</t>
  </si>
  <si>
    <t>analyse_comparative_des_finances_187</t>
  </si>
  <si>
    <t>analyse_comparative_des_finances_188</t>
  </si>
  <si>
    <t>analyse_comparative_des_finances_257</t>
  </si>
  <si>
    <t>decisions_et_registres_sur_les_d_132</t>
  </si>
  <si>
    <t>dossier_de_tir_liegeois_2011</t>
  </si>
  <si>
    <t>enquete_vifsoir_transparence_des_30</t>
  </si>
  <si>
    <t>enquete_du_vif_et_du_soir_projet_29</t>
  </si>
  <si>
    <t>demande_au_nom_de_la_liberte_dac_10</t>
  </si>
  <si>
    <t>projets_de_deliberation_des_poin_43</t>
  </si>
  <si>
    <t>enquete_du_vif_et_du_soir_projet_4</t>
  </si>
  <si>
    <t>analyse_comparative_des_finances_268</t>
  </si>
  <si>
    <t>analyse_comparative_des_finances_273</t>
  </si>
  <si>
    <t>analyse_comparative_des_finances_265</t>
  </si>
  <si>
    <t>enquete_du_journal_lesoir_projet_22</t>
  </si>
  <si>
    <t>enquete_vifsoir_transparence_des_31</t>
  </si>
  <si>
    <t>analyse_comparative_des_finances_192</t>
  </si>
  <si>
    <t>analyse_comparative_des_finances_194</t>
  </si>
  <si>
    <t>analyse_comparative_des_finances_196</t>
  </si>
  <si>
    <t>decisions_et_registres_sur_les_d_133</t>
  </si>
  <si>
    <t>analyse_comparative_des_finances_271</t>
  </si>
  <si>
    <t>analyse_comparative_des_finances_258</t>
  </si>
  <si>
    <t>une_question_sur_lassurance_auto</t>
  </si>
  <si>
    <t>enquete_du_vif_et_du_soir_projet_6</t>
  </si>
  <si>
    <t>analyse_comparative_des_finances_281</t>
  </si>
  <si>
    <t>concerne_enquete_vifsoir_transpa_6</t>
  </si>
  <si>
    <t>demande_au_nom_de_la_liberte_dac_14</t>
  </si>
  <si>
    <t>concerne_enquete_vifsoir_transpa_23</t>
  </si>
  <si>
    <t>enquete_du_soir_et_du_vif_projet_2</t>
  </si>
  <si>
    <t>enquete_du_vif_et_du_soir_projet_31</t>
  </si>
  <si>
    <t>analyse_comparative_des_finances_285</t>
  </si>
  <si>
    <t>centre_scolaire_eddy_merckx_conf</t>
  </si>
  <si>
    <t>decisions_et_registres_sur_les_d_135</t>
  </si>
  <si>
    <t>analyse_comparative_des_finances_201</t>
  </si>
  <si>
    <t>analyse_comparative_des_finances_274</t>
  </si>
  <si>
    <t>analyse_comparative_des_finances_200</t>
  </si>
  <si>
    <t>analyse_comparative_des_finances_202</t>
  </si>
  <si>
    <t>obtention_dune_copie_de_delibera</t>
  </si>
  <si>
    <t>projets_de_deliberation_des_poin_46</t>
  </si>
  <si>
    <t>periode_exacte_du_mandat_de_mada</t>
  </si>
  <si>
    <t>enquete_du_soir_et_du_vif_projet_3</t>
  </si>
  <si>
    <t>concerne_enquete_vifsoir_transpa_38</t>
  </si>
  <si>
    <t>concerne_enquete_vifsoir_transpa_45</t>
  </si>
  <si>
    <t>decisions_et_registres_sur_les_d_137</t>
  </si>
  <si>
    <t>enquete_du_journal_lesoir_projet_26</t>
  </si>
  <si>
    <t>ordre_du_jour_des_conseils_commu_2</t>
  </si>
  <si>
    <t>decisions_et_registres_sur_les_d_173</t>
  </si>
  <si>
    <t>demande_de_transmission_des_echa</t>
  </si>
  <si>
    <t>analyse_comparative_des_finances_203</t>
  </si>
  <si>
    <t>enquete_du_vif_et_du_soir_projet_33</t>
  </si>
  <si>
    <t>enquete_du_soir_et_du_vif_projet_5</t>
  </si>
  <si>
    <t>enquete_du_soir_et_du_vif_projet_7</t>
  </si>
  <si>
    <t>analyse_comparative_des_finances_204</t>
  </si>
  <si>
    <t>demande_de_documents_sur_le_trai_15</t>
  </si>
  <si>
    <t>concerne_enquete_vifsoir_transpa_54</t>
  </si>
  <si>
    <t>analyse_comparative_des_finances_205</t>
  </si>
  <si>
    <t>question_de_comprehension_de_la</t>
  </si>
  <si>
    <t>decisions_et_registres_sur_les_d_175</t>
  </si>
  <si>
    <t>documents_preparatoires_du_proch_5</t>
  </si>
  <si>
    <t>non_reponse_a_notre_courrier_du_2</t>
  </si>
  <si>
    <t>analyse_comparative_des_finances_206</t>
  </si>
  <si>
    <t>analyse_comparative_des_finances_207</t>
  </si>
  <si>
    <t>analyse_comparative_des_finances_208</t>
  </si>
  <si>
    <t>enquete_du_soir_et_du_vif_projet_8</t>
  </si>
  <si>
    <t>enquete_du_soir_et_du_vif_projet_10</t>
  </si>
  <si>
    <t>enquete_du_vif_et_du_soir_projet_35</t>
  </si>
  <si>
    <t>proces_conseil_communal_joel_bea</t>
  </si>
  <si>
    <t>documents_preparatoires_du_proch_6</t>
  </si>
  <si>
    <t>enquete_du_soir_et_du_vif_projet_11</t>
  </si>
  <si>
    <t>documents_preparatoires_du_proch_8</t>
  </si>
  <si>
    <t>analyse_comparative_des_finances_211</t>
  </si>
  <si>
    <t>etudes_techniques_beliris_contra</t>
  </si>
  <si>
    <t>decisions_et_registres_sur_les_d_178</t>
  </si>
  <si>
    <t>decisions_et_registres_sur_les_d_195</t>
  </si>
  <si>
    <t>analyse_comparative_des_finances_209</t>
  </si>
  <si>
    <t>analyse_comparative_des_finances_210</t>
  </si>
  <si>
    <t>enquete_du_soir_et_du_vif_projet_13</t>
  </si>
  <si>
    <t>enquete_vifsoir_transparence_des_17</t>
  </si>
  <si>
    <t>enquete_du_vif_et_du_soir_projet_36</t>
  </si>
  <si>
    <t>documents_preparatoires_du_proch_9</t>
  </si>
  <si>
    <t>decisions_et_registres_sur_les_d_199</t>
  </si>
  <si>
    <t>enquete_du_soir_et_du_vif_projet_15</t>
  </si>
  <si>
    <t>documents_preparatoires_du_proch_11</t>
  </si>
  <si>
    <t>analyse_comparative_des_finances_214</t>
  </si>
  <si>
    <t>analyse_comparative_des_finances_215</t>
  </si>
  <si>
    <t>analyse_comparative_des_finances_217</t>
  </si>
  <si>
    <t>analyse_comparative_des_finances_213</t>
  </si>
  <si>
    <t>decisions_et_registres_sur_les_d_200</t>
  </si>
  <si>
    <t>analyse_comparative_des_finances_219</t>
  </si>
  <si>
    <t>analyse_comparative_des_finances_222</t>
  </si>
  <si>
    <t>demande_dinformations_dans_cat_i</t>
  </si>
  <si>
    <t>documents_preparatoires_du_proch_12</t>
  </si>
  <si>
    <t>enquete_vifsoir_transparence_des_51</t>
  </si>
  <si>
    <t>analyse_comparative_des_finances_223</t>
  </si>
  <si>
    <t>decisions_et_registres_sur_les_d_203</t>
  </si>
  <si>
    <t>analyse_comparative_des_finances_220</t>
  </si>
  <si>
    <t>enquete_du_vif_et_du_soir_projet_38</t>
  </si>
  <si>
    <t>documents_preparatoires_du_proch_13</t>
  </si>
  <si>
    <t>analyse_comparative_des_finances_225</t>
  </si>
  <si>
    <t>decisions_et_registres_sur_les_d_206</t>
  </si>
  <si>
    <t>analyse_comparative_des_finances_226</t>
  </si>
  <si>
    <t>le_nombre_total_des_arrestations_2</t>
  </si>
  <si>
    <t>analyse_comparative_des_finances_228</t>
  </si>
  <si>
    <t>analyse_comparative_des_finances_229</t>
  </si>
  <si>
    <t>analyse_comparative_des_finances_224</t>
  </si>
  <si>
    <t>decisions_et_registres_sur_les_d_207</t>
  </si>
  <si>
    <t>decisions_et_registres_sur_les_d_209</t>
  </si>
  <si>
    <t>documents_preparatoires_du_proch_14</t>
  </si>
  <si>
    <t>projets_de_deliberation_des_poin_80</t>
  </si>
  <si>
    <t>decisions_et_registres_sur_les_d_22</t>
  </si>
  <si>
    <t>analyse_comparative_des_finances_234</t>
  </si>
  <si>
    <t>decisions_et_registres_sur_les_d_60</t>
  </si>
  <si>
    <t>analyse_comparative_des_finances_232</t>
  </si>
  <si>
    <t>le_nombre_total_des_arrestations_3</t>
  </si>
  <si>
    <t>decisions_et_registres_sur_les_d_211</t>
  </si>
  <si>
    <t>decisions_et_registres_sur_les_d_19</t>
  </si>
  <si>
    <t>decisions_et_registres_sur_les_d_64</t>
  </si>
  <si>
    <t>decisions_et_registres_sur_les_d_65</t>
  </si>
  <si>
    <t>analyse_comparative_des_finances_230</t>
  </si>
  <si>
    <t>documents_preparatoires_du_proch_15</t>
  </si>
  <si>
    <t>notes_explicatives_projets_de_de_5</t>
  </si>
  <si>
    <t>enquete_du_vif_et_du_soir_projet_40</t>
  </si>
  <si>
    <t>analyse_comparative_des_finances_239</t>
  </si>
  <si>
    <t>analyse_comparative_des_finances_235</t>
  </si>
  <si>
    <t>decisions_et_registres_sur_les_d_217</t>
  </si>
  <si>
    <t>projets_de_deliberation_des_poin_47</t>
  </si>
  <si>
    <t>documents_preparatoires_du_proch_16</t>
  </si>
  <si>
    <t>avant_projet_de_decret_modifiant</t>
  </si>
  <si>
    <t>analyse_comparative_des_finances_236</t>
  </si>
  <si>
    <t>demande_dacces_a_la_liste_des_de</t>
  </si>
  <si>
    <t>subvention_de_4_millions_de_la_r</t>
  </si>
  <si>
    <t>analyse_comparative_des_finances_238</t>
  </si>
  <si>
    <t>projet_immobilier_immeuble_floyd</t>
  </si>
  <si>
    <t>projets_de_deliberation_des_poin_90</t>
  </si>
  <si>
    <t>analyse_comparative_des_finances_241</t>
  </si>
  <si>
    <t>analyse_comparative_des_finances_240</t>
  </si>
  <si>
    <t>projets_de_deliberation_des_poin_94</t>
  </si>
  <si>
    <t>decisions_et_registres_sur_les_d_218</t>
  </si>
  <si>
    <t>documents_preparatoires_du_proch_18</t>
  </si>
  <si>
    <t>projets_de_deliberation_des_poin_10</t>
  </si>
  <si>
    <t>documents_preparatoires_du_proch_17</t>
  </si>
  <si>
    <t>parking_parvis_notre_dame_de_lae</t>
  </si>
  <si>
    <t>rapport_de_linspection_des_finan</t>
  </si>
  <si>
    <t>enquete_administrative_publicite</t>
  </si>
  <si>
    <t>publications_des_prochains_conse_7</t>
  </si>
  <si>
    <t>documents_preparatoires_du_proch_19</t>
  </si>
  <si>
    <t>analyse_comparative_des_finances_245</t>
  </si>
  <si>
    <t>decisions_et_registres_sur_les_d_221</t>
  </si>
  <si>
    <t>analyse_comparative_des_finances_246</t>
  </si>
  <si>
    <t>decisions_et_registres_sur_les_d_222</t>
  </si>
  <si>
    <t>analyse_comparative_des_finances_247</t>
  </si>
  <si>
    <t>enquete_du_journal_lesoir_projet_28</t>
  </si>
  <si>
    <t>demande_dinformation_licenciemen</t>
  </si>
  <si>
    <t>notes_explicatives_de_synthese_d_5</t>
  </si>
  <si>
    <t>projets_de_deliberation_des_poin_53</t>
  </si>
  <si>
    <t>analyse_comparative_des_finances_250</t>
  </si>
  <si>
    <t>publications_des_prochains_conse_8</t>
  </si>
  <si>
    <t>projets_de_deliberation_des_poin_32</t>
  </si>
  <si>
    <t>analyse_comparative_des_finances_254</t>
  </si>
  <si>
    <t>documents_preparatoires_du_proch_22</t>
  </si>
  <si>
    <t>analyse_comparative_des_finances_251</t>
  </si>
  <si>
    <t>decisions_et_registres_sur_les_d_224</t>
  </si>
  <si>
    <t>analyse_comparative_des_finances_252</t>
  </si>
  <si>
    <t>documents_preparatoires_du_proch_21</t>
  </si>
  <si>
    <t>demande_de_donnees_concernant_le</t>
  </si>
  <si>
    <t>documents_preparatoires_du_proch_23</t>
  </si>
  <si>
    <t>analyse_comparative_des_finances_248</t>
  </si>
  <si>
    <t>analyse_comparative_des_finances_260</t>
  </si>
  <si>
    <t>projets_de_deliberation_des_poin_62</t>
  </si>
  <si>
    <t>analyse_comparative_des_finances_261</t>
  </si>
  <si>
    <t>decisions_et_registres_sur_les_d_226</t>
  </si>
  <si>
    <t>analyse_comparative_des_finances_264</t>
  </si>
  <si>
    <t>analyse_comparative_des_finances_263</t>
  </si>
  <si>
    <t>decisions_et_registres_sur_les_d_237</t>
  </si>
  <si>
    <t>documents_preparatoires_du_proch_24</t>
  </si>
  <si>
    <t>analyse_comparative_des_finances_269</t>
  </si>
  <si>
    <t>analyse_comparative_des_finances_267</t>
  </si>
  <si>
    <t>analyse_comparative_des_finances_266</t>
  </si>
  <si>
    <t>analyse_comparative_des_finances_270</t>
  </si>
  <si>
    <t>analyse_comparative_des_finances_284</t>
  </si>
  <si>
    <t>conseil_communal_seance_publique</t>
  </si>
  <si>
    <t>projets_de_deliberation_des_poin_93</t>
  </si>
  <si>
    <t>decisions_et_registres_sur_les_d_243</t>
  </si>
  <si>
    <t>enquete_du_soir_et_du_vif_projet_19</t>
  </si>
  <si>
    <t>analyse_comparative_des_finances_277</t>
  </si>
  <si>
    <t>analyse_comparative_des_finances_278</t>
  </si>
  <si>
    <t>documents_preparatoires_du_proch_26</t>
  </si>
  <si>
    <t>notes_explicatives_projets_de_de_8</t>
  </si>
  <si>
    <t>documents_preparatoires_du_proch_25</t>
  </si>
  <si>
    <t>analyse_comparative_des_finances_276</t>
  </si>
  <si>
    <t>analyse_comparative_des_finances_279</t>
  </si>
  <si>
    <t>analyse_comparative_des_finances_280</t>
  </si>
  <si>
    <t>budget_chauffage_petrole_annee_2</t>
  </si>
  <si>
    <t>projets_de_deliberation_des_poin</t>
  </si>
  <si>
    <t>decisions_et_registres_sur_les_d_245</t>
  </si>
  <si>
    <t>analyse_comparative_des_finances_262</t>
  </si>
  <si>
    <t>publications_des_prochains_conse_9</t>
  </si>
  <si>
    <t>liste_des_membres_repris_dans_la_4</t>
  </si>
  <si>
    <t>derniers_budgets_et_comptes_disp</t>
  </si>
  <si>
    <t>projets_de_deliberations_7</t>
  </si>
  <si>
    <t>analyse_comparative_des_finances_275</t>
  </si>
  <si>
    <t>documents_preparatoires_du_proch_28</t>
  </si>
  <si>
    <t>analyse_comparative_des_finances_253</t>
  </si>
  <si>
    <t>documents_preparatoires_du_proch_27</t>
  </si>
  <si>
    <t>decisions_et_registres_sur_les_d_248</t>
  </si>
  <si>
    <t>analyse_comparative_des_finances_138</t>
  </si>
  <si>
    <t>liste_des_membres_repris_dans_la_5</t>
  </si>
  <si>
    <t>annexes_du_point_107_sites_des_c</t>
  </si>
  <si>
    <t>documents_preparatoires_du_proch_29</t>
  </si>
  <si>
    <t>recherche_des_travaux_preparatoi</t>
  </si>
  <si>
    <t>liste_des_membres_repris_dans_la_3</t>
  </si>
  <si>
    <t>documents_sur_tracabiliteventes_5</t>
  </si>
  <si>
    <t>decisions_et_registres_sur_les_d_251</t>
  </si>
  <si>
    <t>decisions_et_registres_sur_les_d_20</t>
  </si>
  <si>
    <t>cabinets_des_bourgmestres_et_ech_10</t>
  </si>
  <si>
    <t>decisions_et_registres_sur_les_d_252</t>
  </si>
  <si>
    <t>documents_sur_provenancetracabil</t>
  </si>
  <si>
    <t>liste_des_membres_repris_dans_la_6</t>
  </si>
  <si>
    <t>documents_preparatoires_du_proch_30</t>
  </si>
  <si>
    <t>documents_preparatoires_du_proch_31</t>
  </si>
  <si>
    <t>decisions_et_registres_sur_les_d_253</t>
  </si>
  <si>
    <t>documents_preparatoires_du_proch_34</t>
  </si>
  <si>
    <t>documents_preparatoires_du_proch_33</t>
  </si>
  <si>
    <t>demande_de_la_copie_de_lautorisa</t>
  </si>
  <si>
    <t>liste_des_membres_repris_dans_la</t>
  </si>
  <si>
    <t>decisions_et_registres_sur_les_d_260</t>
  </si>
  <si>
    <t>informations_sur_les_dispositifs_25</t>
  </si>
  <si>
    <t>informations_sur_les_dispositifs_27</t>
  </si>
  <si>
    <t>informations_sur_les_dispositifs_34</t>
  </si>
  <si>
    <t>informations_sur_les_dispositifs_43</t>
  </si>
  <si>
    <t>projets_de_deliberation_des_poin_13</t>
  </si>
  <si>
    <t>provenance_du_bois_et_toutes_aid</t>
  </si>
  <si>
    <t>documents_preparatoires_du_proch_37</t>
  </si>
  <si>
    <t>documents_preparatoires_du_proch_35</t>
  </si>
  <si>
    <t>informations_sur_les_dispositifs_35</t>
  </si>
  <si>
    <t>decisions_et_registres_sur_les_d_264</t>
  </si>
  <si>
    <t>ancienne_poste_de_courcelles_tri</t>
  </si>
  <si>
    <t>informations_sur_les_dispositifs_38</t>
  </si>
  <si>
    <t>informations_sur_les_dispositifs_41</t>
  </si>
  <si>
    <t>informations_sur_les_dispositifs_45</t>
  </si>
  <si>
    <t>demande_dinformation_sur_les_sys_2</t>
  </si>
  <si>
    <t>enquete_du_journal_lesoir_projet_11</t>
  </si>
  <si>
    <t>documents_preparatoires_du_proch_38</t>
  </si>
  <si>
    <t>echevins_sans_adresse_de_courrie</t>
  </si>
  <si>
    <t>informations_sur_les_dispositifs_52</t>
  </si>
  <si>
    <t>decisions_et_registres_sur_les_d_265</t>
  </si>
  <si>
    <t>publications_des_prochains_conse</t>
  </si>
  <si>
    <t>informations_sur_les_dispositifs_46</t>
  </si>
  <si>
    <t>informations_sur_les_dispositifs_51</t>
  </si>
  <si>
    <t>informations_sur_les_dispositifs_53</t>
  </si>
  <si>
    <t>notes_explicatives_de_synthese_d_16</t>
  </si>
  <si>
    <t>marche_public_ancienne_gare_de_l</t>
  </si>
  <si>
    <t>informations_sur_les_dispositifs_55</t>
  </si>
  <si>
    <t>quel_est_le_rapport_de_gestion_p</t>
  </si>
  <si>
    <t>documents_preparatoires_du_proch_39</t>
  </si>
  <si>
    <t>decisions_et_registres_sur_les_d_268</t>
  </si>
  <si>
    <t>informations_sur_les_dispositifs_56</t>
  </si>
  <si>
    <t>projets_de_deliberation_des_poin_69</t>
  </si>
  <si>
    <t>informations_sur_les_dispositifs_58</t>
  </si>
  <si>
    <t>informations_sur_les_dispositifs_64</t>
  </si>
  <si>
    <t>informations_sur_les_dispositifs_66</t>
  </si>
  <si>
    <t>informations_sur_les_dispositifs_91</t>
  </si>
  <si>
    <t>decisions_et_registres_sur_les_d_271</t>
  </si>
  <si>
    <t>informations_sur_les_dispositifs_73</t>
  </si>
  <si>
    <t>le_nombre_total_des_arrestations</t>
  </si>
  <si>
    <t>documents_preparatoires_du_proch_41</t>
  </si>
  <si>
    <t>projets_de_deliberation_des_poin_19</t>
  </si>
  <si>
    <t>decisions_et_registres_sur_les_d_275</t>
  </si>
  <si>
    <t>informations_sur_les_dispositifs_74</t>
  </si>
  <si>
    <t>informations_sur_les_dispositifs_76</t>
  </si>
  <si>
    <t>informations_sur_les_dispositifs_88</t>
  </si>
  <si>
    <t>informations_sur_les_dispositifs_92</t>
  </si>
  <si>
    <t>documents_preparatoires_du_proch_43</t>
  </si>
  <si>
    <t>enquete_du_journal_le_vif_projet_25</t>
  </si>
  <si>
    <t>documents_preparatoires_du_proch_42</t>
  </si>
  <si>
    <t>informations_sur_les_dispositifs_98</t>
  </si>
  <si>
    <t>projets_de_deliberation_des_poin_63</t>
  </si>
  <si>
    <t>demande_de_lidentite_des_membres</t>
  </si>
  <si>
    <t>decisions_et_registres_sur_les_d_276</t>
  </si>
  <si>
    <t>informations_sur_les_dispositifs_99</t>
  </si>
  <si>
    <t>decisions_et_registres_sur_les_d_279</t>
  </si>
  <si>
    <t>informations_sur_les_dispositifs_100</t>
  </si>
  <si>
    <t>informations_sur_les_dispositifs_101</t>
  </si>
  <si>
    <t>informations_sur_les_dispositifs_102</t>
  </si>
  <si>
    <t>informations_sur_les_dispositifs_104</t>
  </si>
  <si>
    <t>notes_explicatives_projets_de_de_33</t>
  </si>
  <si>
    <t>notes_explicatives_projets_de_de_21</t>
  </si>
  <si>
    <t>informations_sur_les_dispositifs_110</t>
  </si>
  <si>
    <t>documents_preparatoires_du_proch_45</t>
  </si>
  <si>
    <t>demande_de_lidentite_des_membres_3</t>
  </si>
  <si>
    <t>decisions_et_registres_sur_les_d_283</t>
  </si>
  <si>
    <t>projets_de_deliberation_des_poin_73</t>
  </si>
  <si>
    <t>documents_preparatoires_du_proch_46</t>
  </si>
  <si>
    <t>informations_sur_les_dispositifs_112</t>
  </si>
  <si>
    <t>informations_sur_les_dispositifs_105</t>
  </si>
  <si>
    <t>informations_sur_les_dispositifs_106</t>
  </si>
  <si>
    <t>informations_sur_les_dispositifs_109</t>
  </si>
  <si>
    <t>informations_sur_les_dispositifs_113</t>
  </si>
  <si>
    <t>demande_du_rapport_de_laction_so</t>
  </si>
  <si>
    <t>notes_explicatives_projets_de_de_35</t>
  </si>
  <si>
    <t>informations_sur_les_dispositifs_114</t>
  </si>
  <si>
    <t>decisions_et_registres_sur_les_d_290</t>
  </si>
  <si>
    <t>documents_preparatoires_du_proch_47</t>
  </si>
  <si>
    <t>informations_sur_les_dispositifs_117</t>
  </si>
  <si>
    <t>enquete_du_journal_le_vif_projet_26</t>
  </si>
  <si>
    <t>informations_sur_les_dispositifs_118</t>
  </si>
  <si>
    <t>decisions_et_registres_sur_les_d_291</t>
  </si>
  <si>
    <t>informations_sur_les_dispositifs_120</t>
  </si>
  <si>
    <t>informations_sur_les_dispositifs_121</t>
  </si>
  <si>
    <t>informations_sur_les_dispositifs_123</t>
  </si>
  <si>
    <t>documents_preparatoires_du_proch_48</t>
  </si>
  <si>
    <t>la_liste_de_toutes_les_personnal</t>
  </si>
  <si>
    <t>informations_sur_les_dispositifs_132</t>
  </si>
  <si>
    <t>probleme_avec_le_moteur_de_reche</t>
  </si>
  <si>
    <t>documents_preparatoires_du_proch_49</t>
  </si>
  <si>
    <t>demande_de_documents_sur_le_trai_3</t>
  </si>
  <si>
    <t>decisions_et_registres_sur_les_d_292</t>
  </si>
  <si>
    <t>informations_sur_les_dispositifs_124</t>
  </si>
  <si>
    <t>informations_sur_les_dispositifs_127</t>
  </si>
  <si>
    <t>informations_sur_les_dispositifs_129</t>
  </si>
  <si>
    <t>informations_sur_les_dispositifs_131</t>
  </si>
  <si>
    <t>informations_sur_les_dispositifs_133</t>
  </si>
  <si>
    <t>la_liste_nominative_reprenant_to</t>
  </si>
  <si>
    <t>mise_a_disposition_du_pgui_et_de</t>
  </si>
  <si>
    <t>documents_preparatoires_du_proch_51</t>
  </si>
  <si>
    <t>informations_sur_les_dispositifs_143</t>
  </si>
  <si>
    <t>concerne_enquete_vifsoir_transpa_47</t>
  </si>
  <si>
    <t>mobiteam_a_lecole_questions_pour</t>
  </si>
  <si>
    <t>documents_preparatoires_du_proch_50</t>
  </si>
  <si>
    <t>decisions_et_registres_sur_les_d_293</t>
  </si>
  <si>
    <t>informations_sur_les_dispositifs_150</t>
  </si>
  <si>
    <t>projets_de_deliberation_des_poin_84</t>
  </si>
  <si>
    <t>informations_sur_les_dispositifs_135</t>
  </si>
  <si>
    <t>informations_sur_les_dispositifs_151</t>
  </si>
  <si>
    <t>informations_sur_les_dispositifs_152</t>
  </si>
  <si>
    <t>informations_sur_les_dispositifs_164</t>
  </si>
  <si>
    <t>sportissimo</t>
  </si>
  <si>
    <t>correspondances_commune_de_fores_2</t>
  </si>
  <si>
    <t>projets_de_deliberation_des_poin_30</t>
  </si>
  <si>
    <t>informations_sur_les_dispositifs_157</t>
  </si>
  <si>
    <t>enquete_du_journal_le_vif_projet_63</t>
  </si>
  <si>
    <t>decisions_et_registres_sur_les_d_295</t>
  </si>
  <si>
    <t>informations_sur_les_dispositifs_158</t>
  </si>
  <si>
    <t>informations_sur_les_dispositifs_159</t>
  </si>
  <si>
    <t>informations_sur_les_dispositifs_163</t>
  </si>
  <si>
    <t>place_de_brouckere_projet_brouck</t>
  </si>
  <si>
    <t>demande_de_documents_sur_le_trai_9</t>
  </si>
  <si>
    <t>informations_sur_les_dispositifs_168</t>
  </si>
  <si>
    <t>documents_preparatoires_du_proch_52</t>
  </si>
  <si>
    <t>concours_facades_fleuries</t>
  </si>
  <si>
    <t>documents_preparatoires_du_proch_53</t>
  </si>
  <si>
    <t>projets_de_deliberation_des_poin_97</t>
  </si>
  <si>
    <t>demande_de_documents_sur_le_trai_16</t>
  </si>
  <si>
    <t>informations_sur_les_dispositifs_175</t>
  </si>
  <si>
    <t>informations_sur_les_dispositifs_180</t>
  </si>
  <si>
    <t>arretes_de_police_en_lien_avec_l</t>
  </si>
  <si>
    <t>decisions_et_registres_sur_les_d_299</t>
  </si>
  <si>
    <t>informations_sur_les_dispositifs_185</t>
  </si>
  <si>
    <t>informations_sur_les_dispositifs_191</t>
  </si>
  <si>
    <t>informations_sur_les_dispositifs_194</t>
  </si>
  <si>
    <t>informations_sur_les_dispositifs_207</t>
  </si>
  <si>
    <t>contrat_de_renovation_urbaine_8</t>
  </si>
  <si>
    <t>organigramme_3</t>
  </si>
  <si>
    <t>documents_preparatoires_du_proch_54</t>
  </si>
  <si>
    <t>notes_explicatives_projets_de_de_22</t>
  </si>
  <si>
    <t>decisions_et_registres_sur_les_d_300</t>
  </si>
  <si>
    <t>retablissement_de_la_confiance_d</t>
  </si>
  <si>
    <t>enquete_du_journal_lesoir_projet_3</t>
  </si>
  <si>
    <t>enquete_du_journal_lesoir_projet_6</t>
  </si>
  <si>
    <t>decisions_et_registres_sur_les_d_301</t>
  </si>
  <si>
    <t>documents_preparatoires_du_proch_55</t>
  </si>
  <si>
    <t>demande_de_documents_sur_le_trai_17</t>
  </si>
  <si>
    <t>projets_de_deliberation_des_poin_68</t>
  </si>
  <si>
    <t>enquete_du_journal_lesoir_projet_14</t>
  </si>
  <si>
    <t>decisions_et_registres_sur_les_d_303</t>
  </si>
  <si>
    <t>test_relance_automatique_nouveau</t>
  </si>
  <si>
    <t>enquete_du_journal_lesoir_projet_31</t>
  </si>
  <si>
    <t>documents_preparatoires_du_proch_56</t>
  </si>
  <si>
    <t>documents_preparatoires_du_proch_58</t>
  </si>
  <si>
    <t>demande_de_document_sur_le_march</t>
  </si>
  <si>
    <t>decisions_et_registres_sur_les_d_305</t>
  </si>
  <si>
    <t>enquete_du_journal_lesoir_projet_34</t>
  </si>
  <si>
    <t>documents_preparatoires_du_proch_59</t>
  </si>
  <si>
    <t>documents_preparatoires_du_proch_61</t>
  </si>
  <si>
    <t>decisions_et_registres_sur_les_d_306</t>
  </si>
  <si>
    <t>demande_dacces_a_des_documents_c_2</t>
  </si>
  <si>
    <t>notes_explicatives_projets_de_de_32</t>
  </si>
  <si>
    <t>lien_entre_les_salaires_et_laide</t>
  </si>
  <si>
    <t>enquete_du_vif_et_du_soir_projet_3</t>
  </si>
  <si>
    <t>travaux_maison_communale</t>
  </si>
  <si>
    <t>documents_preparatoires_du_proch_62</t>
  </si>
  <si>
    <t>mission_devaluation_du_systeme_d_2</t>
  </si>
  <si>
    <t>demande_dinformations_concernant</t>
  </si>
  <si>
    <t>bleus_sur_jaune_oeuvre_dart_dani</t>
  </si>
  <si>
    <t>appel_d_offre</t>
  </si>
  <si>
    <t>decisions_et_registres_sur_les_d_307</t>
  </si>
  <si>
    <t>fixmystreet_donnees_statistiques</t>
  </si>
  <si>
    <t>passage_chambon_mur_protect_rapp</t>
  </si>
  <si>
    <t>association_parc_naturel_des_sou</t>
  </si>
  <si>
    <t>permis_durbanisme_parking_pour_l</t>
  </si>
  <si>
    <t>enquete_du_vif_et_du_soir_projet_5</t>
  </si>
  <si>
    <t>documents_preparatoires_du_proch_63</t>
  </si>
  <si>
    <t>decisions_et_registres_sur_les_d_309</t>
  </si>
  <si>
    <t>documents_preparatoires_du_proch_64</t>
  </si>
  <si>
    <t>decisions_et_registres_sur_les_d_310</t>
  </si>
  <si>
    <t>documents_preparatoires_du_proch_65</t>
  </si>
  <si>
    <t>decisions_et_registres_sur_les_d_29</t>
  </si>
  <si>
    <t>tableau_des_incoherences_et_defa</t>
  </si>
  <si>
    <t>enquete_du_vif_et_du_soir_projet_13</t>
  </si>
  <si>
    <t>achat_de_vaccins_anti_covid_memb</t>
  </si>
  <si>
    <t>documents_preparatoires_du_proch_66</t>
  </si>
  <si>
    <t>factures_davocat_dans_leles_doss</t>
  </si>
  <si>
    <t>decisions_et_registres_sur_les_d_313</t>
  </si>
  <si>
    <t>reglement_relatif_a_la_taxe_comm_2</t>
  </si>
  <si>
    <t>avis_sur_la_preconisation_du_bur</t>
  </si>
  <si>
    <t>serre_urbaine_de_production_agri_2</t>
  </si>
  <si>
    <t>decisions_et_registres_sur_les_d_314</t>
  </si>
  <si>
    <t>panel_independent_des_experts_eu</t>
  </si>
  <si>
    <t>enquete_du_journal_lesoir_projet_40</t>
  </si>
  <si>
    <t>decisions_et_registres_sur_les_d_316</t>
  </si>
  <si>
    <t>documents_preparatoires_du_proch_67</t>
  </si>
  <si>
    <t>documents_preparatoires_du_proch_68</t>
  </si>
  <si>
    <t>analyse_comparative_des_finances_259</t>
  </si>
  <si>
    <t>notes_explicatives_projets_de_de_4</t>
  </si>
  <si>
    <t>documents_preparatoires_du_proch_69</t>
  </si>
  <si>
    <t>analyse_comparative_des_finances_282</t>
  </si>
  <si>
    <t>copie_des_proces_verbaux_detaill</t>
  </si>
  <si>
    <t>decisions_et_registres_sur_les_d_318</t>
  </si>
  <si>
    <t>analyse_comparative_des_finances_283</t>
  </si>
  <si>
    <t>analyse_comparative_des_finances_256</t>
  </si>
  <si>
    <t>publications_des_prochains_conse_3</t>
  </si>
  <si>
    <t>enquete_avec_la_presse_demande_d_16</t>
  </si>
  <si>
    <t>documents_preparatoires_du_proch_70</t>
  </si>
  <si>
    <t>decisions_et_registres_sur_les_d_320</t>
  </si>
  <si>
    <t>documents_preparatoires_du_proch_71</t>
  </si>
  <si>
    <t>demande_de_tous_les_documents_co</t>
  </si>
  <si>
    <t>reamenagement_des_abords_de_lanc_7</t>
  </si>
  <si>
    <t>rule_of_law_echanges_avec_la_com</t>
  </si>
  <si>
    <t>decisions_et_registres_sur_les_d_326</t>
  </si>
  <si>
    <t>reunion_avec_la_commission_europ</t>
  </si>
  <si>
    <t>decisions_et_registres_sur_les_d_327</t>
  </si>
  <si>
    <t>decisions_et_registres_sur_les_d_66</t>
  </si>
  <si>
    <t>documents_preparatoires_du_proch_72</t>
  </si>
  <si>
    <t>documents_preparatoires_du_proch_81</t>
  </si>
  <si>
    <t>decisions_et_registres_sur_les_d_82</t>
  </si>
  <si>
    <t>documents_preparatoires_du_proch_80</t>
  </si>
  <si>
    <t>documents_preparatoires_du_proch_82</t>
  </si>
  <si>
    <t>decisions_et_registres_sur_les_d_329</t>
  </si>
  <si>
    <t>pv_denquete_publique_hotel_de_po</t>
  </si>
  <si>
    <t>demande_de_document_du_departeme</t>
  </si>
  <si>
    <t>demande_dinformations_delegation</t>
  </si>
  <si>
    <t>rapport_devaluation_sur_la_sorti</t>
  </si>
  <si>
    <t>documents_preparatoires_du_proch_85</t>
  </si>
  <si>
    <t>objet_proposition_de_modificatio</t>
  </si>
  <si>
    <t>demande_dacces_au_budget_communa</t>
  </si>
  <si>
    <t>decisions_et_registres_sur_les_d_331</t>
  </si>
  <si>
    <t>documents_preparatoires_du_proch_83</t>
  </si>
  <si>
    <t>projets_de_deliberation_des_poin_72</t>
  </si>
  <si>
    <t>documents_preparatoires_du_proch_84</t>
  </si>
  <si>
    <t>documents_preparatoires_du_proch_86</t>
  </si>
  <si>
    <t>justificatifs_des_remunerationsf_3</t>
  </si>
  <si>
    <t>documents_preparatoires_du_proch_87</t>
  </si>
  <si>
    <t>enquete_du_journal_le_vif_projet_54</t>
  </si>
  <si>
    <t>decisions_et_registres_sur_les_d_339</t>
  </si>
  <si>
    <t>decisions_et_registres_sur_les_d_353</t>
  </si>
  <si>
    <t>demande_dextraits_de_pv_du_colle</t>
  </si>
  <si>
    <t>documents_preparatoires_du_proch_88</t>
  </si>
  <si>
    <t>enquete_du_vif_et_du_soir_projet_9</t>
  </si>
  <si>
    <t>documents_preparatoires_du_proch_89</t>
  </si>
  <si>
    <t>decisions_et_registres_sur_les_d_354</t>
  </si>
  <si>
    <t>enquete_du_journal_le_vif_projet_80</t>
  </si>
  <si>
    <t>registre_2018_des_demandes_de_do</t>
  </si>
  <si>
    <t>documents_preparatoires_du_proch_90</t>
  </si>
  <si>
    <t>decisions_et_registres_sur_les_d_356</t>
  </si>
  <si>
    <t>etude_dincidence_horecacommerces_2</t>
  </si>
  <si>
    <t>decisions_et_registres_sur_les_d_365</t>
  </si>
  <si>
    <t>moratoire_nouveaux_restaurants_c</t>
  </si>
  <si>
    <t>forest_conseil_communal_du_02072</t>
  </si>
  <si>
    <t>demande_dinformation_sur_les_niv</t>
  </si>
  <si>
    <t>enquete_du_journal_le_vif_projet_3</t>
  </si>
  <si>
    <t>registre_2018_des_demandes_de_do_3</t>
  </si>
  <si>
    <t>enquete_avec_la_presse_demande_d_27</t>
  </si>
  <si>
    <t>communication_des_montants_percu</t>
  </si>
  <si>
    <t>vicigal_2</t>
  </si>
  <si>
    <t>nourriture_college_des_bourgmest_4</t>
  </si>
  <si>
    <t>abords_de_lancienne_gare_de_laek</t>
  </si>
  <si>
    <t>questions_multiples_quant_a_la_g</t>
  </si>
  <si>
    <t>vicigal</t>
  </si>
  <si>
    <t>reamenagement_des_abords_de_lanc_8</t>
  </si>
  <si>
    <t>liste_des_membres_repris_dans_la_2</t>
  </si>
  <si>
    <t>recherche_de_donnees_de_producti</t>
  </si>
  <si>
    <t>registres_2019_et_2020_des_deman</t>
  </si>
  <si>
    <t>proces_stoumont_simple_citoyen_s</t>
  </si>
  <si>
    <t>enquete_du_journal_le_vif_projet_14</t>
  </si>
  <si>
    <t>travaux_entre_harsin_et_nassogne</t>
  </si>
  <si>
    <t>demande_de_documents_administrat_3</t>
  </si>
  <si>
    <t>enquete_du_journal_lesoir_projet_36</t>
  </si>
  <si>
    <t>loi_interdisant_les_milices_priv</t>
  </si>
  <si>
    <t>enquete_du_journal_lesoir_projet_29</t>
  </si>
  <si>
    <t>utilisation_de_lespace_public</t>
  </si>
  <si>
    <t>seance_au_conseil_communal_du_23</t>
  </si>
  <si>
    <t>enquete_du_journal_le_vif_projet_21</t>
  </si>
  <si>
    <t>informations_sur_les_dispositifs_18</t>
  </si>
  <si>
    <t>informations_sur_les_dispositifs_31</t>
  </si>
  <si>
    <t>informations_sur_les_dispositifs_47</t>
  </si>
  <si>
    <t>informations_sur_les_dispositifs_33</t>
  </si>
  <si>
    <t>informations_sur_les_dispositifs_48</t>
  </si>
  <si>
    <t>informations_sur_les_dispositifs_57</t>
  </si>
  <si>
    <t>conseil_communal_du_6_decembre_2</t>
  </si>
  <si>
    <t>informations_sur_les_dispositifs_19</t>
  </si>
  <si>
    <t>informations_sur_les_dispositifs_20</t>
  </si>
  <si>
    <t>enquete_du_journal_le_vif_projet_22</t>
  </si>
  <si>
    <t>informations_sur_les_dispositifs_22</t>
  </si>
  <si>
    <t>informations_sur_les_dispositifs_23</t>
  </si>
  <si>
    <t>informations_sur_les_dispositifs_24</t>
  </si>
  <si>
    <t>informations_sur_les_dispositifs_26</t>
  </si>
  <si>
    <t>documents_preparatoires_du_proch_57</t>
  </si>
  <si>
    <t>rapports_spp_integration_sociale</t>
  </si>
  <si>
    <t>informations_sur_les_dispositifs_65</t>
  </si>
  <si>
    <t>informations_sur_les_dispositifs_60</t>
  </si>
  <si>
    <t>informations_sur_les_dispositifs_61</t>
  </si>
  <si>
    <t>enquete_du_journal_le_vif_projet_23</t>
  </si>
  <si>
    <t>enquete_du_journal_le_vif_projet_75</t>
  </si>
  <si>
    <t>informations_sur_les_dispositifs_70</t>
  </si>
  <si>
    <t>informations_sur_les_dispositifs_63</t>
  </si>
  <si>
    <t>permis_unique_site_de_lespena_a</t>
  </si>
  <si>
    <t>informations_sur_les_dispositifs_75</t>
  </si>
  <si>
    <t>communication_des_montants_percu_12</t>
  </si>
  <si>
    <t>informations_sur_les_dispositifs_62</t>
  </si>
  <si>
    <t>informations_sur_les_dispositifs_77</t>
  </si>
  <si>
    <t>demande_de_lavis_juridique_recu</t>
  </si>
  <si>
    <t>enquete_du_journal_le_vif_projet_28</t>
  </si>
  <si>
    <t>demande_de_copie_de_lacte_dacqui</t>
  </si>
  <si>
    <t>informations_sur_les_dispositifs_68</t>
  </si>
  <si>
    <t>enquete_du_journal_le_vif_projet_30</t>
  </si>
  <si>
    <t>enquete_du_journal_le_vif_projet_79</t>
  </si>
  <si>
    <t>informations_sur_les_dispositifs_90</t>
  </si>
  <si>
    <t>documents_relatifs_au_captage_de</t>
  </si>
  <si>
    <t>informations_sur_les_dispositifs_141</t>
  </si>
  <si>
    <t>informations_sur_les_dispositifs_107</t>
  </si>
  <si>
    <t>rapport_de_la_ministre_de_lenerg</t>
  </si>
  <si>
    <t>informations_sur_les_dispositifs_103</t>
  </si>
  <si>
    <t>informations_sur_les_dispositifs_82</t>
  </si>
  <si>
    <t>informations_sur_les_dispositifs_89</t>
  </si>
  <si>
    <t>informations_sur_les_dispositifs_83</t>
  </si>
  <si>
    <t>informations_sur_les_dispositifs_93</t>
  </si>
  <si>
    <t>informations_sur_les_dispositifs_84</t>
  </si>
  <si>
    <t>enquete_du_journal_le_vif_projet_34</t>
  </si>
  <si>
    <t>informations_sur_les_dispositifs_95</t>
  </si>
  <si>
    <t>informations_sur_les_dispositifs_96</t>
  </si>
  <si>
    <t>informations_sur_les_dispositifs_119</t>
  </si>
  <si>
    <t>informations_sur_les_dispositifs_115</t>
  </si>
  <si>
    <t>informations_sur_les_dispositifs_116</t>
  </si>
  <si>
    <t>enquete_du_journal_le_vif_projet_81</t>
  </si>
  <si>
    <t>informations_sur_les_dispositifs_122</t>
  </si>
  <si>
    <t>informations_sur_les_dispositifs_125</t>
  </si>
  <si>
    <t>informations_sur_les_dispositifs_111</t>
  </si>
  <si>
    <t>informations_sur_les_dispositifs_108</t>
  </si>
  <si>
    <t>informations_sur_les_dispositifs_126</t>
  </si>
  <si>
    <t>enquete_du_journal_le_vif_projet_37</t>
  </si>
  <si>
    <t>documents_ayant_trait_a_la_remun</t>
  </si>
  <si>
    <t>mission_devaluation_du_systeme_d</t>
  </si>
  <si>
    <t>enquete_du_journal_le_vif_projet_87</t>
  </si>
  <si>
    <t>informations_sur_les_dispositifs_130</t>
  </si>
  <si>
    <t>informations_sur_les_dispositifs_134</t>
  </si>
  <si>
    <t>informations_sur_les_dispositifs_136</t>
  </si>
  <si>
    <t>demande_declaircissements_concer</t>
  </si>
  <si>
    <t>enquete_du_journal_le_vif_projet_66</t>
  </si>
  <si>
    <t>informations_sur_les_dispositifs_137</t>
  </si>
  <si>
    <t>informations_sur_les_dispositifs_138</t>
  </si>
  <si>
    <t>informations_sur_les_dispositifs_128</t>
  </si>
  <si>
    <t>informations_sur_les_dispositifs_155</t>
  </si>
  <si>
    <t>informations_sur_les_dispositifs_153</t>
  </si>
  <si>
    <t>informations_sur_les_dispositifs_154</t>
  </si>
  <si>
    <t>informations_sur_les_dispositifs_165</t>
  </si>
  <si>
    <t>enquete_du_journal_le_vif_projet_91</t>
  </si>
  <si>
    <t>informations_sur_les_dispositifs_147</t>
  </si>
  <si>
    <t>informations_sur_les_dispositifs_149</t>
  </si>
  <si>
    <t>bnp_paribas_administrateurs_belg</t>
  </si>
  <si>
    <t>informations_sur_les_dispositifs_169</t>
  </si>
  <si>
    <t>enquete_du_journal_le_vif_projet_82</t>
  </si>
  <si>
    <t>informations_sur_les_dispositifs_170</t>
  </si>
  <si>
    <t>informations_sur_les_dispositifs_171</t>
  </si>
  <si>
    <t>informations_sur_les_dispositifs_189</t>
  </si>
  <si>
    <t>enquete_du_journal_lesoir_projet</t>
  </si>
  <si>
    <t>informations_sur_les_dispositifs_173</t>
  </si>
  <si>
    <t>informations_sur_les_dispositifs_182</t>
  </si>
  <si>
    <t>informations_sur_les_dispositifs_193</t>
  </si>
  <si>
    <t>informations_sur_les_dispositifs_172</t>
  </si>
  <si>
    <t>informations_sur_les_dispositifs_174</t>
  </si>
  <si>
    <t>informations_sur_les_dispositifs_177</t>
  </si>
  <si>
    <t>travaux_du_plaza</t>
  </si>
  <si>
    <t>plaza</t>
  </si>
  <si>
    <t>designation_maitre_doeuvre_plaza</t>
  </si>
  <si>
    <t>informations_sur_les_dispositifs_178</t>
  </si>
  <si>
    <t>protocole_daccord_ndeg_4158_cont</t>
  </si>
  <si>
    <t>informations_sur_les_dispositifs_206</t>
  </si>
  <si>
    <t>sommet_de_limmobilier_reality_20</t>
  </si>
  <si>
    <t>rapports_du_plan_grand_froid</t>
  </si>
  <si>
    <t>informations_sur_les_dispositifs_195</t>
  </si>
  <si>
    <t>informations_sur_les_dispositifs_202</t>
  </si>
  <si>
    <t>enquete_du_vif_et_du_soir_projet_22</t>
  </si>
  <si>
    <t>informations_sur_les_dispositifs_205</t>
  </si>
  <si>
    <t>enquete_du_journal_lesoir_projet_20</t>
  </si>
  <si>
    <t>informations_sur_les_dispositifs_197</t>
  </si>
  <si>
    <t>decisions_de_suppression_ou_de_m</t>
  </si>
  <si>
    <t>informations_sur_les_dispositifs_201</t>
  </si>
  <si>
    <t>notes_explicatives_projets_de_de_6</t>
  </si>
  <si>
    <t>demande_de_confirmation_concerna</t>
  </si>
  <si>
    <t>informations_sur_les_dispositifs_198</t>
  </si>
  <si>
    <t>enquete_du_journal_lesoir_projet_25</t>
  </si>
  <si>
    <t>informations_sur_les_dispositifs_181</t>
  </si>
  <si>
    <t>demande_dinformations_sur_le_rec</t>
  </si>
  <si>
    <t>informations_sur_les_dispositifs_203</t>
  </si>
  <si>
    <t>informations_sur_les_dispositifs_200</t>
  </si>
  <si>
    <t>informations_sur_les_dispositifs_204</t>
  </si>
  <si>
    <t>place_de_brouckere_projet_brouck_2</t>
  </si>
  <si>
    <t>art32_constitution_video_relativ</t>
  </si>
  <si>
    <t>enquete_du_journal_lesoir_projet_39</t>
  </si>
  <si>
    <t>demande_dacces_a_des_documents_c</t>
  </si>
  <si>
    <t>enquete_du_journal_lesoir_projet_54</t>
  </si>
  <si>
    <t>groupe_de_travail_port_de_signes</t>
  </si>
  <si>
    <t>demande_de_transparence_pour_le</t>
  </si>
  <si>
    <t>versions_numeriques_des_budgets</t>
  </si>
  <si>
    <t>demande_dinterpretation_et_de_do</t>
  </si>
  <si>
    <t>note_dintention_redigee_conjoint</t>
  </si>
  <si>
    <t>projets_de_deliberation_des_poin_95</t>
  </si>
  <si>
    <t>factures_bons_de_commande_et_dec</t>
  </si>
  <si>
    <t>budget_travaux_piscine</t>
  </si>
  <si>
    <t>passage_chambon_1020_laeken_corr_7</t>
  </si>
  <si>
    <t>enquete_avec_la_presse_demande_d_15</t>
  </si>
  <si>
    <t>informations_sur_les_dispositifs_162</t>
  </si>
  <si>
    <t>informations_sur_les_dispositifs_21</t>
  </si>
  <si>
    <t>informations_sur_les_dispositifs_186</t>
  </si>
  <si>
    <t>informations_sur_les_dispositifs_208</t>
  </si>
  <si>
    <t>informations_sur_les_dispositifs_209</t>
  </si>
  <si>
    <t>prise_de_participation_capital_n</t>
  </si>
  <si>
    <t>publications_des_prochains_conse_6</t>
  </si>
  <si>
    <t>projets_de_mobilite_autour_de_fo</t>
  </si>
  <si>
    <t>decisions_de_suppression_ou_de_m_2</t>
  </si>
  <si>
    <t>objet_impact_des_salaires_des_el</t>
  </si>
  <si>
    <t>question_de_la_legalite_des_acti</t>
  </si>
  <si>
    <t>informations_concernant_les_obli</t>
  </si>
  <si>
    <t>delegation_cop27</t>
  </si>
  <si>
    <t>documents_sur_tracabiliteventes_4</t>
  </si>
  <si>
    <t>acces_a_toutes_les_decisions_et</t>
  </si>
  <si>
    <t>bilan_comptable_2020_commune_de</t>
  </si>
  <si>
    <t>compte_pieces_justificatives</t>
  </si>
  <si>
    <t>chiffres_des_droits_de_successio</t>
  </si>
  <si>
    <t>informations_sur_les_dispositifs_156</t>
  </si>
  <si>
    <t>informations_sur_les_dispositifs_85</t>
  </si>
  <si>
    <t>gite_non_conforme</t>
  </si>
  <si>
    <t>informations_sur_les_dispositifs_160</t>
  </si>
  <si>
    <t>informations_sur_les_dispositifs_44</t>
  </si>
  <si>
    <t>chiffres_des_successions_et_droi</t>
  </si>
  <si>
    <t>informations_sur_les_dispositifs_80</t>
  </si>
  <si>
    <t>informations_sur_les_dispositifs_210</t>
  </si>
  <si>
    <t>conflit_dinterets_en_rapport_ave</t>
  </si>
  <si>
    <t>chiffres_des_successions_et_droi_2</t>
  </si>
  <si>
    <t>etat_des_comptes_banquaires</t>
  </si>
  <si>
    <t>subsides_de_fonctionnement_comit</t>
  </si>
  <si>
    <t>demande_de_documents_en_relation_2</t>
  </si>
  <si>
    <t>documents_sur_ventes_de_bois_sub</t>
  </si>
  <si>
    <t>ravel_ligne_115_116</t>
  </si>
  <si>
    <t>demande_denvoi_dune_copie_du_tex</t>
  </si>
  <si>
    <t>deploiement_de_la_fibre_optique</t>
  </si>
  <si>
    <t>chiffres_les_feeries_du_parc</t>
  </si>
  <si>
    <t>informations_sur_les_dispositifs_69</t>
  </si>
  <si>
    <t>informations_sur_les_dispositifs_183</t>
  </si>
  <si>
    <t>permis_de_batir</t>
  </si>
  <si>
    <t>pv_rencontre_riverains_piste_cyc</t>
  </si>
  <si>
    <t>projets_de_deliberation_des_poin_16</t>
  </si>
  <si>
    <t>circulaire_adresse_de_reference</t>
  </si>
  <si>
    <t>decisions_et_registres_sur_les_d_98</t>
  </si>
  <si>
    <t>informations_sur_les_dispositifs_72</t>
  </si>
  <si>
    <t>informations_sur_les_dispositifs_161</t>
  </si>
  <si>
    <t>enquete_publique_pour_travaux_de</t>
  </si>
  <si>
    <t>demande_de_connaitre_le_cahier_d</t>
  </si>
  <si>
    <t>repas_dapres_vente_de_bois_2023</t>
  </si>
  <si>
    <t>pieces_comptables_2023_a_propos</t>
  </si>
  <si>
    <t>vente_publique_5_novembre</t>
  </si>
  <si>
    <t>listing_arretes_inhabitabilite_32</t>
  </si>
  <si>
    <t>informations_sur_les_dispositifs_42</t>
  </si>
  <si>
    <t>questions_sans_reponses_logiques</t>
  </si>
  <si>
    <t>visioconference_du_conseil_commu</t>
  </si>
  <si>
    <t>demande_fichier_batiments_inoccu</t>
  </si>
  <si>
    <t>proces_verbal_du_conseil_communa_3</t>
  </si>
  <si>
    <t>immeuble_floyd_1020_laeken_pv_du</t>
  </si>
  <si>
    <t>serre_urbaine_1020_laeken_corres</t>
  </si>
  <si>
    <t>passage_chambon_1020_laeken_corr_2</t>
  </si>
  <si>
    <t>intitule_logements_sociaux</t>
  </si>
  <si>
    <t>serre_urbaine_1020_laeken_corres_2</t>
  </si>
  <si>
    <t>projet_de_serre_urbaine_1020_lae</t>
  </si>
  <si>
    <t>documents_a_propos_du_pylone_dam</t>
  </si>
  <si>
    <t>projet_de_serre_urbaine_laeken_e</t>
  </si>
  <si>
    <t>condamnation_definitive_de_la_vi</t>
  </si>
  <si>
    <t>pont_de_la_masblette</t>
  </si>
  <si>
    <t>demande_des_documents_relatifs_a</t>
  </si>
  <si>
    <t>decisions_et_registres_sur_les_d_368</t>
  </si>
  <si>
    <t>demande_de_documents_sur_le_trai</t>
  </si>
  <si>
    <t>analyse_comparative_des_finances_249</t>
  </si>
  <si>
    <t>demande_de_documents_ayant_trait_2</t>
  </si>
  <si>
    <t>demande_dacces_a_lensemble_des_m</t>
  </si>
  <si>
    <t>decisions_et_registres_sur_les_d_375</t>
  </si>
  <si>
    <t>documents_sur_les_dispositifs_de</t>
  </si>
  <si>
    <t>demande_de_documents_sur_le_trai_6</t>
  </si>
  <si>
    <t>demande_de_documents_sur_le_trai_8</t>
  </si>
  <si>
    <t>decisions_et_registres_sur_les_d_33</t>
  </si>
  <si>
    <t>decisions_et_registres_sur_les_d_37</t>
  </si>
  <si>
    <t>demande_de_documents_sur_le_trai_11</t>
  </si>
  <si>
    <t>demande_de_documents_sur_le_trai_12</t>
  </si>
  <si>
    <t>projets_de_deliberation_des_poin_38</t>
  </si>
  <si>
    <t>projets_de_deliberation_des_poin_89</t>
  </si>
  <si>
    <t>processus_participatif_fresque_f</t>
  </si>
  <si>
    <t>enquete_du_vif_et_du_soir_projet_30</t>
  </si>
  <si>
    <t>decisions_et_registres_sur_les_d_106</t>
  </si>
  <si>
    <t>medicament_en_rupture_de_stock</t>
  </si>
  <si>
    <t>demande_au_nom_de_la_liberte_dac_15</t>
  </si>
  <si>
    <t>decisions_et_registres_sur_les_d_74</t>
  </si>
  <si>
    <t>decisions_et_registres_sur_les_d_75</t>
  </si>
  <si>
    <t>decisions_et_registres_sur_les_d_76</t>
  </si>
  <si>
    <t>decisions_et_registres_sur_les_d_79</t>
  </si>
  <si>
    <t>decisions_et_registres_sur_les_d_126</t>
  </si>
  <si>
    <t>decisions_et_registres_sur_les_d_143</t>
  </si>
  <si>
    <t>decisions_et_registres_sur_les_d_148</t>
  </si>
  <si>
    <t>decisions_et_registres_sur_les_d_156</t>
  </si>
  <si>
    <t>decisions_et_registres_sur_les_d_166</t>
  </si>
  <si>
    <t>decisions_et_registres_sur_les_d_250</t>
  </si>
  <si>
    <t>decisions_et_registres_sur_les_d_258</t>
  </si>
  <si>
    <t>a_propos_des_considerants_de_lar</t>
  </si>
  <si>
    <t>documents_emis_par_lordre_des_me</t>
  </si>
  <si>
    <t>enquete_publique_mld315b2022_cre</t>
  </si>
  <si>
    <t>budget_participatif_laeken_creat</t>
  </si>
  <si>
    <t>vos_chiffres_marches_publics_et_2</t>
  </si>
  <si>
    <t>rapport_final_concernant_lenquet</t>
  </si>
  <si>
    <t>projets_de_deliberation_des_poin_5</t>
  </si>
  <si>
    <t>enquete_du_journal_lesoir_projet_2</t>
  </si>
  <si>
    <t>enquete_du_journal_lesoir_projet_43</t>
  </si>
  <si>
    <t>CROSS-GENDER ANALYSIS</t>
  </si>
  <si>
    <t>SECTION 1: Dataset Overview</t>
  </si>
  <si>
    <t>Metric</t>
  </si>
  <si>
    <t>Count</t>
  </si>
  <si>
    <t>Formula</t>
  </si>
  <si>
    <t>Total requests</t>
  </si>
  <si>
    <t>Counts all non-empty request_id cells</t>
  </si>
  <si>
    <t>Requests with response (col K not blank)</t>
  </si>
  <si>
    <t>Counts non-empty cells in sex (respondent)</t>
  </si>
  <si>
    <t>Requests WITHOUT response (col K blank)</t>
  </si>
  <si>
    <t>Blank cells in col K (rows 2-4274)</t>
  </si>
  <si>
    <t>Requester gender known (col J not UNKNOWN*)</t>
  </si>
  <si>
    <t>MALE + FEMALE in col J</t>
  </si>
  <si>
    <t>Requester gender UNKNOWN (col J)</t>
  </si>
  <si>
    <t>UNKNOWN in col J</t>
  </si>
  <si>
    <t>Requester gender known BUT no response data (col K blank)</t>
  </si>
  <si>
    <t>Requester is MALE or FEMALE but col K is empty — no response to analyze</t>
  </si>
  <si>
    <t>Respondent gender known (col K is MALE or FEMALE)</t>
  </si>
  <si>
    <t>MALE + FEMALE inferred in col K</t>
  </si>
  <si>
    <t>Respondent gender UNKNOWN (any UNKNOWN category in col K)</t>
  </si>
  <si>
    <t>All UNKNOWN variants in col K</t>
  </si>
  <si>
    <t>SECTION 2: Requests with BOTH genders known</t>
  </si>
  <si>
    <t>(Among requests that have a response, i.e. col K not blank)</t>
  </si>
  <si>
    <t>% of responded requests</t>
  </si>
  <si>
    <t>Both requester AND respondent gender known</t>
  </si>
  <si>
    <t>Requester known, respondent UNKNOWN</t>
  </si>
  <si>
    <t>Requester UNKNOWN, respondent known</t>
  </si>
  <si>
    <t>Both UNKNOWN</t>
  </si>
  <si>
    <t>CHECK: sum should equal responded requests (B6)</t>
  </si>
  <si>
    <t>SECTION 3: Cross-tabulation (Requester × Respondent gender)</t>
  </si>
  <si>
    <t>Only among the 2,517 requests that received a response. Each cell = number of requests where requester is [row gender] AND respondent is [column gender].</t>
  </si>
  <si>
    <t>Requester ↓  Respondent →</t>
  </si>
  <si>
    <t>Respondent: MALE</t>
  </si>
  <si>
    <t>Respondent: FEMALE</t>
  </si>
  <si>
    <t>Respondent: UNKNOWN*</t>
  </si>
  <si>
    <t>Row Total</t>
  </si>
  <si>
    <t>Requester: MALE</t>
  </si>
  <si>
    <t>Requester: FEMALE</t>
  </si>
  <si>
    <t>Requester: UNKNOWN</t>
  </si>
  <si>
    <t>Column Total</t>
  </si>
  <si>
    <t>SECTION 4: Respondent gender by requester gender — Does your gender affect who handles your request?</t>
  </si>
  <si>
    <t>Only requests with BOTH genders known (n=1,215). Each row: given requester gender, what % of respondents are male vs female? Rows sum to 100%.</t>
  </si>
  <si>
    <t>ALL TOPICS COMBINED</t>
  </si>
  <si>
    <t>Interaction</t>
  </si>
  <si>
    <t>% within requester gender</t>
  </si>
  <si>
    <t>Visual</t>
  </si>
  <si>
    <t>Male requester → Male respondent</t>
  </si>
  <si>
    <t>Male requester → Female respondent</t>
  </si>
  <si>
    <t>Female requester → Male respondent</t>
  </si>
  <si>
    <t>Female requester → Female respondent</t>
  </si>
  <si>
    <t>Total known pairs</t>
  </si>
  <si>
    <t>BREAKDOWN BY TOPIC</t>
  </si>
  <si>
    <t>SECTION 5: Request outcome by gender combo — What happens when they interact?</t>
  </si>
  <si>
    <t>Only requests with BOTH genders known (n=1,215). Each row: given this gender combo, what % of requests were Successful / Not successful / Asleep? Rows sum to 100%.</t>
  </si>
  <si>
    <t>Gender combo</t>
  </si>
  <si>
    <t>Total</t>
  </si>
  <si>
    <t>% Successful</t>
  </si>
  <si>
    <t>% Not succ.</t>
  </si>
  <si>
    <t>% Asleep</t>
  </si>
  <si>
    <t>Male req. → Male resp.</t>
  </si>
  <si>
    <t>Male req. → Female resp.</t>
  </si>
  <si>
    <t>Female req. → Male resp.</t>
  </si>
  <si>
    <t>Female req. → Female resp.</t>
  </si>
  <si>
    <t>SUMMARY OF KEY FINDINGS</t>
  </si>
  <si>
    <t>AT A GLANCE</t>
  </si>
  <si>
    <t>1. Respondent assignment is gender-neutral: both male and female requesters receive a female PA respondent ~58% of the time (57.7% vs 59.1%). No evidence of gendered routing at the aggregate level.
2. Same-gender interactions yield higher success rates than cross-gender ones. F→F: 65.6% successful; M→M: 62.4%. Cross-gender: M→F: 58.6%; F→M: 57.2%. Gap: 4–8 percentage points.
3. F→F produces the lowest "Not successful" rate (10.8%); M→F the highest (22.8%) — a 12pp difference, the largest outcome gap between any two combos.
4. T4 (Council deliberations — 515 total requests, 290 received a response, both genders identifiable in 113 of those): female requesters face a 25–28pp success disadvantage vs male requesters (F→M: 37.5%, F→F: 41.7% vs M→M: 70.0%, M→F: 63.6%). Strongest gender disparity in the dataset.
5. T2 (Urban planning — 739 total requests, 523 received a response, both genders identifiable in 242 of those): female respondents boost success rates for ALL requesters — M→F: 68.1% vs M→M: 51.3% (+16.8pp); F→F: 71.8% vs F→M: 51.7% (+20.1pp). Respondent gender matters more than requester gender here.
6. Caveat: analysis covers 1,215 known-gender pairs (28.5% of all requests). 52.4% of responses could not be gender-classified. Small-n topic cells (T3, T6 cross-gender) are unreliable.</t>
  </si>
  <si>
    <t>DETAILED FINDINGS</t>
  </si>
  <si>
    <t>DATASET: 4,265 FOI requests from transparencia.be. Of these, 2,517 (58.9%) received a response with identifiable respondent data. Gender could be identified for both requester AND respondent in 1,215 cases (48.3% of responded requests; 28.5% of all 4,265 requests). All findings below refer to this subset of 1,215 known-gender pairs unless stated otherwise.
1. RESPONDENT GENDER COMPOSITION
Among identified respondents, 58.5% are female and 41.5% are male. This female majority holds regardless of requester gender: male requesters receive a female respondent 57.7% of the time; female requesters, 59.1%. The 1.4 percentage point difference is negligible, indicating that at the aggregate level, respondent gender assignment does not depend on requester gender.
2. TOPIC-LEVEL VARIATION IN GENDER MATCHING
While the aggregate pattern is balanced, substantial variation emerges across topics:
- T2 (Urban planning, n=242): Male requesters are handled by female respondents 77.6% of the time, vs 57.4% for female requesters — a 20.2pp gap. This is the strongest gender-differentiated assignment pattern in the dataset.
- T4 (Council deliberations, n=113): Cross-gender matching. Male requesters get female respondents 64.7% of the time, but female requesters get male respondents 57.1% — a reversal of the overall pattern.
- T1 (Public finance, n=346): Slight same-gender tendency. Male requesters get male respondents 56.1%; female requesters get female respondents 56.0%.
- T5 (Public procurement, n=219): Heavily female-dominated in both requesters (88.1% female) and respondents (62.2% female for female requesters).
3. REQUEST OUTCOMES BY GENDER COMBO — AGGREGATE
The female-to-female (F→F) combo yields the highest success rate at 65.6% and the lowest rejection rate at 10.8%. The male-to-male (M→M) combo follows at 62.4% success, 18.8% rejection. Cross-gender interactions perform worse: male-to-female (M→F) shows 58.6% success with the highest rejection rate at 22.8%; female-to-male (F→M) shows 57.2% success with the highest "Asleep" (no outcome) rate at 25.4%.
In summary: same-gender combos (M→M: 62.4%, F→F: 65.6%) outperform cross-gender combos (M→F: 58.6%, F→M: 57.2%) by 4-8 percentage points in success rate.
4. REQUEST OUTCOMES BY GENDER COMBO — TOPIC-LEVEL HIGHLIGHTS
- T1 (Public finance, n=346): Female requesters outperform male requesters regardless of respondent gender. F→M: 72.5% success; F→F: 74.5%. M→M: 66.4%; M→F: 58.9%. Female requesters also face far lower rejection (F→M: 7.5%, F→F: 9.8%) vs male requesters (M→M: 16.8%, M→F: 24.1%).
- T2 (Urban planning, n=242): Female respondents produce higher success rates for both requester genders. M→F: 68.1% vs M→M: 51.3% (+16.8pp). F→F: 71.8% vs F→M: 51.7% (+20.1pp). This is the topic where respondent gender makes the largest difference.
- T4 (Council deliberations, n=113): Sharp gender gap. Male requesters achieve 70.0% (M→M) and 63.6% (M→F) success. Female requesters achieve only 37.5% (F→M) and 41.7% (F→F). This 25-28pp gap is the largest requester-gender disparity in the dataset and warrants further investigation.
- T5 (Public procurement, n=219): Male requesters (n=26) show very high success (M→M: 85.7%, M→F: 75.0%), but the small sample limits inference. Among female requesters (n=193), F→F: 66.7% success with only 5.8% rejection — the lowest rejection rate in any topic-combo with n&gt;50.
- T6 (Governance, n=199): M→F shows the lowest success rate in this topic at 43.9% with 32.7% rejection — the highest rejection rate in any topic-combo with n&gt;50.
5. CAVEATS
(a) Gender was inferred from first names in response signatures. 52.4% of responded requests (1,302 of 2,517) could not be classified due to missing names, surnames only, or unisex names — introducing potential selection bias.
(b) "Asleep" status (request with no final outcome) constitutes 18.6–25.4% of known-gender pairs. Its distribution across combos may reflect administrative delays rather than gendered decision-making.
(c) Several topic-level cells have small n (e.g., T3 F→M: n=8; T6 F→M: n=7). These percentages are unreliable and should not be interpreted as trends.
(d) This is a descriptive analysis. Observed differences may be driven by confounders (administration type, request complexity, year) rather than gender per se. Multivariate regression is recommended before drawing causal conclusions.</t>
  </si>
  <si>
    <t>SAMPLE REPRESENTATIVENESS: Why n=1,215 is sufficient</t>
  </si>
  <si>
    <t>The full dataset contains 4,265 FOI requests. Of these, 2,517 received a response. Of those 2,517 responded requests, both requester and respondent gender could be identified in 1,215 cases. All findings in this analysis are based on these 1,215 requests (hereafter: "the 1,215 subset"). Below we assess whether this subsample is representative of the broader dataset across key dimensions.
1. IS 1,215 ENOUGH?
1,215 requests exceeds standard thresholds for cross-tabulation analysis in social science research. With 4 gender combos and 3 outcome categories, the expected cell frequency averages 101 per cell — well above the conventional minimum of 5 for chi-square validity. Even the smallest aggregate combo (F→M, n=173) is large enough for reliable percentage estimation (margin of error ±7.5pp at 95% confidence).
2. DISTRIBUTION ACROSS PUBLIC AUTHORITIES
The 1,215 subset covers 12 of 18 administration types present in the full dataset. The 6 missing types account for &lt;0.1% of all requests combined. The dominant category — Local Territorial Authorities — represents 80.3% of the subset vs 77.9% of the full dataset (2.4pp deviation). Provinces/Regions: 7.8% vs 7.0%. Police/Defense: 3.4% vs 3.4%. No administration type deviates by more than 2.4pp — the sample mirrors the institutional composition of the full dataset.
3. DISTRIBUTION ACROSS ASP LEVELS
Level 3 (municipal): 62.9% subset vs 61.7% full (+1.2pp). Level 2 (provincial): 19.9% vs 17.3% (+2.6pp). Level 4 (regional/federal): 17.2% vs 20.8% (-3.6pp). Maximum deviation: 3.6pp. The sample is well balanced across governance levels.
4. DISTRIBUTION ACROSS YEARS (2016–2025)
All 10 years present in the dataset are represented in the 1,215 subset. Maximum deviation: 2024 at -4.6pp (12.4% subset vs 17.0% full) and 2021 at +2.3pp. Slight underrepresentation of recent years (2023–2025) — likely because newer requests are more often still "Asleep" and thus lack a response.
5. DISTRIBUTION ACROSS TOPICS
All 6 topics are represented. Maximum deviation: T1 at +3.7pp (28.5% vs 24.8%) and T6 at -3.9pp (16.4% vs 20.3%). No topic is severely over- or underrepresented.
6. GENDER RETENTION BALANCE
Of male requesters who received a response, 54.2% (792/1,460) had an identifiable respondent gender. Of female requesters, 58.8% (423/719). The 4.6pp difference means the 1,215 subset does not systematically favor one requester gender over the other, which is critical for the validity of cross-gender comparisons.
7. NOTE ON "ASLEEP" REQUESTS
"Asleep" on transparencia.be means the request was never formally resolved — but it does NOT mean zero communication. Of 2,064 Asleep requests, 619 (30.0%) contain PA response texts on disk (acknowledgments, partial replies, redirections). We classified respondent gender from these communications. By contrast, 91.4% of "Successful" and 73.9% of "Not successful" requests have response texts. This means the 1,215 subset contains proportionally fewer Asleep requests (20.7%) than the full dataset (48.4%) — simply because Asleep requests are less likely to contain a response with an identifiable name. This does not affect the validity of cross-gender comparisons, which are made within the 1,215 subset.
CONCLUSION: The 1,215 requests with both genders identified are well distributed across administration types, governance levels, years, topics, and requester gender. The only notable bias — overrepresentation of resolved requests — is inherent to the study design (respondent gender requires a response) and does not compromise the internal validity of cross-gender comparisons.</t>
  </si>
  <si>
    <t>NO_RESPONSE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</si>
</sst>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3"/>
      <name val="Calibri"/>
      <family val="2"/>
    </font>
    <font>
      <sz val="11"/>
      <name val="Calibri"/>
      <family val="2"/>
    </font>
    <font>
      <b/>
      <sz val="16"/>
      <color rgb="FFFF0000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D6A4E0"/>
        <bgColor rgb="FFD6A4E0"/>
      </patternFill>
    </fill>
    <fill>
      <patternFill patternType="solid">
        <fgColor rgb="FFFFC000"/>
        <bgColor rgb="FFFFC000"/>
      </patternFill>
    </fill>
    <fill>
      <patternFill patternType="solid">
        <fgColor rgb="FFFF9999"/>
        <bgColor rgb="FFFF9999"/>
      </patternFill>
    </fill>
    <fill>
      <patternFill patternType="solid">
        <fgColor rgb="FFFF6666"/>
        <bgColor rgb="FFFF6666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E8F0FE"/>
        <bgColor rgb="FFE8F0FE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12"/>
  </cellStyleXfs>
  <cellXfs count="71"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3" fontId="0" fillId="4" borderId="2" xfId="0" applyNumberFormat="1" applyFill="1" applyBorder="1" applyAlignment="1">
      <alignment wrapText="1"/>
    </xf>
    <xf numFmtId="0" fontId="0" fillId="0" borderId="2" xfId="0" applyBorder="1" applyAlignment="1">
      <alignment wrapText="1"/>
    </xf>
    <xf numFmtId="0" fontId="4" fillId="0" borderId="0" xfId="0" applyFont="1" applyBorder="1"/>
    <xf numFmtId="0" fontId="3" fillId="6" borderId="2" xfId="0" applyFont="1" applyFill="1" applyBorder="1" applyAlignment="1">
      <alignment wrapText="1"/>
    </xf>
    <xf numFmtId="3" fontId="0" fillId="6" borderId="2" xfId="0" applyNumberFormat="1" applyFill="1" applyBorder="1" applyAlignment="1">
      <alignment wrapText="1"/>
    </xf>
    <xf numFmtId="164" fontId="0" fillId="6" borderId="2" xfId="0" applyNumberFormat="1" applyFill="1" applyBorder="1" applyAlignment="1">
      <alignment wrapText="1"/>
    </xf>
    <xf numFmtId="164" fontId="0" fillId="5" borderId="2" xfId="0" applyNumberForma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5" fillId="0" borderId="0" xfId="0" applyFont="1" applyBorder="1"/>
    <xf numFmtId="0" fontId="2" fillId="3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left" wrapText="1"/>
    </xf>
    <xf numFmtId="3" fontId="0" fillId="4" borderId="2" xfId="0" applyNumberFormat="1" applyFill="1" applyBorder="1" applyAlignment="1">
      <alignment horizontal="center" wrapText="1"/>
    </xf>
    <xf numFmtId="164" fontId="0" fillId="5" borderId="2" xfId="0" applyNumberFormat="1" applyFill="1" applyBorder="1" applyAlignment="1">
      <alignment horizontal="center" wrapText="1"/>
    </xf>
    <xf numFmtId="0" fontId="0" fillId="7" borderId="2" xfId="0" applyFill="1" applyBorder="1" applyAlignment="1">
      <alignment horizontal="left" wrapText="1"/>
    </xf>
    <xf numFmtId="0" fontId="3" fillId="8" borderId="2" xfId="0" applyFont="1" applyFill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3" fillId="9" borderId="2" xfId="0" applyFont="1" applyFill="1" applyBorder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3" fillId="10" borderId="2" xfId="0" applyFont="1" applyFill="1" applyBorder="1" applyAlignment="1">
      <alignment horizontal="left" wrapText="1"/>
    </xf>
    <xf numFmtId="0" fontId="0" fillId="10" borderId="2" xfId="0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3" fontId="2" fillId="3" borderId="2" xfId="0" applyNumberFormat="1" applyFont="1" applyFill="1" applyBorder="1" applyAlignment="1">
      <alignment horizontal="center" wrapText="1"/>
    </xf>
    <xf numFmtId="0" fontId="2" fillId="0" borderId="0" xfId="0" applyFont="1" applyBorder="1"/>
    <xf numFmtId="0" fontId="6" fillId="0" borderId="3" xfId="0" applyFont="1" applyBorder="1"/>
    <xf numFmtId="0" fontId="5" fillId="0" borderId="3" xfId="0" applyFont="1" applyBorder="1"/>
    <xf numFmtId="3" fontId="6" fillId="4" borderId="2" xfId="0" applyNumberFormat="1" applyFont="1" applyFill="1" applyBorder="1" applyAlignment="1">
      <alignment horizontal="center" wrapText="1"/>
    </xf>
    <xf numFmtId="3" fontId="6" fillId="6" borderId="2" xfId="0" applyNumberFormat="1" applyFont="1" applyFill="1" applyBorder="1" applyAlignment="1">
      <alignment horizontal="center" wrapText="1"/>
    </xf>
    <xf numFmtId="164" fontId="6" fillId="5" borderId="2" xfId="0" applyNumberFormat="1" applyFont="1" applyFill="1" applyBorder="1" applyAlignment="1">
      <alignment horizontal="center" wrapText="1"/>
    </xf>
    <xf numFmtId="3" fontId="6" fillId="11" borderId="2" xfId="0" applyNumberFormat="1" applyFont="1" applyFill="1" applyBorder="1" applyAlignment="1">
      <alignment horizontal="center" wrapText="1"/>
    </xf>
    <xf numFmtId="3" fontId="6" fillId="12" borderId="2" xfId="0" applyNumberFormat="1" applyFont="1" applyFill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left" wrapText="1"/>
    </xf>
    <xf numFmtId="3" fontId="6" fillId="0" borderId="3" xfId="0" applyNumberFormat="1" applyFont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3" fontId="0" fillId="6" borderId="2" xfId="0" applyNumberFormat="1" applyFill="1" applyBorder="1" applyAlignment="1">
      <alignment horizontal="center" wrapText="1"/>
    </xf>
    <xf numFmtId="3" fontId="0" fillId="11" borderId="2" xfId="0" applyNumberFormat="1" applyFill="1" applyBorder="1" applyAlignment="1">
      <alignment horizontal="center" wrapText="1"/>
    </xf>
    <xf numFmtId="3" fontId="0" fillId="12" borderId="2" xfId="0" applyNumberFormat="1" applyFill="1" applyBorder="1" applyAlignment="1">
      <alignment horizontal="center" wrapText="1"/>
    </xf>
    <xf numFmtId="0" fontId="7" fillId="0" borderId="0" xfId="0" applyFont="1" applyBorder="1"/>
    <xf numFmtId="0" fontId="8" fillId="0" borderId="0" xfId="0" applyFont="1" applyBorder="1"/>
    <xf numFmtId="0" fontId="8" fillId="0" borderId="3" xfId="0" applyFont="1" applyBorder="1"/>
    <xf numFmtId="0" fontId="10" fillId="0" borderId="0" xfId="0" applyFont="1" applyBorder="1"/>
    <xf numFmtId="0" fontId="11" fillId="3" borderId="2" xfId="0" applyFont="1" applyFill="1" applyBorder="1" applyAlignment="1">
      <alignment wrapText="1"/>
    </xf>
    <xf numFmtId="0" fontId="10" fillId="0" borderId="3" xfId="0" applyFont="1" applyBorder="1"/>
    <xf numFmtId="0" fontId="12" fillId="0" borderId="4" xfId="0" applyFont="1" applyBorder="1" applyAlignment="1">
      <alignment wrapText="1"/>
    </xf>
    <xf numFmtId="3" fontId="0" fillId="4" borderId="4" xfId="0" applyNumberFormat="1" applyFill="1" applyBorder="1" applyAlignment="1">
      <alignment wrapText="1"/>
    </xf>
    <xf numFmtId="0" fontId="0" fillId="0" borderId="4" xfId="0" applyBorder="1" applyAlignment="1">
      <alignment wrapText="1"/>
    </xf>
    <xf numFmtId="0" fontId="14" fillId="0" borderId="0" xfId="0" applyFont="1" applyBorder="1"/>
    <xf numFmtId="0" fontId="13" fillId="0" borderId="12" xfId="0" applyFont="1"/>
    <xf numFmtId="0" fontId="14" fillId="0" borderId="12" xfId="0" applyFont="1"/>
    <xf numFmtId="0" fontId="1" fillId="2" borderId="13" xfId="0" applyFont="1" applyFill="1" applyBorder="1" applyAlignment="1">
      <alignment horizontal="center" vertical="top"/>
    </xf>
    <xf numFmtId="0" fontId="0" fillId="0" borderId="12" xfId="0"/>
    <xf numFmtId="0" fontId="9" fillId="14" borderId="4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13" borderId="4" xfId="0" applyFont="1" applyFill="1" applyBorder="1" applyAlignment="1">
      <alignment horizontal="left" vertical="top" wrapText="1"/>
    </xf>
    <xf numFmtId="0" fontId="15" fillId="5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6"/>
  <sheetViews>
    <sheetView tabSelected="1" workbookViewId="0">
      <selection activeCell="K1" sqref="K1:K1048576"/>
    </sheetView>
  </sheetViews>
  <sheetFormatPr baseColWidth="10" defaultColWidth="8.83203125" defaultRowHeight="15" x14ac:dyDescent="0.2"/>
  <cols>
    <col min="9" max="9" width="8.83203125" customWidth="1"/>
    <col min="10" max="10" width="13" customWidth="1"/>
    <col min="11" max="11" width="8.83203125" style="59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8" t="s">
        <v>10</v>
      </c>
      <c r="L1" s="59"/>
    </row>
    <row r="2" spans="1:12" x14ac:dyDescent="0.2">
      <c r="A2" t="s">
        <v>11</v>
      </c>
      <c r="B2">
        <v>2017</v>
      </c>
      <c r="C2" t="s">
        <v>12</v>
      </c>
      <c r="D2">
        <v>84</v>
      </c>
      <c r="E2" t="s">
        <v>13</v>
      </c>
      <c r="F2" t="s">
        <v>14</v>
      </c>
      <c r="G2" t="s">
        <v>15</v>
      </c>
      <c r="H2">
        <v>2.3542659706024129</v>
      </c>
      <c r="I2">
        <v>4</v>
      </c>
      <c r="J2" t="s">
        <v>16</v>
      </c>
      <c r="K2" s="59" t="s">
        <v>17</v>
      </c>
    </row>
    <row r="3" spans="1:12" x14ac:dyDescent="0.2">
      <c r="A3" t="s">
        <v>18</v>
      </c>
      <c r="B3">
        <v>2017</v>
      </c>
      <c r="C3" t="s">
        <v>19</v>
      </c>
      <c r="D3">
        <v>73</v>
      </c>
      <c r="E3" t="s">
        <v>20</v>
      </c>
      <c r="F3" t="s">
        <v>21</v>
      </c>
      <c r="G3" t="s">
        <v>22</v>
      </c>
      <c r="H3">
        <v>-8.1426320324471585E-2</v>
      </c>
      <c r="I3">
        <v>3</v>
      </c>
      <c r="J3" t="s">
        <v>23</v>
      </c>
      <c r="K3" s="59" t="s">
        <v>16</v>
      </c>
    </row>
    <row r="4" spans="1:12" x14ac:dyDescent="0.2">
      <c r="A4" t="s">
        <v>24</v>
      </c>
      <c r="B4">
        <v>2017</v>
      </c>
      <c r="C4" t="s">
        <v>12</v>
      </c>
      <c r="D4">
        <v>73</v>
      </c>
      <c r="E4" t="s">
        <v>25</v>
      </c>
      <c r="F4" t="s">
        <v>26</v>
      </c>
      <c r="G4" t="s">
        <v>15</v>
      </c>
      <c r="H4">
        <v>-0.78015240505470107</v>
      </c>
      <c r="I4">
        <v>2</v>
      </c>
      <c r="J4" t="s">
        <v>16</v>
      </c>
      <c r="K4" s="59" t="s">
        <v>23</v>
      </c>
    </row>
    <row r="5" spans="1:12" x14ac:dyDescent="0.2">
      <c r="A5" t="s">
        <v>27</v>
      </c>
      <c r="B5">
        <v>2017</v>
      </c>
      <c r="C5" t="s">
        <v>19</v>
      </c>
      <c r="D5">
        <v>153</v>
      </c>
      <c r="E5" t="s">
        <v>20</v>
      </c>
      <c r="F5" t="s">
        <v>21</v>
      </c>
      <c r="G5" t="s">
        <v>15</v>
      </c>
      <c r="H5">
        <v>-0.38180005576615261</v>
      </c>
      <c r="I5">
        <v>3</v>
      </c>
      <c r="J5" t="s">
        <v>16</v>
      </c>
      <c r="K5" s="59" t="s">
        <v>23</v>
      </c>
    </row>
    <row r="6" spans="1:12" x14ac:dyDescent="0.2">
      <c r="A6" t="s">
        <v>28</v>
      </c>
      <c r="B6">
        <v>2016</v>
      </c>
      <c r="C6" t="s">
        <v>19</v>
      </c>
      <c r="D6">
        <v>87</v>
      </c>
      <c r="E6" t="s">
        <v>29</v>
      </c>
      <c r="F6" t="s">
        <v>30</v>
      </c>
      <c r="G6" t="s">
        <v>15</v>
      </c>
      <c r="H6">
        <v>0.12592812906255571</v>
      </c>
      <c r="I6">
        <v>4</v>
      </c>
      <c r="J6" t="s">
        <v>23</v>
      </c>
      <c r="K6" s="59" t="s">
        <v>16</v>
      </c>
    </row>
    <row r="7" spans="1:12" x14ac:dyDescent="0.2">
      <c r="A7" t="s">
        <v>31</v>
      </c>
      <c r="B7">
        <v>2017</v>
      </c>
      <c r="C7" t="s">
        <v>19</v>
      </c>
      <c r="D7">
        <v>61</v>
      </c>
      <c r="E7" t="s">
        <v>25</v>
      </c>
      <c r="F7" t="s">
        <v>26</v>
      </c>
      <c r="G7" t="s">
        <v>15</v>
      </c>
      <c r="H7">
        <v>1.207133472294913</v>
      </c>
      <c r="I7">
        <v>2</v>
      </c>
      <c r="J7" t="s">
        <v>23</v>
      </c>
      <c r="K7" s="59" t="s">
        <v>16</v>
      </c>
    </row>
    <row r="8" spans="1:12" x14ac:dyDescent="0.2">
      <c r="A8" t="s">
        <v>32</v>
      </c>
      <c r="B8">
        <v>2017</v>
      </c>
      <c r="C8" t="s">
        <v>33</v>
      </c>
      <c r="D8">
        <v>179</v>
      </c>
      <c r="E8" t="s">
        <v>25</v>
      </c>
      <c r="F8" t="s">
        <v>26</v>
      </c>
      <c r="G8" t="s">
        <v>34</v>
      </c>
      <c r="H8">
        <v>-0.44312731474394779</v>
      </c>
      <c r="I8">
        <v>2</v>
      </c>
      <c r="J8" t="s">
        <v>16</v>
      </c>
      <c r="K8" s="59" t="s">
        <v>4376</v>
      </c>
    </row>
    <row r="9" spans="1:12" x14ac:dyDescent="0.2">
      <c r="A9" t="s">
        <v>35</v>
      </c>
      <c r="B9">
        <v>2017</v>
      </c>
      <c r="C9" t="s">
        <v>33</v>
      </c>
      <c r="D9">
        <v>95</v>
      </c>
      <c r="E9" t="s">
        <v>20</v>
      </c>
      <c r="F9" t="s">
        <v>21</v>
      </c>
      <c r="G9" t="s">
        <v>36</v>
      </c>
      <c r="H9">
        <v>-0.32653280261620232</v>
      </c>
      <c r="I9">
        <v>3</v>
      </c>
      <c r="J9" t="s">
        <v>16</v>
      </c>
      <c r="K9" s="59" t="s">
        <v>16</v>
      </c>
    </row>
    <row r="10" spans="1:12" x14ac:dyDescent="0.2">
      <c r="A10" t="s">
        <v>37</v>
      </c>
      <c r="B10">
        <v>2017</v>
      </c>
      <c r="C10" t="s">
        <v>19</v>
      </c>
      <c r="D10">
        <v>52</v>
      </c>
      <c r="E10" t="s">
        <v>38</v>
      </c>
      <c r="F10" t="s">
        <v>39</v>
      </c>
      <c r="G10" t="s">
        <v>15</v>
      </c>
      <c r="H10">
        <v>-0.75255121231373412</v>
      </c>
      <c r="I10">
        <v>3</v>
      </c>
      <c r="J10" t="s">
        <v>23</v>
      </c>
      <c r="K10" s="59" t="s">
        <v>17</v>
      </c>
    </row>
    <row r="11" spans="1:12" x14ac:dyDescent="0.2">
      <c r="A11" t="s">
        <v>40</v>
      </c>
      <c r="B11">
        <v>2018</v>
      </c>
      <c r="C11" t="s">
        <v>12</v>
      </c>
      <c r="D11">
        <v>163</v>
      </c>
      <c r="E11" t="s">
        <v>20</v>
      </c>
      <c r="F11" t="s">
        <v>21</v>
      </c>
      <c r="G11" t="s">
        <v>41</v>
      </c>
      <c r="H11">
        <v>0.61922806691231846</v>
      </c>
      <c r="I11">
        <v>3</v>
      </c>
      <c r="J11" t="s">
        <v>23</v>
      </c>
      <c r="K11" s="59" t="s">
        <v>23</v>
      </c>
    </row>
    <row r="12" spans="1:12" x14ac:dyDescent="0.2">
      <c r="A12" t="s">
        <v>42</v>
      </c>
      <c r="B12">
        <v>2017</v>
      </c>
      <c r="C12" t="s">
        <v>12</v>
      </c>
      <c r="D12">
        <v>151</v>
      </c>
      <c r="E12" t="s">
        <v>20</v>
      </c>
      <c r="F12" t="s">
        <v>21</v>
      </c>
      <c r="G12" t="s">
        <v>15</v>
      </c>
      <c r="H12">
        <v>-8.1426320324471585E-2</v>
      </c>
      <c r="I12">
        <v>3</v>
      </c>
      <c r="J12" t="s">
        <v>16</v>
      </c>
      <c r="K12" s="59" t="s">
        <v>17</v>
      </c>
    </row>
    <row r="13" spans="1:12" x14ac:dyDescent="0.2">
      <c r="A13" t="s">
        <v>43</v>
      </c>
      <c r="B13">
        <v>2017</v>
      </c>
      <c r="C13" t="s">
        <v>12</v>
      </c>
      <c r="D13">
        <v>49</v>
      </c>
      <c r="E13" t="s">
        <v>20</v>
      </c>
      <c r="F13" t="s">
        <v>21</v>
      </c>
      <c r="G13" t="s">
        <v>44</v>
      </c>
      <c r="H13">
        <v>0.2272911299905892</v>
      </c>
      <c r="I13">
        <v>3</v>
      </c>
      <c r="J13" t="s">
        <v>17</v>
      </c>
      <c r="K13" s="59" t="s">
        <v>23</v>
      </c>
    </row>
    <row r="14" spans="1:12" x14ac:dyDescent="0.2">
      <c r="A14" t="s">
        <v>45</v>
      </c>
      <c r="B14">
        <v>2017</v>
      </c>
      <c r="C14" t="s">
        <v>33</v>
      </c>
      <c r="D14">
        <v>84</v>
      </c>
      <c r="E14" t="s">
        <v>20</v>
      </c>
      <c r="F14" t="s">
        <v>21</v>
      </c>
      <c r="G14" t="s">
        <v>41</v>
      </c>
      <c r="H14">
        <v>-1.174255511533316</v>
      </c>
      <c r="I14">
        <v>3</v>
      </c>
      <c r="J14" t="s">
        <v>23</v>
      </c>
      <c r="K14" s="59" t="s">
        <v>23</v>
      </c>
    </row>
    <row r="15" spans="1:12" x14ac:dyDescent="0.2">
      <c r="A15" t="s">
        <v>46</v>
      </c>
      <c r="B15">
        <v>2018</v>
      </c>
      <c r="C15" t="s">
        <v>33</v>
      </c>
      <c r="D15">
        <v>60</v>
      </c>
      <c r="E15" t="s">
        <v>20</v>
      </c>
      <c r="F15" t="s">
        <v>21</v>
      </c>
      <c r="G15" t="s">
        <v>22</v>
      </c>
      <c r="H15">
        <v>0.42325959845145378</v>
      </c>
      <c r="I15">
        <v>3</v>
      </c>
      <c r="J15" t="s">
        <v>23</v>
      </c>
      <c r="K15" s="59" t="s">
        <v>4376</v>
      </c>
    </row>
    <row r="16" spans="1:12" x14ac:dyDescent="0.2">
      <c r="A16" t="s">
        <v>47</v>
      </c>
      <c r="B16">
        <v>2018</v>
      </c>
      <c r="C16" t="s">
        <v>19</v>
      </c>
      <c r="D16">
        <v>54</v>
      </c>
      <c r="E16" t="s">
        <v>29</v>
      </c>
      <c r="F16" t="s">
        <v>30</v>
      </c>
      <c r="G16" t="s">
        <v>48</v>
      </c>
      <c r="H16">
        <v>0.30266361786015239</v>
      </c>
      <c r="I16">
        <v>4</v>
      </c>
      <c r="J16" t="s">
        <v>23</v>
      </c>
      <c r="K16" s="59" t="s">
        <v>23</v>
      </c>
    </row>
    <row r="17" spans="1:11" x14ac:dyDescent="0.2">
      <c r="A17" t="s">
        <v>49</v>
      </c>
      <c r="B17">
        <v>2018</v>
      </c>
      <c r="C17" t="s">
        <v>19</v>
      </c>
      <c r="D17">
        <v>70</v>
      </c>
      <c r="E17" t="s">
        <v>20</v>
      </c>
      <c r="F17" t="s">
        <v>21</v>
      </c>
      <c r="G17" t="s">
        <v>15</v>
      </c>
      <c r="H17">
        <v>0.53524158042909076</v>
      </c>
      <c r="I17">
        <v>3</v>
      </c>
      <c r="J17" t="s">
        <v>16</v>
      </c>
      <c r="K17" s="59" t="s">
        <v>16</v>
      </c>
    </row>
    <row r="18" spans="1:11" x14ac:dyDescent="0.2">
      <c r="A18" t="s">
        <v>50</v>
      </c>
      <c r="B18">
        <v>2018</v>
      </c>
      <c r="C18" t="s">
        <v>33</v>
      </c>
      <c r="D18">
        <v>66</v>
      </c>
      <c r="E18" t="s">
        <v>13</v>
      </c>
      <c r="F18" t="s">
        <v>14</v>
      </c>
      <c r="G18" t="s">
        <v>15</v>
      </c>
      <c r="H18">
        <v>-0.24001829480070361</v>
      </c>
      <c r="I18">
        <v>4</v>
      </c>
      <c r="J18" t="s">
        <v>23</v>
      </c>
      <c r="K18" s="59" t="s">
        <v>4376</v>
      </c>
    </row>
    <row r="19" spans="1:11" x14ac:dyDescent="0.2">
      <c r="A19" t="s">
        <v>51</v>
      </c>
      <c r="B19">
        <v>2017</v>
      </c>
      <c r="C19" t="s">
        <v>33</v>
      </c>
      <c r="D19">
        <v>70</v>
      </c>
      <c r="E19" t="s">
        <v>13</v>
      </c>
      <c r="F19" t="s">
        <v>14</v>
      </c>
      <c r="G19" t="s">
        <v>15</v>
      </c>
      <c r="H19">
        <v>0.52550401677886149</v>
      </c>
      <c r="I19">
        <v>4</v>
      </c>
      <c r="J19" t="s">
        <v>17</v>
      </c>
      <c r="K19" s="59" t="s">
        <v>23</v>
      </c>
    </row>
    <row r="20" spans="1:11" x14ac:dyDescent="0.2">
      <c r="A20" t="s">
        <v>52</v>
      </c>
      <c r="B20">
        <v>2016</v>
      </c>
      <c r="C20" t="s">
        <v>33</v>
      </c>
      <c r="D20">
        <v>107</v>
      </c>
      <c r="E20" t="s">
        <v>53</v>
      </c>
      <c r="F20" t="s">
        <v>54</v>
      </c>
      <c r="G20" t="s">
        <v>15</v>
      </c>
      <c r="H20">
        <v>-2.895383998287675</v>
      </c>
      <c r="I20">
        <v>3</v>
      </c>
      <c r="J20" t="s">
        <v>17</v>
      </c>
      <c r="K20" s="59" t="s">
        <v>4376</v>
      </c>
    </row>
    <row r="21" spans="1:11" x14ac:dyDescent="0.2">
      <c r="A21" t="s">
        <v>55</v>
      </c>
      <c r="B21">
        <v>2017</v>
      </c>
      <c r="C21" t="s">
        <v>33</v>
      </c>
      <c r="D21">
        <v>164</v>
      </c>
      <c r="E21" t="s">
        <v>20</v>
      </c>
      <c r="F21" t="s">
        <v>21</v>
      </c>
      <c r="G21" t="s">
        <v>15</v>
      </c>
      <c r="H21">
        <v>-0.27187383684368882</v>
      </c>
      <c r="I21">
        <v>3</v>
      </c>
      <c r="J21" t="s">
        <v>16</v>
      </c>
      <c r="K21" s="59" t="s">
        <v>4376</v>
      </c>
    </row>
    <row r="22" spans="1:11" x14ac:dyDescent="0.2">
      <c r="A22" t="s">
        <v>56</v>
      </c>
      <c r="B22">
        <v>2017</v>
      </c>
      <c r="C22" t="s">
        <v>33</v>
      </c>
      <c r="D22">
        <v>59</v>
      </c>
      <c r="E22" t="s">
        <v>20</v>
      </c>
      <c r="F22" t="s">
        <v>21</v>
      </c>
      <c r="G22" t="s">
        <v>57</v>
      </c>
      <c r="H22">
        <v>-2.7786658862311491</v>
      </c>
      <c r="I22">
        <v>3</v>
      </c>
      <c r="J22" t="s">
        <v>23</v>
      </c>
      <c r="K22" s="59" t="s">
        <v>4376</v>
      </c>
    </row>
    <row r="23" spans="1:11" x14ac:dyDescent="0.2">
      <c r="A23" t="s">
        <v>58</v>
      </c>
      <c r="B23">
        <v>2019</v>
      </c>
      <c r="C23" t="s">
        <v>12</v>
      </c>
      <c r="D23">
        <v>52</v>
      </c>
      <c r="E23" t="s">
        <v>13</v>
      </c>
      <c r="F23" t="s">
        <v>14</v>
      </c>
      <c r="G23" t="s">
        <v>15</v>
      </c>
      <c r="H23">
        <v>1.207133472294913</v>
      </c>
      <c r="I23">
        <v>4</v>
      </c>
      <c r="J23" t="s">
        <v>23</v>
      </c>
      <c r="K23" s="59" t="s">
        <v>23</v>
      </c>
    </row>
    <row r="24" spans="1:11" x14ac:dyDescent="0.2">
      <c r="A24" t="s">
        <v>59</v>
      </c>
      <c r="B24">
        <v>2017</v>
      </c>
      <c r="C24" t="s">
        <v>19</v>
      </c>
      <c r="D24">
        <v>148</v>
      </c>
      <c r="E24" t="s">
        <v>29</v>
      </c>
      <c r="F24" t="s">
        <v>30</v>
      </c>
      <c r="G24" t="s">
        <v>15</v>
      </c>
      <c r="H24">
        <v>0.54933721452417794</v>
      </c>
      <c r="I24">
        <v>4</v>
      </c>
      <c r="J24" t="s">
        <v>16</v>
      </c>
      <c r="K24" s="59" t="s">
        <v>23</v>
      </c>
    </row>
    <row r="25" spans="1:11" x14ac:dyDescent="0.2">
      <c r="A25" t="s">
        <v>60</v>
      </c>
      <c r="B25">
        <v>2024</v>
      </c>
      <c r="C25" t="s">
        <v>33</v>
      </c>
      <c r="D25">
        <v>297</v>
      </c>
      <c r="E25" t="s">
        <v>25</v>
      </c>
      <c r="F25" t="s">
        <v>26</v>
      </c>
      <c r="G25" t="s">
        <v>48</v>
      </c>
      <c r="H25">
        <v>0.3625555610831051</v>
      </c>
      <c r="I25">
        <v>2</v>
      </c>
      <c r="J25" t="s">
        <v>17</v>
      </c>
      <c r="K25" s="59" t="s">
        <v>4376</v>
      </c>
    </row>
    <row r="26" spans="1:11" x14ac:dyDescent="0.2">
      <c r="A26" t="s">
        <v>61</v>
      </c>
      <c r="B26">
        <v>2022</v>
      </c>
      <c r="C26" t="s">
        <v>19</v>
      </c>
      <c r="D26">
        <v>353</v>
      </c>
      <c r="E26" t="s">
        <v>53</v>
      </c>
      <c r="F26" t="s">
        <v>54</v>
      </c>
      <c r="G26" t="s">
        <v>15</v>
      </c>
      <c r="H26">
        <v>0.46058692577733279</v>
      </c>
      <c r="I26">
        <v>3</v>
      </c>
      <c r="J26" t="s">
        <v>16</v>
      </c>
      <c r="K26" s="59" t="s">
        <v>17</v>
      </c>
    </row>
    <row r="27" spans="1:11" x14ac:dyDescent="0.2">
      <c r="A27" t="s">
        <v>62</v>
      </c>
      <c r="B27">
        <v>2017</v>
      </c>
      <c r="C27" t="s">
        <v>12</v>
      </c>
      <c r="D27">
        <v>153</v>
      </c>
      <c r="E27" t="s">
        <v>20</v>
      </c>
      <c r="F27" t="s">
        <v>21</v>
      </c>
      <c r="G27" t="s">
        <v>15</v>
      </c>
      <c r="H27">
        <v>-6.4013350153939511E-2</v>
      </c>
      <c r="I27">
        <v>3</v>
      </c>
      <c r="J27" t="s">
        <v>16</v>
      </c>
      <c r="K27" s="59" t="s">
        <v>17</v>
      </c>
    </row>
    <row r="28" spans="1:11" x14ac:dyDescent="0.2">
      <c r="A28" t="s">
        <v>63</v>
      </c>
      <c r="B28">
        <v>2018</v>
      </c>
      <c r="C28" t="s">
        <v>19</v>
      </c>
      <c r="D28">
        <v>55</v>
      </c>
      <c r="E28" t="s">
        <v>29</v>
      </c>
      <c r="F28" t="s">
        <v>30</v>
      </c>
      <c r="G28" t="s">
        <v>48</v>
      </c>
      <c r="H28">
        <v>0.31972908681175177</v>
      </c>
      <c r="I28">
        <v>4</v>
      </c>
      <c r="J28" t="s">
        <v>23</v>
      </c>
      <c r="K28" s="59" t="s">
        <v>23</v>
      </c>
    </row>
    <row r="29" spans="1:11" x14ac:dyDescent="0.2">
      <c r="A29" t="s">
        <v>64</v>
      </c>
      <c r="B29">
        <v>2018</v>
      </c>
      <c r="C29" t="s">
        <v>19</v>
      </c>
      <c r="D29">
        <v>149</v>
      </c>
      <c r="E29" t="s">
        <v>20</v>
      </c>
      <c r="F29" t="s">
        <v>21</v>
      </c>
      <c r="G29" t="s">
        <v>15</v>
      </c>
      <c r="H29">
        <v>-8.1426320324471585E-2</v>
      </c>
      <c r="I29">
        <v>3</v>
      </c>
      <c r="J29" t="s">
        <v>23</v>
      </c>
      <c r="K29" s="59" t="s">
        <v>16</v>
      </c>
    </row>
    <row r="30" spans="1:11" x14ac:dyDescent="0.2">
      <c r="A30" t="s">
        <v>65</v>
      </c>
      <c r="B30">
        <v>2017</v>
      </c>
      <c r="C30" t="s">
        <v>19</v>
      </c>
      <c r="D30">
        <v>63</v>
      </c>
      <c r="E30" t="s">
        <v>20</v>
      </c>
      <c r="F30" t="s">
        <v>21</v>
      </c>
      <c r="G30" t="s">
        <v>15</v>
      </c>
      <c r="H30">
        <v>-0.28595962074024678</v>
      </c>
      <c r="I30">
        <v>3</v>
      </c>
      <c r="J30" t="s">
        <v>23</v>
      </c>
      <c r="K30" s="59" t="s">
        <v>17</v>
      </c>
    </row>
    <row r="31" spans="1:11" x14ac:dyDescent="0.2">
      <c r="A31" t="s">
        <v>66</v>
      </c>
      <c r="B31">
        <v>2017</v>
      </c>
      <c r="C31" t="s">
        <v>19</v>
      </c>
      <c r="D31">
        <v>151</v>
      </c>
      <c r="E31" t="s">
        <v>20</v>
      </c>
      <c r="F31" t="s">
        <v>21</v>
      </c>
      <c r="G31" t="s">
        <v>15</v>
      </c>
      <c r="H31">
        <v>-8.1426320324471585E-2</v>
      </c>
      <c r="I31">
        <v>3</v>
      </c>
      <c r="J31" t="s">
        <v>16</v>
      </c>
      <c r="K31" s="59" t="s">
        <v>17</v>
      </c>
    </row>
    <row r="32" spans="1:11" x14ac:dyDescent="0.2">
      <c r="A32" t="s">
        <v>67</v>
      </c>
      <c r="B32">
        <v>2017</v>
      </c>
      <c r="C32" t="s">
        <v>19</v>
      </c>
      <c r="D32">
        <v>151</v>
      </c>
      <c r="E32" t="s">
        <v>20</v>
      </c>
      <c r="F32" t="s">
        <v>21</v>
      </c>
      <c r="G32" t="s">
        <v>15</v>
      </c>
      <c r="H32">
        <v>-8.1426320324471585E-2</v>
      </c>
      <c r="I32">
        <v>3</v>
      </c>
      <c r="J32" t="s">
        <v>16</v>
      </c>
      <c r="K32" s="59" t="s">
        <v>23</v>
      </c>
    </row>
    <row r="33" spans="1:11" x14ac:dyDescent="0.2">
      <c r="A33" t="s">
        <v>68</v>
      </c>
      <c r="B33">
        <v>2018</v>
      </c>
      <c r="C33" t="s">
        <v>33</v>
      </c>
      <c r="D33">
        <v>97</v>
      </c>
      <c r="E33" t="s">
        <v>38</v>
      </c>
      <c r="F33" t="s">
        <v>39</v>
      </c>
      <c r="G33" t="s">
        <v>15</v>
      </c>
      <c r="H33">
        <v>0.72226303486596899</v>
      </c>
      <c r="I33">
        <v>3</v>
      </c>
      <c r="J33" t="s">
        <v>23</v>
      </c>
      <c r="K33" s="59" t="s">
        <v>4376</v>
      </c>
    </row>
    <row r="34" spans="1:11" x14ac:dyDescent="0.2">
      <c r="A34" t="s">
        <v>69</v>
      </c>
      <c r="B34">
        <v>2017</v>
      </c>
      <c r="C34" t="s">
        <v>19</v>
      </c>
      <c r="D34">
        <v>126</v>
      </c>
      <c r="E34" t="s">
        <v>13</v>
      </c>
      <c r="F34" t="s">
        <v>14</v>
      </c>
      <c r="G34" t="s">
        <v>48</v>
      </c>
      <c r="H34">
        <v>1.5895109717307461</v>
      </c>
      <c r="I34">
        <v>4</v>
      </c>
      <c r="J34" t="s">
        <v>23</v>
      </c>
      <c r="K34" s="59" t="s">
        <v>16</v>
      </c>
    </row>
    <row r="35" spans="1:11" x14ac:dyDescent="0.2">
      <c r="A35" t="s">
        <v>70</v>
      </c>
      <c r="B35">
        <v>2016</v>
      </c>
      <c r="C35" t="s">
        <v>33</v>
      </c>
      <c r="D35">
        <v>88</v>
      </c>
      <c r="E35" t="s">
        <v>38</v>
      </c>
      <c r="F35" t="s">
        <v>39</v>
      </c>
      <c r="G35" t="s">
        <v>15</v>
      </c>
      <c r="H35">
        <v>0.1382145534174688</v>
      </c>
      <c r="I35">
        <v>3</v>
      </c>
      <c r="J35" t="s">
        <v>23</v>
      </c>
      <c r="K35" s="59" t="s">
        <v>16</v>
      </c>
    </row>
    <row r="36" spans="1:11" x14ac:dyDescent="0.2">
      <c r="A36" t="s">
        <v>71</v>
      </c>
      <c r="B36">
        <v>2018</v>
      </c>
      <c r="C36" t="s">
        <v>12</v>
      </c>
      <c r="D36">
        <v>207</v>
      </c>
      <c r="E36" t="s">
        <v>13</v>
      </c>
      <c r="F36" t="s">
        <v>14</v>
      </c>
      <c r="G36" t="s">
        <v>15</v>
      </c>
      <c r="H36">
        <v>1.6870562521990711</v>
      </c>
      <c r="I36">
        <v>4</v>
      </c>
      <c r="J36" t="s">
        <v>16</v>
      </c>
      <c r="K36" s="59" t="s">
        <v>4376</v>
      </c>
    </row>
    <row r="37" spans="1:11" x14ac:dyDescent="0.2">
      <c r="A37" t="s">
        <v>72</v>
      </c>
      <c r="B37">
        <v>2017</v>
      </c>
      <c r="C37" t="s">
        <v>12</v>
      </c>
      <c r="D37">
        <v>153</v>
      </c>
      <c r="E37" t="s">
        <v>20</v>
      </c>
      <c r="F37" t="s">
        <v>21</v>
      </c>
      <c r="G37" t="s">
        <v>15</v>
      </c>
      <c r="H37">
        <v>0.25377335545827351</v>
      </c>
      <c r="I37">
        <v>3</v>
      </c>
      <c r="J37" t="s">
        <v>16</v>
      </c>
      <c r="K37" s="59" t="s">
        <v>4376</v>
      </c>
    </row>
    <row r="38" spans="1:11" x14ac:dyDescent="0.2">
      <c r="A38" t="s">
        <v>73</v>
      </c>
      <c r="B38">
        <v>2017</v>
      </c>
      <c r="C38" t="s">
        <v>12</v>
      </c>
      <c r="D38">
        <v>154</v>
      </c>
      <c r="E38" t="s">
        <v>20</v>
      </c>
      <c r="F38" t="s">
        <v>21</v>
      </c>
      <c r="G38" t="s">
        <v>15</v>
      </c>
      <c r="H38">
        <v>0.26017174550415711</v>
      </c>
      <c r="I38">
        <v>3</v>
      </c>
      <c r="J38" t="s">
        <v>16</v>
      </c>
      <c r="K38" s="59" t="s">
        <v>23</v>
      </c>
    </row>
    <row r="39" spans="1:11" x14ac:dyDescent="0.2">
      <c r="A39" t="s">
        <v>74</v>
      </c>
      <c r="B39">
        <v>2018</v>
      </c>
      <c r="C39" t="s">
        <v>19</v>
      </c>
      <c r="D39">
        <v>56</v>
      </c>
      <c r="E39" t="s">
        <v>38</v>
      </c>
      <c r="F39" t="s">
        <v>39</v>
      </c>
      <c r="G39" t="s">
        <v>15</v>
      </c>
      <c r="H39">
        <v>0.33616250135773618</v>
      </c>
      <c r="I39">
        <v>3</v>
      </c>
      <c r="J39" t="s">
        <v>23</v>
      </c>
      <c r="K39" s="59" t="s">
        <v>23</v>
      </c>
    </row>
    <row r="40" spans="1:11" x14ac:dyDescent="0.2">
      <c r="A40" t="s">
        <v>75</v>
      </c>
      <c r="B40">
        <v>2016</v>
      </c>
      <c r="C40" t="s">
        <v>19</v>
      </c>
      <c r="D40">
        <v>195</v>
      </c>
      <c r="E40" t="s">
        <v>25</v>
      </c>
      <c r="F40" t="s">
        <v>26</v>
      </c>
      <c r="G40" t="s">
        <v>22</v>
      </c>
      <c r="H40">
        <v>-0.64200489677170802</v>
      </c>
      <c r="I40">
        <v>2</v>
      </c>
      <c r="J40" t="s">
        <v>23</v>
      </c>
      <c r="K40" s="59" t="s">
        <v>23</v>
      </c>
    </row>
    <row r="41" spans="1:11" x14ac:dyDescent="0.2">
      <c r="A41" t="s">
        <v>76</v>
      </c>
      <c r="B41">
        <v>2017</v>
      </c>
      <c r="C41" t="s">
        <v>19</v>
      </c>
      <c r="D41">
        <v>66</v>
      </c>
      <c r="E41" t="s">
        <v>29</v>
      </c>
      <c r="F41" t="s">
        <v>30</v>
      </c>
      <c r="G41" t="s">
        <v>15</v>
      </c>
      <c r="H41">
        <v>-0.21809175287501251</v>
      </c>
      <c r="I41">
        <v>4</v>
      </c>
      <c r="J41" t="s">
        <v>23</v>
      </c>
      <c r="K41" s="59" t="s">
        <v>17</v>
      </c>
    </row>
    <row r="42" spans="1:11" x14ac:dyDescent="0.2">
      <c r="A42" t="s">
        <v>77</v>
      </c>
      <c r="B42">
        <v>2017</v>
      </c>
      <c r="C42" t="s">
        <v>33</v>
      </c>
      <c r="D42">
        <v>45</v>
      </c>
      <c r="E42" t="s">
        <v>20</v>
      </c>
      <c r="F42" t="s">
        <v>21</v>
      </c>
      <c r="G42" t="s">
        <v>36</v>
      </c>
      <c r="H42">
        <v>-2.152325987034196</v>
      </c>
      <c r="I42">
        <v>3</v>
      </c>
      <c r="J42" t="s">
        <v>23</v>
      </c>
      <c r="K42" s="59" t="s">
        <v>4376</v>
      </c>
    </row>
    <row r="43" spans="1:11" x14ac:dyDescent="0.2">
      <c r="A43" t="s">
        <v>78</v>
      </c>
      <c r="B43">
        <v>2016</v>
      </c>
      <c r="C43" t="s">
        <v>33</v>
      </c>
      <c r="D43">
        <v>73</v>
      </c>
      <c r="E43" t="s">
        <v>29</v>
      </c>
      <c r="F43" t="s">
        <v>30</v>
      </c>
      <c r="G43" t="s">
        <v>34</v>
      </c>
      <c r="H43">
        <v>-1.369986112943856</v>
      </c>
      <c r="I43">
        <v>4</v>
      </c>
      <c r="J43" t="s">
        <v>16</v>
      </c>
      <c r="K43" s="59" t="s">
        <v>4376</v>
      </c>
    </row>
    <row r="44" spans="1:11" x14ac:dyDescent="0.2">
      <c r="A44" t="s">
        <v>79</v>
      </c>
      <c r="B44">
        <v>2017</v>
      </c>
      <c r="C44" t="s">
        <v>19</v>
      </c>
      <c r="D44">
        <v>87</v>
      </c>
      <c r="E44" t="s">
        <v>20</v>
      </c>
      <c r="F44" t="s">
        <v>21</v>
      </c>
      <c r="G44" t="s">
        <v>80</v>
      </c>
      <c r="H44">
        <v>1.7604562067726479</v>
      </c>
      <c r="I44">
        <v>3</v>
      </c>
      <c r="J44" t="s">
        <v>23</v>
      </c>
      <c r="K44" s="59" t="s">
        <v>16</v>
      </c>
    </row>
    <row r="45" spans="1:11" x14ac:dyDescent="0.2">
      <c r="A45" t="s">
        <v>81</v>
      </c>
      <c r="B45">
        <v>2017</v>
      </c>
      <c r="C45" t="s">
        <v>19</v>
      </c>
      <c r="D45">
        <v>48</v>
      </c>
      <c r="E45" t="s">
        <v>20</v>
      </c>
      <c r="F45" t="s">
        <v>21</v>
      </c>
      <c r="G45" t="s">
        <v>22</v>
      </c>
      <c r="H45">
        <v>-0.93070436545997492</v>
      </c>
      <c r="I45">
        <v>3</v>
      </c>
      <c r="J45" t="s">
        <v>23</v>
      </c>
      <c r="K45" s="59" t="s">
        <v>23</v>
      </c>
    </row>
    <row r="46" spans="1:11" x14ac:dyDescent="0.2">
      <c r="A46" t="s">
        <v>82</v>
      </c>
      <c r="B46">
        <v>2017</v>
      </c>
      <c r="C46" t="s">
        <v>12</v>
      </c>
      <c r="D46">
        <v>140</v>
      </c>
      <c r="E46" t="s">
        <v>20</v>
      </c>
      <c r="F46" t="s">
        <v>21</v>
      </c>
      <c r="G46" t="s">
        <v>22</v>
      </c>
      <c r="H46">
        <v>1.779304183129554</v>
      </c>
      <c r="I46">
        <v>3</v>
      </c>
      <c r="J46" t="s">
        <v>16</v>
      </c>
      <c r="K46" s="59" t="s">
        <v>17</v>
      </c>
    </row>
    <row r="47" spans="1:11" x14ac:dyDescent="0.2">
      <c r="A47" t="s">
        <v>83</v>
      </c>
      <c r="B47">
        <v>2017</v>
      </c>
      <c r="C47" t="s">
        <v>19</v>
      </c>
      <c r="D47">
        <v>153</v>
      </c>
      <c r="E47" t="s">
        <v>20</v>
      </c>
      <c r="F47" t="s">
        <v>21</v>
      </c>
      <c r="G47" t="s">
        <v>15</v>
      </c>
      <c r="H47">
        <v>-6.4013350153939511E-2</v>
      </c>
      <c r="I47">
        <v>3</v>
      </c>
      <c r="J47" t="s">
        <v>16</v>
      </c>
      <c r="K47" s="59" t="s">
        <v>16</v>
      </c>
    </row>
    <row r="48" spans="1:11" x14ac:dyDescent="0.2">
      <c r="A48" t="s">
        <v>84</v>
      </c>
      <c r="B48">
        <v>2018</v>
      </c>
      <c r="C48" t="s">
        <v>33</v>
      </c>
      <c r="D48">
        <v>98</v>
      </c>
      <c r="E48" t="s">
        <v>38</v>
      </c>
      <c r="F48" t="s">
        <v>39</v>
      </c>
      <c r="G48" t="s">
        <v>15</v>
      </c>
      <c r="H48">
        <v>0.7272106923907542</v>
      </c>
      <c r="I48">
        <v>3</v>
      </c>
      <c r="J48" t="s">
        <v>23</v>
      </c>
      <c r="K48" s="59" t="s">
        <v>4376</v>
      </c>
    </row>
    <row r="49" spans="1:11" x14ac:dyDescent="0.2">
      <c r="A49" t="s">
        <v>85</v>
      </c>
      <c r="B49">
        <v>2018</v>
      </c>
      <c r="C49" t="s">
        <v>33</v>
      </c>
      <c r="D49">
        <v>225</v>
      </c>
      <c r="E49" t="s">
        <v>20</v>
      </c>
      <c r="F49" t="s">
        <v>21</v>
      </c>
      <c r="G49" t="s">
        <v>15</v>
      </c>
      <c r="H49">
        <v>0.13333364511209239</v>
      </c>
      <c r="I49">
        <v>3</v>
      </c>
      <c r="J49" t="s">
        <v>16</v>
      </c>
      <c r="K49" s="59" t="s">
        <v>16</v>
      </c>
    </row>
    <row r="50" spans="1:11" x14ac:dyDescent="0.2">
      <c r="A50" t="s">
        <v>86</v>
      </c>
      <c r="B50">
        <v>2017</v>
      </c>
      <c r="C50" t="s">
        <v>12</v>
      </c>
      <c r="D50">
        <v>206</v>
      </c>
      <c r="E50" t="s">
        <v>25</v>
      </c>
      <c r="F50" t="s">
        <v>26</v>
      </c>
      <c r="G50" t="s">
        <v>22</v>
      </c>
      <c r="H50">
        <v>1.207133472294913</v>
      </c>
      <c r="I50">
        <v>2</v>
      </c>
      <c r="J50" t="s">
        <v>16</v>
      </c>
      <c r="K50" s="59" t="s">
        <v>17</v>
      </c>
    </row>
    <row r="51" spans="1:11" x14ac:dyDescent="0.2">
      <c r="A51" t="s">
        <v>87</v>
      </c>
      <c r="B51">
        <v>2018</v>
      </c>
      <c r="C51" t="s">
        <v>12</v>
      </c>
      <c r="D51">
        <v>103</v>
      </c>
      <c r="E51" t="s">
        <v>20</v>
      </c>
      <c r="F51" t="s">
        <v>21</v>
      </c>
      <c r="G51" t="s">
        <v>41</v>
      </c>
      <c r="H51">
        <v>1.668235751026359</v>
      </c>
      <c r="I51">
        <v>3</v>
      </c>
      <c r="J51" t="s">
        <v>23</v>
      </c>
      <c r="K51" s="59" t="s">
        <v>17</v>
      </c>
    </row>
    <row r="52" spans="1:11" x14ac:dyDescent="0.2">
      <c r="A52" t="s">
        <v>88</v>
      </c>
      <c r="B52">
        <v>2018</v>
      </c>
      <c r="C52" t="s">
        <v>12</v>
      </c>
      <c r="D52">
        <v>164</v>
      </c>
      <c r="E52" t="s">
        <v>20</v>
      </c>
      <c r="F52" t="s">
        <v>21</v>
      </c>
      <c r="G52" t="s">
        <v>15</v>
      </c>
      <c r="H52">
        <v>0.31972908681175177</v>
      </c>
      <c r="I52">
        <v>3</v>
      </c>
      <c r="J52" t="s">
        <v>16</v>
      </c>
      <c r="K52" s="59" t="s">
        <v>16</v>
      </c>
    </row>
    <row r="53" spans="1:11" x14ac:dyDescent="0.2">
      <c r="A53" t="s">
        <v>89</v>
      </c>
      <c r="B53">
        <v>2017</v>
      </c>
      <c r="C53" t="s">
        <v>33</v>
      </c>
      <c r="D53">
        <v>44</v>
      </c>
      <c r="E53" t="s">
        <v>20</v>
      </c>
      <c r="F53" t="s">
        <v>21</v>
      </c>
      <c r="G53" t="s">
        <v>80</v>
      </c>
      <c r="H53">
        <v>-0.98042152447753039</v>
      </c>
      <c r="I53">
        <v>3</v>
      </c>
      <c r="J53" t="s">
        <v>23</v>
      </c>
      <c r="K53" s="59" t="s">
        <v>4376</v>
      </c>
    </row>
    <row r="54" spans="1:11" x14ac:dyDescent="0.2">
      <c r="A54" t="s">
        <v>90</v>
      </c>
      <c r="B54">
        <v>2018</v>
      </c>
      <c r="C54" t="s">
        <v>33</v>
      </c>
      <c r="D54">
        <v>97</v>
      </c>
      <c r="E54" t="s">
        <v>38</v>
      </c>
      <c r="F54" t="s">
        <v>39</v>
      </c>
      <c r="G54" t="s">
        <v>15</v>
      </c>
      <c r="H54">
        <v>0.72226303486596899</v>
      </c>
      <c r="I54">
        <v>3</v>
      </c>
      <c r="J54" t="s">
        <v>23</v>
      </c>
      <c r="K54" s="59" t="s">
        <v>4376</v>
      </c>
    </row>
    <row r="55" spans="1:11" x14ac:dyDescent="0.2">
      <c r="A55" t="s">
        <v>91</v>
      </c>
      <c r="B55">
        <v>2018</v>
      </c>
      <c r="C55" t="s">
        <v>19</v>
      </c>
      <c r="D55">
        <v>269</v>
      </c>
      <c r="E55" t="s">
        <v>25</v>
      </c>
      <c r="F55" t="s">
        <v>26</v>
      </c>
      <c r="G55" t="s">
        <v>15</v>
      </c>
      <c r="H55">
        <v>-0.14336084219194509</v>
      </c>
      <c r="I55">
        <v>2</v>
      </c>
      <c r="J55" t="s">
        <v>23</v>
      </c>
      <c r="K55" s="59" t="s">
        <v>23</v>
      </c>
    </row>
    <row r="56" spans="1:11" x14ac:dyDescent="0.2">
      <c r="A56" t="s">
        <v>92</v>
      </c>
      <c r="B56">
        <v>2018</v>
      </c>
      <c r="C56" t="s">
        <v>12</v>
      </c>
      <c r="D56">
        <v>67</v>
      </c>
      <c r="E56" t="s">
        <v>25</v>
      </c>
      <c r="F56" t="s">
        <v>26</v>
      </c>
      <c r="G56" t="s">
        <v>15</v>
      </c>
      <c r="H56">
        <v>0.48355758874710453</v>
      </c>
      <c r="I56">
        <v>2</v>
      </c>
      <c r="J56" t="s">
        <v>23</v>
      </c>
      <c r="K56" s="59" t="s">
        <v>4376</v>
      </c>
    </row>
    <row r="57" spans="1:11" x14ac:dyDescent="0.2">
      <c r="A57" t="s">
        <v>93</v>
      </c>
      <c r="B57">
        <v>2017</v>
      </c>
      <c r="C57" t="s">
        <v>19</v>
      </c>
      <c r="D57">
        <v>94</v>
      </c>
      <c r="E57" t="s">
        <v>29</v>
      </c>
      <c r="F57" t="s">
        <v>30</v>
      </c>
      <c r="G57" t="s">
        <v>15</v>
      </c>
      <c r="H57">
        <v>-0.2939016052776679</v>
      </c>
      <c r="I57">
        <v>4</v>
      </c>
      <c r="J57" t="s">
        <v>23</v>
      </c>
      <c r="K57" s="59" t="s">
        <v>16</v>
      </c>
    </row>
    <row r="58" spans="1:11" x14ac:dyDescent="0.2">
      <c r="A58" t="s">
        <v>94</v>
      </c>
      <c r="B58">
        <v>2016</v>
      </c>
      <c r="C58" t="s">
        <v>33</v>
      </c>
      <c r="D58">
        <v>61</v>
      </c>
      <c r="E58" t="s">
        <v>25</v>
      </c>
      <c r="F58" t="s">
        <v>26</v>
      </c>
      <c r="G58" t="s">
        <v>15</v>
      </c>
      <c r="H58">
        <v>-0.59192132013269771</v>
      </c>
      <c r="I58">
        <v>2</v>
      </c>
      <c r="J58" t="s">
        <v>23</v>
      </c>
      <c r="K58" s="59" t="s">
        <v>4376</v>
      </c>
    </row>
    <row r="59" spans="1:11" x14ac:dyDescent="0.2">
      <c r="A59" t="s">
        <v>95</v>
      </c>
      <c r="B59">
        <v>2020</v>
      </c>
      <c r="C59" t="s">
        <v>19</v>
      </c>
      <c r="D59">
        <v>30</v>
      </c>
      <c r="E59" t="s">
        <v>20</v>
      </c>
      <c r="F59" t="s">
        <v>21</v>
      </c>
      <c r="G59" t="s">
        <v>48</v>
      </c>
      <c r="H59">
        <v>1.207133472294913</v>
      </c>
      <c r="I59">
        <v>3</v>
      </c>
      <c r="J59" t="s">
        <v>23</v>
      </c>
      <c r="K59" s="59" t="s">
        <v>16</v>
      </c>
    </row>
    <row r="60" spans="1:11" x14ac:dyDescent="0.2">
      <c r="A60" t="s">
        <v>96</v>
      </c>
      <c r="B60">
        <v>2017</v>
      </c>
      <c r="C60" t="s">
        <v>19</v>
      </c>
      <c r="D60">
        <v>132</v>
      </c>
      <c r="E60" t="s">
        <v>25</v>
      </c>
      <c r="F60" t="s">
        <v>26</v>
      </c>
      <c r="G60" t="s">
        <v>41</v>
      </c>
      <c r="H60">
        <v>-0.33686052163917263</v>
      </c>
      <c r="I60">
        <v>2</v>
      </c>
      <c r="J60" t="s">
        <v>16</v>
      </c>
      <c r="K60" s="59" t="s">
        <v>16</v>
      </c>
    </row>
    <row r="61" spans="1:11" x14ac:dyDescent="0.2">
      <c r="A61" t="s">
        <v>97</v>
      </c>
      <c r="B61">
        <v>2021</v>
      </c>
      <c r="C61" t="s">
        <v>33</v>
      </c>
      <c r="D61">
        <v>382</v>
      </c>
      <c r="E61" t="s">
        <v>29</v>
      </c>
      <c r="F61" t="s">
        <v>30</v>
      </c>
      <c r="G61" t="s">
        <v>15</v>
      </c>
      <c r="H61">
        <v>-0.1911280323988247</v>
      </c>
      <c r="I61">
        <v>4</v>
      </c>
      <c r="J61" t="s">
        <v>17</v>
      </c>
      <c r="K61" s="59" t="s">
        <v>16</v>
      </c>
    </row>
    <row r="62" spans="1:11" x14ac:dyDescent="0.2">
      <c r="A62" t="s">
        <v>98</v>
      </c>
      <c r="B62">
        <v>2017</v>
      </c>
      <c r="C62" t="s">
        <v>19</v>
      </c>
      <c r="D62">
        <v>152</v>
      </c>
      <c r="E62" t="s">
        <v>20</v>
      </c>
      <c r="F62" t="s">
        <v>21</v>
      </c>
      <c r="G62" t="s">
        <v>15</v>
      </c>
      <c r="H62">
        <v>-0.3926091273856156</v>
      </c>
      <c r="I62">
        <v>3</v>
      </c>
      <c r="J62" t="s">
        <v>16</v>
      </c>
      <c r="K62" s="59" t="s">
        <v>17</v>
      </c>
    </row>
    <row r="63" spans="1:11" x14ac:dyDescent="0.2">
      <c r="A63" t="s">
        <v>99</v>
      </c>
      <c r="B63">
        <v>2018</v>
      </c>
      <c r="C63" t="s">
        <v>33</v>
      </c>
      <c r="D63">
        <v>109</v>
      </c>
      <c r="E63" t="s">
        <v>20</v>
      </c>
      <c r="F63" t="s">
        <v>21</v>
      </c>
      <c r="G63" t="s">
        <v>15</v>
      </c>
      <c r="H63">
        <v>1.207133472294913</v>
      </c>
      <c r="I63">
        <v>3</v>
      </c>
      <c r="J63" t="s">
        <v>17</v>
      </c>
      <c r="K63" s="59" t="s">
        <v>4376</v>
      </c>
    </row>
    <row r="64" spans="1:11" x14ac:dyDescent="0.2">
      <c r="A64" t="s">
        <v>100</v>
      </c>
      <c r="B64">
        <v>2018</v>
      </c>
      <c r="C64" t="s">
        <v>33</v>
      </c>
      <c r="D64">
        <v>96</v>
      </c>
      <c r="E64" t="s">
        <v>38</v>
      </c>
      <c r="F64" t="s">
        <v>39</v>
      </c>
      <c r="G64" t="s">
        <v>15</v>
      </c>
      <c r="H64">
        <v>1.207133472294913</v>
      </c>
      <c r="I64">
        <v>3</v>
      </c>
      <c r="J64" t="s">
        <v>23</v>
      </c>
      <c r="K64" s="59" t="s">
        <v>4376</v>
      </c>
    </row>
    <row r="65" spans="1:11" x14ac:dyDescent="0.2">
      <c r="A65" t="s">
        <v>101</v>
      </c>
      <c r="B65">
        <v>2018</v>
      </c>
      <c r="C65" t="s">
        <v>19</v>
      </c>
      <c r="D65">
        <v>78</v>
      </c>
      <c r="E65" t="s">
        <v>25</v>
      </c>
      <c r="F65" t="s">
        <v>26</v>
      </c>
      <c r="G65" t="s">
        <v>15</v>
      </c>
      <c r="H65">
        <v>-0.67416382492938842</v>
      </c>
      <c r="I65">
        <v>2</v>
      </c>
      <c r="J65" t="s">
        <v>23</v>
      </c>
      <c r="K65" s="59" t="s">
        <v>4376</v>
      </c>
    </row>
    <row r="66" spans="1:11" x14ac:dyDescent="0.2">
      <c r="A66" t="s">
        <v>102</v>
      </c>
      <c r="B66">
        <v>2018</v>
      </c>
      <c r="C66" t="s">
        <v>33</v>
      </c>
      <c r="D66">
        <v>162</v>
      </c>
      <c r="E66" t="s">
        <v>20</v>
      </c>
      <c r="F66" t="s">
        <v>21</v>
      </c>
      <c r="G66" t="s">
        <v>15</v>
      </c>
      <c r="H66">
        <v>1.207133472294913</v>
      </c>
      <c r="I66">
        <v>3</v>
      </c>
      <c r="J66" t="s">
        <v>17</v>
      </c>
      <c r="K66" s="59" t="s">
        <v>17</v>
      </c>
    </row>
    <row r="67" spans="1:11" x14ac:dyDescent="0.2">
      <c r="A67" t="s">
        <v>103</v>
      </c>
      <c r="B67">
        <v>2016</v>
      </c>
      <c r="C67" t="s">
        <v>33</v>
      </c>
      <c r="D67">
        <v>71</v>
      </c>
      <c r="E67" t="s">
        <v>29</v>
      </c>
      <c r="F67" t="s">
        <v>30</v>
      </c>
      <c r="G67" t="s">
        <v>34</v>
      </c>
      <c r="H67">
        <v>-1.4425810308379059</v>
      </c>
      <c r="I67">
        <v>4</v>
      </c>
      <c r="J67" t="s">
        <v>16</v>
      </c>
      <c r="K67" s="59" t="s">
        <v>4376</v>
      </c>
    </row>
    <row r="68" spans="1:11" x14ac:dyDescent="0.2">
      <c r="A68" t="s">
        <v>104</v>
      </c>
      <c r="B68">
        <v>2018</v>
      </c>
      <c r="C68" t="s">
        <v>12</v>
      </c>
      <c r="D68">
        <v>78</v>
      </c>
      <c r="E68" t="s">
        <v>20</v>
      </c>
      <c r="F68" t="s">
        <v>21</v>
      </c>
      <c r="G68" t="s">
        <v>15</v>
      </c>
      <c r="H68">
        <v>0.58828567715533986</v>
      </c>
      <c r="I68">
        <v>3</v>
      </c>
      <c r="J68" t="s">
        <v>23</v>
      </c>
      <c r="K68" s="59" t="s">
        <v>4376</v>
      </c>
    </row>
    <row r="69" spans="1:11" x14ac:dyDescent="0.2">
      <c r="A69" t="s">
        <v>105</v>
      </c>
      <c r="B69">
        <v>2018</v>
      </c>
      <c r="C69" t="s">
        <v>12</v>
      </c>
      <c r="D69">
        <v>120</v>
      </c>
      <c r="E69" t="s">
        <v>20</v>
      </c>
      <c r="F69" t="s">
        <v>21</v>
      </c>
      <c r="G69" t="s">
        <v>15</v>
      </c>
      <c r="H69">
        <v>0.40997360058970028</v>
      </c>
      <c r="I69">
        <v>3</v>
      </c>
      <c r="J69" t="s">
        <v>16</v>
      </c>
      <c r="K69" s="59" t="s">
        <v>17</v>
      </c>
    </row>
    <row r="70" spans="1:11" x14ac:dyDescent="0.2">
      <c r="A70" t="s">
        <v>106</v>
      </c>
      <c r="B70">
        <v>2018</v>
      </c>
      <c r="C70" t="s">
        <v>12</v>
      </c>
      <c r="D70">
        <v>355</v>
      </c>
      <c r="E70" t="s">
        <v>20</v>
      </c>
      <c r="F70" t="s">
        <v>21</v>
      </c>
      <c r="G70" t="s">
        <v>41</v>
      </c>
      <c r="H70">
        <v>0.89358392275752918</v>
      </c>
      <c r="I70">
        <v>3</v>
      </c>
      <c r="J70" t="s">
        <v>23</v>
      </c>
      <c r="K70" s="59" t="s">
        <v>23</v>
      </c>
    </row>
    <row r="71" spans="1:11" x14ac:dyDescent="0.2">
      <c r="A71" t="s">
        <v>107</v>
      </c>
      <c r="B71">
        <v>2018</v>
      </c>
      <c r="C71" t="s">
        <v>19</v>
      </c>
      <c r="D71">
        <v>149</v>
      </c>
      <c r="E71" t="s">
        <v>20</v>
      </c>
      <c r="F71" t="s">
        <v>21</v>
      </c>
      <c r="G71" t="s">
        <v>15</v>
      </c>
      <c r="H71">
        <v>-8.1426320324471585E-2</v>
      </c>
      <c r="I71">
        <v>3</v>
      </c>
      <c r="J71" t="s">
        <v>23</v>
      </c>
      <c r="K71" s="59" t="s">
        <v>23</v>
      </c>
    </row>
    <row r="72" spans="1:11" x14ac:dyDescent="0.2">
      <c r="A72" t="s">
        <v>108</v>
      </c>
      <c r="B72">
        <v>2018</v>
      </c>
      <c r="C72" t="s">
        <v>33</v>
      </c>
      <c r="D72">
        <v>65</v>
      </c>
      <c r="E72" t="s">
        <v>25</v>
      </c>
      <c r="F72" t="s">
        <v>26</v>
      </c>
      <c r="G72" t="s">
        <v>80</v>
      </c>
      <c r="H72">
        <v>0.1217696469732004</v>
      </c>
      <c r="I72">
        <v>2</v>
      </c>
      <c r="J72" t="s">
        <v>23</v>
      </c>
      <c r="K72" s="59" t="s">
        <v>4376</v>
      </c>
    </row>
    <row r="73" spans="1:11" x14ac:dyDescent="0.2">
      <c r="A73" t="s">
        <v>109</v>
      </c>
      <c r="B73">
        <v>2018</v>
      </c>
      <c r="C73" t="s">
        <v>33</v>
      </c>
      <c r="D73">
        <v>151</v>
      </c>
      <c r="E73" t="s">
        <v>20</v>
      </c>
      <c r="F73" t="s">
        <v>21</v>
      </c>
      <c r="G73" t="s">
        <v>15</v>
      </c>
      <c r="H73">
        <v>0.23404866338579139</v>
      </c>
      <c r="I73">
        <v>3</v>
      </c>
      <c r="J73" t="s">
        <v>23</v>
      </c>
      <c r="K73" s="59" t="s">
        <v>4376</v>
      </c>
    </row>
    <row r="74" spans="1:11" x14ac:dyDescent="0.2">
      <c r="A74" t="s">
        <v>110</v>
      </c>
      <c r="B74">
        <v>2018</v>
      </c>
      <c r="C74" t="s">
        <v>33</v>
      </c>
      <c r="D74">
        <v>151</v>
      </c>
      <c r="E74" t="s">
        <v>20</v>
      </c>
      <c r="F74" t="s">
        <v>21</v>
      </c>
      <c r="G74" t="s">
        <v>15</v>
      </c>
      <c r="H74">
        <v>-0.40356626847931759</v>
      </c>
      <c r="I74">
        <v>3</v>
      </c>
      <c r="J74" t="s">
        <v>23</v>
      </c>
      <c r="K74" s="59" t="s">
        <v>4376</v>
      </c>
    </row>
    <row r="75" spans="1:11" x14ac:dyDescent="0.2">
      <c r="A75" t="s">
        <v>111</v>
      </c>
      <c r="B75">
        <v>2018</v>
      </c>
      <c r="C75" t="s">
        <v>33</v>
      </c>
      <c r="D75">
        <v>286</v>
      </c>
      <c r="E75" t="s">
        <v>20</v>
      </c>
      <c r="F75" t="s">
        <v>21</v>
      </c>
      <c r="G75" t="s">
        <v>112</v>
      </c>
      <c r="H75">
        <v>-4.7064725854621327E-2</v>
      </c>
      <c r="I75">
        <v>3</v>
      </c>
      <c r="J75" t="s">
        <v>16</v>
      </c>
      <c r="K75" s="59" t="s">
        <v>4376</v>
      </c>
    </row>
    <row r="76" spans="1:11" x14ac:dyDescent="0.2">
      <c r="A76" t="s">
        <v>113</v>
      </c>
      <c r="B76">
        <v>2017</v>
      </c>
      <c r="C76" t="s">
        <v>19</v>
      </c>
      <c r="D76">
        <v>123</v>
      </c>
      <c r="E76" t="s">
        <v>38</v>
      </c>
      <c r="F76" t="s">
        <v>39</v>
      </c>
      <c r="G76" t="s">
        <v>15</v>
      </c>
      <c r="H76">
        <v>0.43610998982593668</v>
      </c>
      <c r="I76">
        <v>3</v>
      </c>
      <c r="J76" t="s">
        <v>23</v>
      </c>
      <c r="K76" s="59" t="s">
        <v>23</v>
      </c>
    </row>
    <row r="77" spans="1:11" x14ac:dyDescent="0.2">
      <c r="A77" t="s">
        <v>114</v>
      </c>
      <c r="B77">
        <v>2018</v>
      </c>
      <c r="C77" t="s">
        <v>33</v>
      </c>
      <c r="D77">
        <v>150</v>
      </c>
      <c r="E77" t="s">
        <v>20</v>
      </c>
      <c r="F77" t="s">
        <v>21</v>
      </c>
      <c r="G77" t="s">
        <v>15</v>
      </c>
      <c r="H77">
        <v>1.207133472294913</v>
      </c>
      <c r="I77">
        <v>3</v>
      </c>
      <c r="J77" t="s">
        <v>17</v>
      </c>
      <c r="K77" s="59" t="s">
        <v>4376</v>
      </c>
    </row>
    <row r="78" spans="1:11" x14ac:dyDescent="0.2">
      <c r="A78" t="s">
        <v>115</v>
      </c>
      <c r="B78">
        <v>2018</v>
      </c>
      <c r="C78" t="s">
        <v>19</v>
      </c>
      <c r="D78">
        <v>71</v>
      </c>
      <c r="E78" t="s">
        <v>20</v>
      </c>
      <c r="F78" t="s">
        <v>21</v>
      </c>
      <c r="G78" t="s">
        <v>15</v>
      </c>
      <c r="H78">
        <v>1.207133472294913</v>
      </c>
      <c r="I78">
        <v>3</v>
      </c>
      <c r="J78" t="s">
        <v>23</v>
      </c>
      <c r="K78" s="59" t="s">
        <v>17</v>
      </c>
    </row>
    <row r="79" spans="1:11" x14ac:dyDescent="0.2">
      <c r="A79" t="s">
        <v>116</v>
      </c>
      <c r="B79">
        <v>2017</v>
      </c>
      <c r="C79" t="s">
        <v>33</v>
      </c>
      <c r="D79">
        <v>57</v>
      </c>
      <c r="E79" t="s">
        <v>20</v>
      </c>
      <c r="F79" t="s">
        <v>21</v>
      </c>
      <c r="G79" t="s">
        <v>22</v>
      </c>
      <c r="H79">
        <v>-0.44312731474394779</v>
      </c>
      <c r="I79">
        <v>3</v>
      </c>
      <c r="J79" t="s">
        <v>17</v>
      </c>
      <c r="K79" s="59" t="s">
        <v>4376</v>
      </c>
    </row>
    <row r="80" spans="1:11" x14ac:dyDescent="0.2">
      <c r="A80" t="s">
        <v>117</v>
      </c>
      <c r="B80">
        <v>2016</v>
      </c>
      <c r="C80" t="s">
        <v>19</v>
      </c>
      <c r="D80">
        <v>85</v>
      </c>
      <c r="E80" t="s">
        <v>29</v>
      </c>
      <c r="F80" t="s">
        <v>30</v>
      </c>
      <c r="G80" t="s">
        <v>15</v>
      </c>
      <c r="H80">
        <v>-0.45283473113829409</v>
      </c>
      <c r="I80">
        <v>4</v>
      </c>
      <c r="J80" t="s">
        <v>23</v>
      </c>
      <c r="K80" s="59" t="s">
        <v>17</v>
      </c>
    </row>
    <row r="81" spans="1:11" x14ac:dyDescent="0.2">
      <c r="A81" t="s">
        <v>118</v>
      </c>
      <c r="B81">
        <v>2016</v>
      </c>
      <c r="C81" t="s">
        <v>33</v>
      </c>
      <c r="D81">
        <v>107</v>
      </c>
      <c r="E81" t="s">
        <v>53</v>
      </c>
      <c r="F81" t="s">
        <v>54</v>
      </c>
      <c r="G81" t="s">
        <v>15</v>
      </c>
      <c r="H81">
        <v>-2.895383998287675</v>
      </c>
      <c r="I81">
        <v>3</v>
      </c>
      <c r="J81" t="s">
        <v>17</v>
      </c>
      <c r="K81" s="59" t="s">
        <v>4376</v>
      </c>
    </row>
    <row r="82" spans="1:11" x14ac:dyDescent="0.2">
      <c r="A82" t="s">
        <v>119</v>
      </c>
      <c r="B82">
        <v>2017</v>
      </c>
      <c r="C82" t="s">
        <v>33</v>
      </c>
      <c r="D82">
        <v>46</v>
      </c>
      <c r="E82" t="s">
        <v>38</v>
      </c>
      <c r="F82" t="s">
        <v>39</v>
      </c>
      <c r="G82" t="s">
        <v>15</v>
      </c>
      <c r="H82">
        <v>0.1382145534174688</v>
      </c>
      <c r="I82">
        <v>3</v>
      </c>
      <c r="J82" t="s">
        <v>23</v>
      </c>
      <c r="K82" s="59" t="s">
        <v>4376</v>
      </c>
    </row>
    <row r="83" spans="1:11" x14ac:dyDescent="0.2">
      <c r="A83" t="s">
        <v>120</v>
      </c>
      <c r="B83">
        <v>2017</v>
      </c>
      <c r="C83" t="s">
        <v>33</v>
      </c>
      <c r="D83">
        <v>71</v>
      </c>
      <c r="E83" t="s">
        <v>20</v>
      </c>
      <c r="F83" t="s">
        <v>21</v>
      </c>
      <c r="G83" t="s">
        <v>22</v>
      </c>
      <c r="H83">
        <v>-1.519384349769292</v>
      </c>
      <c r="I83">
        <v>3</v>
      </c>
      <c r="J83" t="s">
        <v>23</v>
      </c>
      <c r="K83" s="59" t="s">
        <v>23</v>
      </c>
    </row>
    <row r="84" spans="1:11" x14ac:dyDescent="0.2">
      <c r="A84" t="s">
        <v>121</v>
      </c>
      <c r="B84">
        <v>2018</v>
      </c>
      <c r="C84" t="s">
        <v>12</v>
      </c>
      <c r="D84">
        <v>68</v>
      </c>
      <c r="E84" t="s">
        <v>20</v>
      </c>
      <c r="F84" t="s">
        <v>21</v>
      </c>
      <c r="G84" t="s">
        <v>41</v>
      </c>
      <c r="H84">
        <v>-0.17617336389942639</v>
      </c>
      <c r="I84">
        <v>3</v>
      </c>
      <c r="J84" t="s">
        <v>23</v>
      </c>
      <c r="K84" s="59" t="s">
        <v>17</v>
      </c>
    </row>
    <row r="85" spans="1:11" x14ac:dyDescent="0.2">
      <c r="A85" t="s">
        <v>122</v>
      </c>
      <c r="B85">
        <v>2017</v>
      </c>
      <c r="C85" t="s">
        <v>12</v>
      </c>
      <c r="D85">
        <v>149</v>
      </c>
      <c r="E85" t="s">
        <v>20</v>
      </c>
      <c r="F85" t="s">
        <v>21</v>
      </c>
      <c r="G85" t="s">
        <v>15</v>
      </c>
      <c r="H85">
        <v>-8.1426320324471585E-2</v>
      </c>
      <c r="I85">
        <v>3</v>
      </c>
      <c r="J85" t="s">
        <v>23</v>
      </c>
      <c r="K85" s="59" t="s">
        <v>17</v>
      </c>
    </row>
    <row r="86" spans="1:11" x14ac:dyDescent="0.2">
      <c r="A86" t="s">
        <v>123</v>
      </c>
      <c r="B86">
        <v>2018</v>
      </c>
      <c r="C86" t="s">
        <v>19</v>
      </c>
      <c r="D86">
        <v>194</v>
      </c>
      <c r="E86" t="s">
        <v>20</v>
      </c>
      <c r="F86" t="s">
        <v>21</v>
      </c>
      <c r="G86" t="s">
        <v>15</v>
      </c>
      <c r="H86">
        <v>-0.31004176740210432</v>
      </c>
      <c r="I86">
        <v>3</v>
      </c>
      <c r="J86" t="s">
        <v>16</v>
      </c>
      <c r="K86" s="59" t="s">
        <v>16</v>
      </c>
    </row>
    <row r="87" spans="1:11" x14ac:dyDescent="0.2">
      <c r="A87" t="s">
        <v>124</v>
      </c>
      <c r="B87">
        <v>2017</v>
      </c>
      <c r="C87" t="s">
        <v>33</v>
      </c>
      <c r="D87">
        <v>106</v>
      </c>
      <c r="E87" t="s">
        <v>20</v>
      </c>
      <c r="F87" t="s">
        <v>21</v>
      </c>
      <c r="G87" t="s">
        <v>15</v>
      </c>
      <c r="H87">
        <v>0.75489854507753251</v>
      </c>
      <c r="I87">
        <v>3</v>
      </c>
      <c r="J87" t="s">
        <v>23</v>
      </c>
      <c r="K87" s="59" t="s">
        <v>4376</v>
      </c>
    </row>
    <row r="88" spans="1:11" x14ac:dyDescent="0.2">
      <c r="A88" t="s">
        <v>125</v>
      </c>
      <c r="B88">
        <v>2018</v>
      </c>
      <c r="C88" t="s">
        <v>19</v>
      </c>
      <c r="D88">
        <v>190</v>
      </c>
      <c r="E88" t="s">
        <v>25</v>
      </c>
      <c r="F88" t="s">
        <v>26</v>
      </c>
      <c r="G88" t="s">
        <v>15</v>
      </c>
      <c r="H88">
        <v>1.207133472294913</v>
      </c>
      <c r="I88">
        <v>2</v>
      </c>
      <c r="J88" t="s">
        <v>23</v>
      </c>
      <c r="K88" s="59" t="s">
        <v>16</v>
      </c>
    </row>
    <row r="89" spans="1:11" x14ac:dyDescent="0.2">
      <c r="A89" t="s">
        <v>126</v>
      </c>
      <c r="B89">
        <v>2018</v>
      </c>
      <c r="C89" t="s">
        <v>12</v>
      </c>
      <c r="D89">
        <v>231</v>
      </c>
      <c r="E89" t="s">
        <v>13</v>
      </c>
      <c r="F89" t="s">
        <v>14</v>
      </c>
      <c r="G89" t="s">
        <v>48</v>
      </c>
      <c r="H89">
        <v>0.37100134019522318</v>
      </c>
      <c r="I89">
        <v>4</v>
      </c>
      <c r="J89" t="s">
        <v>23</v>
      </c>
      <c r="K89" s="59" t="s">
        <v>23</v>
      </c>
    </row>
    <row r="90" spans="1:11" x14ac:dyDescent="0.2">
      <c r="A90" t="s">
        <v>127</v>
      </c>
      <c r="B90">
        <v>2016</v>
      </c>
      <c r="C90" t="s">
        <v>19</v>
      </c>
      <c r="D90">
        <v>85</v>
      </c>
      <c r="E90" t="s">
        <v>29</v>
      </c>
      <c r="F90" t="s">
        <v>30</v>
      </c>
      <c r="G90" t="s">
        <v>15</v>
      </c>
      <c r="H90">
        <v>-0.45283473113829409</v>
      </c>
      <c r="I90">
        <v>4</v>
      </c>
      <c r="J90" t="s">
        <v>23</v>
      </c>
      <c r="K90" s="59" t="s">
        <v>23</v>
      </c>
    </row>
    <row r="91" spans="1:11" x14ac:dyDescent="0.2">
      <c r="A91" t="s">
        <v>128</v>
      </c>
      <c r="B91">
        <v>2021</v>
      </c>
      <c r="C91" t="s">
        <v>19</v>
      </c>
      <c r="D91">
        <v>83</v>
      </c>
      <c r="E91" t="s">
        <v>20</v>
      </c>
      <c r="F91" t="s">
        <v>21</v>
      </c>
      <c r="G91" t="s">
        <v>15</v>
      </c>
      <c r="H91">
        <v>-0.51356527516633821</v>
      </c>
      <c r="I91">
        <v>3</v>
      </c>
      <c r="J91" t="s">
        <v>23</v>
      </c>
      <c r="K91" s="59" t="s">
        <v>17</v>
      </c>
    </row>
    <row r="92" spans="1:11" x14ac:dyDescent="0.2">
      <c r="A92" t="s">
        <v>129</v>
      </c>
      <c r="B92">
        <v>2016</v>
      </c>
      <c r="C92" t="s">
        <v>19</v>
      </c>
      <c r="D92">
        <v>258</v>
      </c>
      <c r="E92" t="s">
        <v>20</v>
      </c>
      <c r="F92" t="s">
        <v>21</v>
      </c>
      <c r="G92" t="s">
        <v>41</v>
      </c>
      <c r="H92">
        <v>1.331557896714509</v>
      </c>
      <c r="I92">
        <v>3</v>
      </c>
      <c r="J92" t="s">
        <v>23</v>
      </c>
      <c r="K92" s="59" t="s">
        <v>23</v>
      </c>
    </row>
    <row r="93" spans="1:11" x14ac:dyDescent="0.2">
      <c r="A93" t="s">
        <v>130</v>
      </c>
      <c r="B93">
        <v>2018</v>
      </c>
      <c r="C93" t="s">
        <v>19</v>
      </c>
      <c r="D93">
        <v>67</v>
      </c>
      <c r="E93" t="s">
        <v>38</v>
      </c>
      <c r="F93" t="s">
        <v>39</v>
      </c>
      <c r="G93" t="s">
        <v>15</v>
      </c>
      <c r="H93">
        <v>-0.24001829480070361</v>
      </c>
      <c r="I93">
        <v>3</v>
      </c>
      <c r="J93" t="s">
        <v>23</v>
      </c>
      <c r="K93" s="59" t="s">
        <v>23</v>
      </c>
    </row>
    <row r="94" spans="1:11" x14ac:dyDescent="0.2">
      <c r="A94" t="s">
        <v>131</v>
      </c>
      <c r="B94">
        <v>2018</v>
      </c>
      <c r="C94" t="s">
        <v>12</v>
      </c>
      <c r="D94">
        <v>447</v>
      </c>
      <c r="E94" t="s">
        <v>25</v>
      </c>
      <c r="F94" t="s">
        <v>26</v>
      </c>
      <c r="G94" t="s">
        <v>15</v>
      </c>
      <c r="H94">
        <v>0.28810893054740938</v>
      </c>
      <c r="I94">
        <v>2</v>
      </c>
      <c r="J94" t="s">
        <v>23</v>
      </c>
      <c r="K94" s="59" t="s">
        <v>16</v>
      </c>
    </row>
    <row r="95" spans="1:11" x14ac:dyDescent="0.2">
      <c r="A95" t="s">
        <v>132</v>
      </c>
      <c r="B95">
        <v>2017</v>
      </c>
      <c r="C95" t="s">
        <v>33</v>
      </c>
      <c r="D95">
        <v>79</v>
      </c>
      <c r="E95" t="s">
        <v>20</v>
      </c>
      <c r="F95" t="s">
        <v>21</v>
      </c>
      <c r="G95" t="s">
        <v>41</v>
      </c>
      <c r="H95">
        <v>0.60415356933840592</v>
      </c>
      <c r="I95">
        <v>3</v>
      </c>
      <c r="J95" t="s">
        <v>23</v>
      </c>
      <c r="K95" s="59" t="s">
        <v>4376</v>
      </c>
    </row>
    <row r="96" spans="1:11" x14ac:dyDescent="0.2">
      <c r="A96" t="s">
        <v>133</v>
      </c>
      <c r="B96">
        <v>2017</v>
      </c>
      <c r="C96" t="s">
        <v>33</v>
      </c>
      <c r="D96">
        <v>47</v>
      </c>
      <c r="E96" t="s">
        <v>20</v>
      </c>
      <c r="F96" t="s">
        <v>21</v>
      </c>
      <c r="G96" t="s">
        <v>80</v>
      </c>
      <c r="H96">
        <v>-0.83775489425324057</v>
      </c>
      <c r="I96">
        <v>3</v>
      </c>
      <c r="J96" t="s">
        <v>23</v>
      </c>
      <c r="K96" s="59" t="s">
        <v>16</v>
      </c>
    </row>
    <row r="97" spans="1:11" x14ac:dyDescent="0.2">
      <c r="A97" t="s">
        <v>134</v>
      </c>
      <c r="B97">
        <v>2019</v>
      </c>
      <c r="C97" t="s">
        <v>19</v>
      </c>
      <c r="D97">
        <v>63</v>
      </c>
      <c r="E97" t="s">
        <v>38</v>
      </c>
      <c r="F97" t="s">
        <v>39</v>
      </c>
      <c r="G97" t="s">
        <v>15</v>
      </c>
      <c r="H97">
        <v>-0.33491349264303921</v>
      </c>
      <c r="I97">
        <v>3</v>
      </c>
      <c r="J97" t="s">
        <v>23</v>
      </c>
      <c r="K97" s="59" t="s">
        <v>16</v>
      </c>
    </row>
    <row r="98" spans="1:11" x14ac:dyDescent="0.2">
      <c r="A98" t="s">
        <v>135</v>
      </c>
      <c r="B98">
        <v>2018</v>
      </c>
      <c r="C98" t="s">
        <v>33</v>
      </c>
      <c r="D98">
        <v>310</v>
      </c>
      <c r="E98" t="s">
        <v>20</v>
      </c>
      <c r="F98" t="s">
        <v>21</v>
      </c>
      <c r="G98" t="s">
        <v>15</v>
      </c>
      <c r="H98">
        <v>0.91318076960361538</v>
      </c>
      <c r="I98">
        <v>3</v>
      </c>
      <c r="J98" t="s">
        <v>23</v>
      </c>
      <c r="K98" s="59" t="s">
        <v>17</v>
      </c>
    </row>
    <row r="99" spans="1:11" x14ac:dyDescent="0.2">
      <c r="A99" t="s">
        <v>136</v>
      </c>
      <c r="B99">
        <v>2018</v>
      </c>
      <c r="C99" t="s">
        <v>12</v>
      </c>
      <c r="D99">
        <v>133</v>
      </c>
      <c r="E99" t="s">
        <v>25</v>
      </c>
      <c r="F99" t="s">
        <v>26</v>
      </c>
      <c r="G99" t="s">
        <v>15</v>
      </c>
      <c r="H99">
        <v>1.5689214140688159</v>
      </c>
      <c r="I99">
        <v>2</v>
      </c>
      <c r="J99" t="s">
        <v>17</v>
      </c>
      <c r="K99" s="59" t="s">
        <v>4376</v>
      </c>
    </row>
    <row r="100" spans="1:11" x14ac:dyDescent="0.2">
      <c r="A100" t="s">
        <v>137</v>
      </c>
      <c r="B100">
        <v>2017</v>
      </c>
      <c r="C100" t="s">
        <v>33</v>
      </c>
      <c r="D100">
        <v>76</v>
      </c>
      <c r="E100" t="s">
        <v>20</v>
      </c>
      <c r="F100" t="s">
        <v>21</v>
      </c>
      <c r="G100" t="s">
        <v>48</v>
      </c>
      <c r="H100">
        <v>-3.056211798423274E-2</v>
      </c>
      <c r="I100">
        <v>3</v>
      </c>
      <c r="J100" t="s">
        <v>23</v>
      </c>
      <c r="K100" s="59" t="s">
        <v>4376</v>
      </c>
    </row>
    <row r="101" spans="1:11" x14ac:dyDescent="0.2">
      <c r="A101" t="s">
        <v>138</v>
      </c>
      <c r="B101">
        <v>2018</v>
      </c>
      <c r="C101" t="s">
        <v>33</v>
      </c>
      <c r="D101">
        <v>96</v>
      </c>
      <c r="E101" t="s">
        <v>38</v>
      </c>
      <c r="F101" t="s">
        <v>39</v>
      </c>
      <c r="G101" t="s">
        <v>15</v>
      </c>
      <c r="H101">
        <v>1.207133472294913</v>
      </c>
      <c r="I101">
        <v>3</v>
      </c>
      <c r="J101" t="s">
        <v>23</v>
      </c>
      <c r="K101" s="59" t="s">
        <v>4376</v>
      </c>
    </row>
    <row r="102" spans="1:11" x14ac:dyDescent="0.2">
      <c r="A102" t="s">
        <v>139</v>
      </c>
      <c r="B102">
        <v>2017</v>
      </c>
      <c r="C102" t="s">
        <v>19</v>
      </c>
      <c r="D102">
        <v>51</v>
      </c>
      <c r="E102" t="s">
        <v>20</v>
      </c>
      <c r="F102" t="s">
        <v>21</v>
      </c>
      <c r="G102" t="s">
        <v>15</v>
      </c>
      <c r="H102">
        <v>-1.732393554618058</v>
      </c>
      <c r="I102">
        <v>3</v>
      </c>
      <c r="J102" t="s">
        <v>23</v>
      </c>
      <c r="K102" s="59" t="s">
        <v>17</v>
      </c>
    </row>
    <row r="103" spans="1:11" x14ac:dyDescent="0.2">
      <c r="A103" t="s">
        <v>140</v>
      </c>
      <c r="B103">
        <v>2017</v>
      </c>
      <c r="C103" t="s">
        <v>12</v>
      </c>
      <c r="D103">
        <v>151</v>
      </c>
      <c r="E103" t="s">
        <v>20</v>
      </c>
      <c r="F103" t="s">
        <v>21</v>
      </c>
      <c r="G103" t="s">
        <v>15</v>
      </c>
      <c r="H103">
        <v>-8.1426320324471585E-2</v>
      </c>
      <c r="I103">
        <v>3</v>
      </c>
      <c r="J103" t="s">
        <v>16</v>
      </c>
      <c r="K103" s="59" t="s">
        <v>17</v>
      </c>
    </row>
    <row r="104" spans="1:11" x14ac:dyDescent="0.2">
      <c r="A104" t="s">
        <v>141</v>
      </c>
      <c r="B104">
        <v>2018</v>
      </c>
      <c r="C104" t="s">
        <v>12</v>
      </c>
      <c r="D104">
        <v>42</v>
      </c>
      <c r="E104" t="s">
        <v>25</v>
      </c>
      <c r="F104" t="s">
        <v>26</v>
      </c>
      <c r="G104" t="s">
        <v>41</v>
      </c>
      <c r="H104">
        <v>-3.272145806810566</v>
      </c>
      <c r="I104">
        <v>2</v>
      </c>
      <c r="J104" t="s">
        <v>17</v>
      </c>
      <c r="K104" s="59" t="s">
        <v>17</v>
      </c>
    </row>
    <row r="105" spans="1:11" x14ac:dyDescent="0.2">
      <c r="A105" t="s">
        <v>142</v>
      </c>
      <c r="B105">
        <v>2016</v>
      </c>
      <c r="C105" t="s">
        <v>33</v>
      </c>
      <c r="D105">
        <v>107</v>
      </c>
      <c r="E105" t="s">
        <v>53</v>
      </c>
      <c r="F105" t="s">
        <v>54</v>
      </c>
      <c r="G105" t="s">
        <v>15</v>
      </c>
      <c r="H105">
        <v>-2.895383998287675</v>
      </c>
      <c r="I105">
        <v>3</v>
      </c>
      <c r="J105" t="s">
        <v>17</v>
      </c>
      <c r="K105" s="59" t="s">
        <v>23</v>
      </c>
    </row>
    <row r="106" spans="1:11" x14ac:dyDescent="0.2">
      <c r="A106" t="s">
        <v>143</v>
      </c>
      <c r="B106">
        <v>2016</v>
      </c>
      <c r="C106" t="s">
        <v>19</v>
      </c>
      <c r="D106">
        <v>86</v>
      </c>
      <c r="E106" t="s">
        <v>29</v>
      </c>
      <c r="F106" t="s">
        <v>30</v>
      </c>
      <c r="G106" t="s">
        <v>15</v>
      </c>
      <c r="H106">
        <v>-0.43353277528441958</v>
      </c>
      <c r="I106">
        <v>4</v>
      </c>
      <c r="J106" t="s">
        <v>23</v>
      </c>
      <c r="K106" s="59" t="s">
        <v>23</v>
      </c>
    </row>
    <row r="107" spans="1:11" x14ac:dyDescent="0.2">
      <c r="A107" t="s">
        <v>144</v>
      </c>
      <c r="B107">
        <v>2016</v>
      </c>
      <c r="C107" t="s">
        <v>33</v>
      </c>
      <c r="D107">
        <v>107</v>
      </c>
      <c r="E107" t="s">
        <v>53</v>
      </c>
      <c r="F107" t="s">
        <v>54</v>
      </c>
      <c r="G107" t="s">
        <v>15</v>
      </c>
      <c r="H107">
        <v>-2.895383998287675</v>
      </c>
      <c r="I107">
        <v>3</v>
      </c>
      <c r="J107" t="s">
        <v>17</v>
      </c>
      <c r="K107" s="59" t="s">
        <v>23</v>
      </c>
    </row>
    <row r="108" spans="1:11" x14ac:dyDescent="0.2">
      <c r="A108" t="s">
        <v>145</v>
      </c>
      <c r="B108">
        <v>2018</v>
      </c>
      <c r="C108" t="s">
        <v>12</v>
      </c>
      <c r="D108">
        <v>58</v>
      </c>
      <c r="E108" t="s">
        <v>38</v>
      </c>
      <c r="F108" t="s">
        <v>39</v>
      </c>
      <c r="G108" t="s">
        <v>15</v>
      </c>
      <c r="H108">
        <v>-0.53480846957944006</v>
      </c>
      <c r="I108">
        <v>3</v>
      </c>
      <c r="J108" t="s">
        <v>23</v>
      </c>
      <c r="K108" s="59" t="s">
        <v>4376</v>
      </c>
    </row>
    <row r="109" spans="1:11" x14ac:dyDescent="0.2">
      <c r="A109" t="s">
        <v>146</v>
      </c>
      <c r="B109">
        <v>2019</v>
      </c>
      <c r="C109" t="s">
        <v>12</v>
      </c>
      <c r="D109">
        <v>153</v>
      </c>
      <c r="E109" t="s">
        <v>25</v>
      </c>
      <c r="F109" t="s">
        <v>26</v>
      </c>
      <c r="G109" t="s">
        <v>147</v>
      </c>
      <c r="H109">
        <v>0.423259598451454</v>
      </c>
      <c r="I109">
        <v>2</v>
      </c>
      <c r="J109" t="s">
        <v>16</v>
      </c>
      <c r="K109" s="59" t="s">
        <v>16</v>
      </c>
    </row>
    <row r="110" spans="1:11" x14ac:dyDescent="0.2">
      <c r="A110" t="s">
        <v>148</v>
      </c>
      <c r="B110">
        <v>2016</v>
      </c>
      <c r="C110" t="s">
        <v>33</v>
      </c>
      <c r="D110">
        <v>107</v>
      </c>
      <c r="E110" t="s">
        <v>53</v>
      </c>
      <c r="F110" t="s">
        <v>54</v>
      </c>
      <c r="G110" t="s">
        <v>15</v>
      </c>
      <c r="H110">
        <v>-2.895383998287675</v>
      </c>
      <c r="I110">
        <v>3</v>
      </c>
      <c r="J110" t="s">
        <v>17</v>
      </c>
      <c r="K110" s="59" t="s">
        <v>4376</v>
      </c>
    </row>
    <row r="111" spans="1:11" x14ac:dyDescent="0.2">
      <c r="A111" t="s">
        <v>149</v>
      </c>
      <c r="B111">
        <v>2018</v>
      </c>
      <c r="C111" t="s">
        <v>33</v>
      </c>
      <c r="D111">
        <v>108</v>
      </c>
      <c r="E111" t="s">
        <v>38</v>
      </c>
      <c r="F111" t="s">
        <v>39</v>
      </c>
      <c r="G111" t="s">
        <v>15</v>
      </c>
      <c r="H111">
        <v>1.207133472294913</v>
      </c>
      <c r="I111">
        <v>3</v>
      </c>
      <c r="J111" t="s">
        <v>23</v>
      </c>
      <c r="K111" s="59" t="s">
        <v>4376</v>
      </c>
    </row>
    <row r="112" spans="1:11" x14ac:dyDescent="0.2">
      <c r="A112" t="s">
        <v>150</v>
      </c>
      <c r="B112">
        <v>2017</v>
      </c>
      <c r="C112" t="s">
        <v>19</v>
      </c>
      <c r="D112">
        <v>50</v>
      </c>
      <c r="E112" t="s">
        <v>25</v>
      </c>
      <c r="F112" t="s">
        <v>26</v>
      </c>
      <c r="G112" t="s">
        <v>15</v>
      </c>
      <c r="H112">
        <v>0.24728791248659579</v>
      </c>
      <c r="I112">
        <v>2</v>
      </c>
      <c r="J112" t="s">
        <v>23</v>
      </c>
      <c r="K112" s="59" t="s">
        <v>17</v>
      </c>
    </row>
    <row r="113" spans="1:11" x14ac:dyDescent="0.2">
      <c r="A113" t="s">
        <v>151</v>
      </c>
      <c r="B113">
        <v>2018</v>
      </c>
      <c r="C113" t="s">
        <v>33</v>
      </c>
      <c r="D113">
        <v>48</v>
      </c>
      <c r="E113" t="s">
        <v>20</v>
      </c>
      <c r="F113" t="s">
        <v>21</v>
      </c>
      <c r="G113" t="s">
        <v>15</v>
      </c>
      <c r="H113">
        <v>-1.079165326415175</v>
      </c>
      <c r="I113">
        <v>3</v>
      </c>
      <c r="J113" t="s">
        <v>23</v>
      </c>
      <c r="K113" s="59" t="s">
        <v>17</v>
      </c>
    </row>
    <row r="114" spans="1:11" x14ac:dyDescent="0.2">
      <c r="A114" t="s">
        <v>152</v>
      </c>
      <c r="B114">
        <v>2017</v>
      </c>
      <c r="C114" t="s">
        <v>19</v>
      </c>
      <c r="D114">
        <v>54</v>
      </c>
      <c r="E114" t="s">
        <v>29</v>
      </c>
      <c r="F114" t="s">
        <v>30</v>
      </c>
      <c r="G114" t="s">
        <v>48</v>
      </c>
      <c r="H114">
        <v>0.30266361786015239</v>
      </c>
      <c r="I114">
        <v>4</v>
      </c>
      <c r="J114" t="s">
        <v>23</v>
      </c>
      <c r="K114" s="59" t="s">
        <v>23</v>
      </c>
    </row>
    <row r="115" spans="1:11" x14ac:dyDescent="0.2">
      <c r="A115" t="s">
        <v>153</v>
      </c>
      <c r="B115">
        <v>2017</v>
      </c>
      <c r="C115" t="s">
        <v>33</v>
      </c>
      <c r="D115">
        <v>51</v>
      </c>
      <c r="E115" t="s">
        <v>25</v>
      </c>
      <c r="F115" t="s">
        <v>26</v>
      </c>
      <c r="G115" t="s">
        <v>48</v>
      </c>
      <c r="H115">
        <v>-1.559480200093766</v>
      </c>
      <c r="I115">
        <v>2</v>
      </c>
      <c r="J115" t="s">
        <v>16</v>
      </c>
      <c r="K115" s="59" t="s">
        <v>23</v>
      </c>
    </row>
    <row r="116" spans="1:11" x14ac:dyDescent="0.2">
      <c r="A116" t="s">
        <v>154</v>
      </c>
      <c r="B116">
        <v>2017</v>
      </c>
      <c r="C116" t="s">
        <v>19</v>
      </c>
      <c r="D116">
        <v>140</v>
      </c>
      <c r="E116" t="s">
        <v>20</v>
      </c>
      <c r="F116" t="s">
        <v>21</v>
      </c>
      <c r="G116" t="s">
        <v>15</v>
      </c>
      <c r="H116">
        <v>-1.6747557697766271</v>
      </c>
      <c r="I116">
        <v>3</v>
      </c>
      <c r="J116" t="s">
        <v>23</v>
      </c>
      <c r="K116" s="59" t="s">
        <v>17</v>
      </c>
    </row>
    <row r="117" spans="1:11" x14ac:dyDescent="0.2">
      <c r="A117" t="s">
        <v>155</v>
      </c>
      <c r="B117">
        <v>2018</v>
      </c>
      <c r="C117" t="s">
        <v>19</v>
      </c>
      <c r="D117">
        <v>123</v>
      </c>
      <c r="E117" t="s">
        <v>20</v>
      </c>
      <c r="F117" t="s">
        <v>21</v>
      </c>
      <c r="G117" t="s">
        <v>48</v>
      </c>
      <c r="H117">
        <v>2.0042933440001249</v>
      </c>
      <c r="I117">
        <v>3</v>
      </c>
      <c r="J117" t="s">
        <v>16</v>
      </c>
      <c r="K117" s="59" t="s">
        <v>23</v>
      </c>
    </row>
    <row r="118" spans="1:11" x14ac:dyDescent="0.2">
      <c r="A118" t="s">
        <v>156</v>
      </c>
      <c r="B118">
        <v>2021</v>
      </c>
      <c r="C118" t="s">
        <v>33</v>
      </c>
      <c r="D118">
        <v>440</v>
      </c>
      <c r="E118" t="s">
        <v>38</v>
      </c>
      <c r="F118" t="s">
        <v>39</v>
      </c>
      <c r="G118" t="s">
        <v>15</v>
      </c>
      <c r="H118">
        <v>0.51117068710679503</v>
      </c>
      <c r="I118">
        <v>3</v>
      </c>
      <c r="J118" t="s">
        <v>23</v>
      </c>
      <c r="K118" s="59" t="s">
        <v>23</v>
      </c>
    </row>
    <row r="119" spans="1:11" x14ac:dyDescent="0.2">
      <c r="A119" t="s">
        <v>157</v>
      </c>
      <c r="B119">
        <v>2016</v>
      </c>
      <c r="C119" t="s">
        <v>12</v>
      </c>
      <c r="D119">
        <v>85</v>
      </c>
      <c r="E119" t="s">
        <v>29</v>
      </c>
      <c r="F119" t="s">
        <v>30</v>
      </c>
      <c r="G119" t="s">
        <v>15</v>
      </c>
      <c r="H119">
        <v>-0.45283473113829409</v>
      </c>
      <c r="I119">
        <v>4</v>
      </c>
      <c r="J119" t="s">
        <v>23</v>
      </c>
      <c r="K119" s="59" t="s">
        <v>4376</v>
      </c>
    </row>
    <row r="120" spans="1:11" x14ac:dyDescent="0.2">
      <c r="A120" t="s">
        <v>158</v>
      </c>
      <c r="B120">
        <v>2018</v>
      </c>
      <c r="C120" t="s">
        <v>12</v>
      </c>
      <c r="D120">
        <v>185</v>
      </c>
      <c r="E120" t="s">
        <v>20</v>
      </c>
      <c r="F120" t="s">
        <v>21</v>
      </c>
      <c r="G120" t="s">
        <v>15</v>
      </c>
      <c r="H120">
        <v>-2.3053068367304208</v>
      </c>
      <c r="I120">
        <v>3</v>
      </c>
      <c r="J120" t="s">
        <v>23</v>
      </c>
      <c r="K120" s="59" t="s">
        <v>23</v>
      </c>
    </row>
    <row r="121" spans="1:11" x14ac:dyDescent="0.2">
      <c r="A121" t="s">
        <v>159</v>
      </c>
      <c r="B121">
        <v>2017</v>
      </c>
      <c r="C121" t="s">
        <v>19</v>
      </c>
      <c r="D121">
        <v>33</v>
      </c>
      <c r="E121" t="s">
        <v>13</v>
      </c>
      <c r="F121" t="s">
        <v>14</v>
      </c>
      <c r="G121" t="s">
        <v>15</v>
      </c>
      <c r="H121">
        <v>-1.6433169780449379</v>
      </c>
      <c r="I121">
        <v>4</v>
      </c>
      <c r="J121" t="s">
        <v>23</v>
      </c>
      <c r="K121" s="59" t="s">
        <v>16</v>
      </c>
    </row>
    <row r="122" spans="1:11" x14ac:dyDescent="0.2">
      <c r="A122" t="s">
        <v>160</v>
      </c>
      <c r="B122">
        <v>2017</v>
      </c>
      <c r="C122" t="s">
        <v>33</v>
      </c>
      <c r="D122">
        <v>93</v>
      </c>
      <c r="E122" t="s">
        <v>20</v>
      </c>
      <c r="F122" t="s">
        <v>21</v>
      </c>
      <c r="G122" t="s">
        <v>15</v>
      </c>
      <c r="H122">
        <v>-0.81576684730111015</v>
      </c>
      <c r="I122">
        <v>3</v>
      </c>
      <c r="J122" t="s">
        <v>17</v>
      </c>
      <c r="K122" s="59" t="s">
        <v>4376</v>
      </c>
    </row>
    <row r="123" spans="1:11" x14ac:dyDescent="0.2">
      <c r="A123" t="s">
        <v>161</v>
      </c>
      <c r="B123">
        <v>2016</v>
      </c>
      <c r="C123" t="s">
        <v>33</v>
      </c>
      <c r="D123">
        <v>110</v>
      </c>
      <c r="E123" t="s">
        <v>53</v>
      </c>
      <c r="F123" t="s">
        <v>54</v>
      </c>
      <c r="G123" t="s">
        <v>15</v>
      </c>
      <c r="H123">
        <v>-2.3559295906298989</v>
      </c>
      <c r="I123">
        <v>3</v>
      </c>
      <c r="J123" t="s">
        <v>17</v>
      </c>
      <c r="K123" s="59" t="s">
        <v>4376</v>
      </c>
    </row>
    <row r="124" spans="1:11" x14ac:dyDescent="0.2">
      <c r="A124" t="s">
        <v>162</v>
      </c>
      <c r="B124">
        <v>2016</v>
      </c>
      <c r="C124" t="s">
        <v>33</v>
      </c>
      <c r="D124">
        <v>109</v>
      </c>
      <c r="E124" t="s">
        <v>53</v>
      </c>
      <c r="F124" t="s">
        <v>54</v>
      </c>
      <c r="G124" t="s">
        <v>15</v>
      </c>
      <c r="H124">
        <v>-2.388618242583338</v>
      </c>
      <c r="I124">
        <v>3</v>
      </c>
      <c r="J124" t="s">
        <v>17</v>
      </c>
      <c r="K124" s="59" t="s">
        <v>4376</v>
      </c>
    </row>
    <row r="125" spans="1:11" x14ac:dyDescent="0.2">
      <c r="A125" t="s">
        <v>163</v>
      </c>
      <c r="B125">
        <v>2017</v>
      </c>
      <c r="C125" t="s">
        <v>19</v>
      </c>
      <c r="D125">
        <v>80</v>
      </c>
      <c r="E125" t="s">
        <v>20</v>
      </c>
      <c r="F125" t="s">
        <v>21</v>
      </c>
      <c r="G125" t="s">
        <v>15</v>
      </c>
      <c r="H125">
        <v>1.207133472294913</v>
      </c>
      <c r="I125">
        <v>3</v>
      </c>
      <c r="J125" t="s">
        <v>23</v>
      </c>
      <c r="K125" s="59" t="s">
        <v>23</v>
      </c>
    </row>
    <row r="126" spans="1:11" x14ac:dyDescent="0.2">
      <c r="A126" t="s">
        <v>164</v>
      </c>
      <c r="B126">
        <v>2016</v>
      </c>
      <c r="C126" t="s">
        <v>12</v>
      </c>
      <c r="D126">
        <v>107</v>
      </c>
      <c r="E126" t="s">
        <v>53</v>
      </c>
      <c r="F126" t="s">
        <v>54</v>
      </c>
      <c r="G126" t="s">
        <v>15</v>
      </c>
      <c r="H126">
        <v>-2.895383998287675</v>
      </c>
      <c r="I126">
        <v>3</v>
      </c>
      <c r="J126" t="s">
        <v>17</v>
      </c>
      <c r="K126" s="59" t="s">
        <v>17</v>
      </c>
    </row>
    <row r="127" spans="1:11" x14ac:dyDescent="0.2">
      <c r="A127" t="s">
        <v>165</v>
      </c>
      <c r="B127">
        <v>2016</v>
      </c>
      <c r="C127" t="s">
        <v>33</v>
      </c>
      <c r="D127">
        <v>61</v>
      </c>
      <c r="E127" t="s">
        <v>25</v>
      </c>
      <c r="F127" t="s">
        <v>26</v>
      </c>
      <c r="G127" t="s">
        <v>48</v>
      </c>
      <c r="H127">
        <v>-0.59192132013269738</v>
      </c>
      <c r="I127">
        <v>2</v>
      </c>
      <c r="J127" t="s">
        <v>17</v>
      </c>
      <c r="K127" s="59" t="s">
        <v>4376</v>
      </c>
    </row>
    <row r="128" spans="1:11" x14ac:dyDescent="0.2">
      <c r="A128" t="s">
        <v>166</v>
      </c>
      <c r="B128">
        <v>2016</v>
      </c>
      <c r="C128" t="s">
        <v>33</v>
      </c>
      <c r="D128">
        <v>74</v>
      </c>
      <c r="E128" t="s">
        <v>29</v>
      </c>
      <c r="F128" t="s">
        <v>30</v>
      </c>
      <c r="G128" t="s">
        <v>167</v>
      </c>
      <c r="H128">
        <v>-1.335160172602792</v>
      </c>
      <c r="I128">
        <v>4</v>
      </c>
      <c r="J128" t="s">
        <v>16</v>
      </c>
      <c r="K128" s="59" t="s">
        <v>4376</v>
      </c>
    </row>
    <row r="129" spans="1:11" x14ac:dyDescent="0.2">
      <c r="A129" t="s">
        <v>168</v>
      </c>
      <c r="B129">
        <v>2023</v>
      </c>
      <c r="C129" t="s">
        <v>12</v>
      </c>
      <c r="D129">
        <v>100</v>
      </c>
      <c r="E129" t="s">
        <v>25</v>
      </c>
      <c r="F129" t="s">
        <v>26</v>
      </c>
      <c r="G129" t="s">
        <v>15</v>
      </c>
      <c r="H129">
        <v>-0.23263486741756259</v>
      </c>
      <c r="I129">
        <v>2</v>
      </c>
      <c r="J129" t="s">
        <v>23</v>
      </c>
      <c r="K129" s="59" t="s">
        <v>23</v>
      </c>
    </row>
    <row r="130" spans="1:11" x14ac:dyDescent="0.2">
      <c r="A130" t="s">
        <v>169</v>
      </c>
      <c r="B130">
        <v>2016</v>
      </c>
      <c r="C130" t="s">
        <v>33</v>
      </c>
      <c r="D130">
        <v>71</v>
      </c>
      <c r="E130" t="s">
        <v>29</v>
      </c>
      <c r="F130" t="s">
        <v>30</v>
      </c>
      <c r="G130" t="s">
        <v>34</v>
      </c>
      <c r="H130">
        <v>-1.4425810308379059</v>
      </c>
      <c r="I130">
        <v>4</v>
      </c>
      <c r="J130" t="s">
        <v>16</v>
      </c>
      <c r="K130" s="59" t="s">
        <v>4376</v>
      </c>
    </row>
    <row r="131" spans="1:11" x14ac:dyDescent="0.2">
      <c r="A131" t="s">
        <v>170</v>
      </c>
      <c r="B131">
        <v>2018</v>
      </c>
      <c r="C131" t="s">
        <v>12</v>
      </c>
      <c r="D131">
        <v>53</v>
      </c>
      <c r="E131" t="s">
        <v>38</v>
      </c>
      <c r="F131" t="s">
        <v>39</v>
      </c>
      <c r="G131" t="s">
        <v>15</v>
      </c>
      <c r="H131">
        <v>-0.71255764732172089</v>
      </c>
      <c r="I131">
        <v>3</v>
      </c>
      <c r="J131" t="s">
        <v>23</v>
      </c>
      <c r="K131" s="59" t="s">
        <v>23</v>
      </c>
    </row>
    <row r="132" spans="1:11" x14ac:dyDescent="0.2">
      <c r="A132" t="s">
        <v>171</v>
      </c>
      <c r="B132">
        <v>2016</v>
      </c>
      <c r="C132" t="s">
        <v>33</v>
      </c>
      <c r="D132">
        <v>73</v>
      </c>
      <c r="E132" t="s">
        <v>29</v>
      </c>
      <c r="F132" t="s">
        <v>30</v>
      </c>
      <c r="G132" t="s">
        <v>34</v>
      </c>
      <c r="H132">
        <v>-1.369986112943856</v>
      </c>
      <c r="I132">
        <v>4</v>
      </c>
      <c r="J132" t="s">
        <v>16</v>
      </c>
      <c r="K132" s="59" t="s">
        <v>4376</v>
      </c>
    </row>
    <row r="133" spans="1:11" x14ac:dyDescent="0.2">
      <c r="A133" t="s">
        <v>172</v>
      </c>
      <c r="B133">
        <v>2016</v>
      </c>
      <c r="C133" t="s">
        <v>33</v>
      </c>
      <c r="D133">
        <v>73</v>
      </c>
      <c r="E133" t="s">
        <v>29</v>
      </c>
      <c r="F133" t="s">
        <v>30</v>
      </c>
      <c r="G133" t="s">
        <v>34</v>
      </c>
      <c r="H133">
        <v>-1.369986112943856</v>
      </c>
      <c r="I133">
        <v>4</v>
      </c>
      <c r="J133" t="s">
        <v>16</v>
      </c>
      <c r="K133" s="59" t="s">
        <v>17</v>
      </c>
    </row>
    <row r="134" spans="1:11" x14ac:dyDescent="0.2">
      <c r="A134" t="s">
        <v>173</v>
      </c>
      <c r="B134">
        <v>2016</v>
      </c>
      <c r="C134" t="s">
        <v>33</v>
      </c>
      <c r="D134">
        <v>74</v>
      </c>
      <c r="E134" t="s">
        <v>29</v>
      </c>
      <c r="F134" t="s">
        <v>30</v>
      </c>
      <c r="G134" t="s">
        <v>34</v>
      </c>
      <c r="H134">
        <v>-1.335160172602792</v>
      </c>
      <c r="I134">
        <v>4</v>
      </c>
      <c r="J134" t="s">
        <v>16</v>
      </c>
      <c r="K134" s="59" t="s">
        <v>4376</v>
      </c>
    </row>
    <row r="135" spans="1:11" x14ac:dyDescent="0.2">
      <c r="A135" t="s">
        <v>174</v>
      </c>
      <c r="B135">
        <v>2016</v>
      </c>
      <c r="C135" t="s">
        <v>33</v>
      </c>
      <c r="D135">
        <v>73</v>
      </c>
      <c r="E135" t="s">
        <v>29</v>
      </c>
      <c r="F135" t="s">
        <v>30</v>
      </c>
      <c r="G135" t="s">
        <v>34</v>
      </c>
      <c r="H135">
        <v>-1.369986112943856</v>
      </c>
      <c r="I135">
        <v>4</v>
      </c>
      <c r="J135" t="s">
        <v>16</v>
      </c>
      <c r="K135" s="59" t="s">
        <v>4376</v>
      </c>
    </row>
    <row r="136" spans="1:11" x14ac:dyDescent="0.2">
      <c r="A136" t="s">
        <v>175</v>
      </c>
      <c r="B136">
        <v>2017</v>
      </c>
      <c r="C136" t="s">
        <v>33</v>
      </c>
      <c r="D136">
        <v>158</v>
      </c>
      <c r="E136" t="s">
        <v>25</v>
      </c>
      <c r="F136" t="s">
        <v>26</v>
      </c>
      <c r="G136" t="s">
        <v>48</v>
      </c>
      <c r="H136">
        <v>0.90369842435550918</v>
      </c>
      <c r="I136">
        <v>2</v>
      </c>
      <c r="J136" t="s">
        <v>16</v>
      </c>
      <c r="K136" s="59" t="s">
        <v>4376</v>
      </c>
    </row>
    <row r="137" spans="1:11" x14ac:dyDescent="0.2">
      <c r="A137" t="s">
        <v>176</v>
      </c>
      <c r="B137">
        <v>2016</v>
      </c>
      <c r="C137" t="s">
        <v>33</v>
      </c>
      <c r="D137">
        <v>109</v>
      </c>
      <c r="E137" t="s">
        <v>53</v>
      </c>
      <c r="F137" t="s">
        <v>54</v>
      </c>
      <c r="G137" t="s">
        <v>15</v>
      </c>
      <c r="H137">
        <v>-2.388618242583338</v>
      </c>
      <c r="I137">
        <v>3</v>
      </c>
      <c r="J137" t="s">
        <v>17</v>
      </c>
      <c r="K137" s="59" t="s">
        <v>16</v>
      </c>
    </row>
    <row r="138" spans="1:11" x14ac:dyDescent="0.2">
      <c r="A138" t="s">
        <v>177</v>
      </c>
      <c r="B138">
        <v>2017</v>
      </c>
      <c r="C138" t="s">
        <v>12</v>
      </c>
      <c r="D138">
        <v>168</v>
      </c>
      <c r="E138" t="s">
        <v>20</v>
      </c>
      <c r="F138" t="s">
        <v>21</v>
      </c>
      <c r="G138" t="s">
        <v>15</v>
      </c>
      <c r="H138">
        <v>-0.21809175287501251</v>
      </c>
      <c r="I138">
        <v>3</v>
      </c>
      <c r="J138" t="s">
        <v>23</v>
      </c>
      <c r="K138" s="59" t="s">
        <v>17</v>
      </c>
    </row>
    <row r="139" spans="1:11" x14ac:dyDescent="0.2">
      <c r="A139" t="s">
        <v>178</v>
      </c>
      <c r="B139">
        <v>2017</v>
      </c>
      <c r="C139" t="s">
        <v>19</v>
      </c>
      <c r="D139">
        <v>91</v>
      </c>
      <c r="E139" t="s">
        <v>20</v>
      </c>
      <c r="F139" t="s">
        <v>21</v>
      </c>
      <c r="G139" t="s">
        <v>48</v>
      </c>
      <c r="H139">
        <v>0.67867917532179434</v>
      </c>
      <c r="I139">
        <v>3</v>
      </c>
      <c r="J139" t="s">
        <v>23</v>
      </c>
      <c r="K139" s="59" t="s">
        <v>23</v>
      </c>
    </row>
    <row r="140" spans="1:11" x14ac:dyDescent="0.2">
      <c r="A140" t="s">
        <v>179</v>
      </c>
      <c r="B140">
        <v>2019</v>
      </c>
      <c r="C140" t="s">
        <v>12</v>
      </c>
      <c r="D140">
        <v>121</v>
      </c>
      <c r="E140" t="s">
        <v>20</v>
      </c>
      <c r="F140" t="s">
        <v>21</v>
      </c>
      <c r="G140" t="s">
        <v>15</v>
      </c>
      <c r="H140">
        <v>2.1441898414050579E-2</v>
      </c>
      <c r="I140">
        <v>3</v>
      </c>
      <c r="J140" t="s">
        <v>23</v>
      </c>
      <c r="K140" s="59" t="s">
        <v>17</v>
      </c>
    </row>
    <row r="141" spans="1:11" x14ac:dyDescent="0.2">
      <c r="A141" t="s">
        <v>180</v>
      </c>
      <c r="B141">
        <v>2016</v>
      </c>
      <c r="C141" t="s">
        <v>33</v>
      </c>
      <c r="D141">
        <v>71</v>
      </c>
      <c r="E141" t="s">
        <v>29</v>
      </c>
      <c r="F141" t="s">
        <v>30</v>
      </c>
      <c r="G141" t="s">
        <v>34</v>
      </c>
      <c r="H141">
        <v>-1.4425810308379059</v>
      </c>
      <c r="I141">
        <v>4</v>
      </c>
      <c r="J141" t="s">
        <v>16</v>
      </c>
      <c r="K141" s="59" t="s">
        <v>4376</v>
      </c>
    </row>
    <row r="142" spans="1:11" x14ac:dyDescent="0.2">
      <c r="A142" t="s">
        <v>181</v>
      </c>
      <c r="B142">
        <v>2016</v>
      </c>
      <c r="C142" t="s">
        <v>19</v>
      </c>
      <c r="D142">
        <v>68</v>
      </c>
      <c r="E142" t="s">
        <v>20</v>
      </c>
      <c r="F142" t="s">
        <v>21</v>
      </c>
      <c r="G142" t="s">
        <v>80</v>
      </c>
      <c r="H142">
        <v>0.48355758874710453</v>
      </c>
      <c r="I142">
        <v>3</v>
      </c>
      <c r="J142" t="s">
        <v>23</v>
      </c>
      <c r="K142" s="59" t="s">
        <v>16</v>
      </c>
    </row>
    <row r="143" spans="1:11" x14ac:dyDescent="0.2">
      <c r="A143" t="s">
        <v>182</v>
      </c>
      <c r="B143">
        <v>2016</v>
      </c>
      <c r="C143" t="s">
        <v>33</v>
      </c>
      <c r="D143">
        <v>61</v>
      </c>
      <c r="E143" t="s">
        <v>13</v>
      </c>
      <c r="F143" t="s">
        <v>14</v>
      </c>
      <c r="G143" t="s">
        <v>15</v>
      </c>
      <c r="H143">
        <v>-1.1059369751120149</v>
      </c>
      <c r="I143">
        <v>4</v>
      </c>
      <c r="J143" t="s">
        <v>23</v>
      </c>
      <c r="K143" s="59" t="s">
        <v>4376</v>
      </c>
    </row>
    <row r="144" spans="1:11" x14ac:dyDescent="0.2">
      <c r="A144" t="s">
        <v>183</v>
      </c>
      <c r="B144">
        <v>2016</v>
      </c>
      <c r="C144" t="s">
        <v>33</v>
      </c>
      <c r="D144">
        <v>61</v>
      </c>
      <c r="E144" t="s">
        <v>13</v>
      </c>
      <c r="F144" t="s">
        <v>14</v>
      </c>
      <c r="G144" t="s">
        <v>15</v>
      </c>
      <c r="H144">
        <v>-1.1059369751120149</v>
      </c>
      <c r="I144">
        <v>4</v>
      </c>
      <c r="J144" t="s">
        <v>23</v>
      </c>
      <c r="K144" s="59" t="s">
        <v>4376</v>
      </c>
    </row>
    <row r="145" spans="1:11" x14ac:dyDescent="0.2">
      <c r="A145" t="s">
        <v>184</v>
      </c>
      <c r="B145">
        <v>2016</v>
      </c>
      <c r="C145" t="s">
        <v>33</v>
      </c>
      <c r="D145">
        <v>63</v>
      </c>
      <c r="E145" t="s">
        <v>13</v>
      </c>
      <c r="F145" t="s">
        <v>14</v>
      </c>
      <c r="G145" t="s">
        <v>15</v>
      </c>
      <c r="H145">
        <v>-0.28595962074024678</v>
      </c>
      <c r="I145">
        <v>4</v>
      </c>
      <c r="J145" t="s">
        <v>23</v>
      </c>
      <c r="K145" s="59" t="s">
        <v>4376</v>
      </c>
    </row>
    <row r="146" spans="1:11" x14ac:dyDescent="0.2">
      <c r="A146" t="s">
        <v>185</v>
      </c>
      <c r="B146">
        <v>2016</v>
      </c>
      <c r="C146" t="s">
        <v>33</v>
      </c>
      <c r="D146">
        <v>64</v>
      </c>
      <c r="E146" t="s">
        <v>13</v>
      </c>
      <c r="F146" t="s">
        <v>14</v>
      </c>
      <c r="G146" t="s">
        <v>15</v>
      </c>
      <c r="H146">
        <v>-0.26263004116157262</v>
      </c>
      <c r="I146">
        <v>4</v>
      </c>
      <c r="J146" t="s">
        <v>23</v>
      </c>
      <c r="K146" s="59" t="s">
        <v>4376</v>
      </c>
    </row>
    <row r="147" spans="1:11" x14ac:dyDescent="0.2">
      <c r="A147" t="s">
        <v>186</v>
      </c>
      <c r="B147">
        <v>2016</v>
      </c>
      <c r="C147" t="s">
        <v>33</v>
      </c>
      <c r="D147">
        <v>61</v>
      </c>
      <c r="E147" t="s">
        <v>13</v>
      </c>
      <c r="F147" t="s">
        <v>14</v>
      </c>
      <c r="G147" t="s">
        <v>15</v>
      </c>
      <c r="H147">
        <v>-1.1059369751120149</v>
      </c>
      <c r="I147">
        <v>4</v>
      </c>
      <c r="J147" t="s">
        <v>23</v>
      </c>
      <c r="K147" s="59" t="s">
        <v>4376</v>
      </c>
    </row>
    <row r="148" spans="1:11" x14ac:dyDescent="0.2">
      <c r="A148" t="s">
        <v>187</v>
      </c>
      <c r="B148">
        <v>2016</v>
      </c>
      <c r="C148" t="s">
        <v>33</v>
      </c>
      <c r="D148">
        <v>62</v>
      </c>
      <c r="E148" t="s">
        <v>13</v>
      </c>
      <c r="F148" t="s">
        <v>14</v>
      </c>
      <c r="G148" t="s">
        <v>15</v>
      </c>
      <c r="H148">
        <v>-1.068629387250613</v>
      </c>
      <c r="I148">
        <v>4</v>
      </c>
      <c r="J148" t="s">
        <v>23</v>
      </c>
      <c r="K148" s="59" t="s">
        <v>4376</v>
      </c>
    </row>
    <row r="149" spans="1:11" x14ac:dyDescent="0.2">
      <c r="A149" t="s">
        <v>188</v>
      </c>
      <c r="B149">
        <v>2016</v>
      </c>
      <c r="C149" t="s">
        <v>33</v>
      </c>
      <c r="D149">
        <v>124</v>
      </c>
      <c r="E149" t="s">
        <v>20</v>
      </c>
      <c r="F149" t="s">
        <v>21</v>
      </c>
      <c r="G149" t="s">
        <v>112</v>
      </c>
      <c r="H149">
        <v>1.207133472294913</v>
      </c>
      <c r="I149">
        <v>3</v>
      </c>
      <c r="J149" t="s">
        <v>23</v>
      </c>
      <c r="K149" s="59" t="s">
        <v>4376</v>
      </c>
    </row>
    <row r="150" spans="1:11" x14ac:dyDescent="0.2">
      <c r="A150" t="s">
        <v>189</v>
      </c>
      <c r="B150">
        <v>2016</v>
      </c>
      <c r="C150" t="s">
        <v>33</v>
      </c>
      <c r="D150">
        <v>63</v>
      </c>
      <c r="E150" t="s">
        <v>13</v>
      </c>
      <c r="F150" t="s">
        <v>14</v>
      </c>
      <c r="G150" t="s">
        <v>15</v>
      </c>
      <c r="H150">
        <v>-0.28595962074024678</v>
      </c>
      <c r="I150">
        <v>4</v>
      </c>
      <c r="J150" t="s">
        <v>23</v>
      </c>
      <c r="K150" s="59" t="s">
        <v>23</v>
      </c>
    </row>
    <row r="151" spans="1:11" x14ac:dyDescent="0.2">
      <c r="A151" t="s">
        <v>190</v>
      </c>
      <c r="B151">
        <v>2016</v>
      </c>
      <c r="C151" t="s">
        <v>33</v>
      </c>
      <c r="D151">
        <v>61</v>
      </c>
      <c r="E151" t="s">
        <v>13</v>
      </c>
      <c r="F151" t="s">
        <v>14</v>
      </c>
      <c r="G151" t="s">
        <v>15</v>
      </c>
      <c r="H151">
        <v>-1.1059369751120149</v>
      </c>
      <c r="I151">
        <v>4</v>
      </c>
      <c r="J151" t="s">
        <v>23</v>
      </c>
      <c r="K151" s="59" t="s">
        <v>23</v>
      </c>
    </row>
    <row r="152" spans="1:11" x14ac:dyDescent="0.2">
      <c r="A152" t="s">
        <v>191</v>
      </c>
      <c r="B152">
        <v>2024</v>
      </c>
      <c r="C152" t="s">
        <v>19</v>
      </c>
      <c r="D152">
        <v>617</v>
      </c>
      <c r="E152" t="s">
        <v>53</v>
      </c>
      <c r="F152" t="s">
        <v>54</v>
      </c>
      <c r="G152" t="s">
        <v>15</v>
      </c>
      <c r="H152">
        <v>-0.12422943301980099</v>
      </c>
      <c r="I152">
        <v>3</v>
      </c>
      <c r="J152" t="s">
        <v>16</v>
      </c>
      <c r="K152" s="59" t="s">
        <v>17</v>
      </c>
    </row>
    <row r="153" spans="1:11" x14ac:dyDescent="0.2">
      <c r="A153" t="s">
        <v>192</v>
      </c>
      <c r="B153">
        <v>2016</v>
      </c>
      <c r="C153" t="s">
        <v>33</v>
      </c>
      <c r="D153">
        <v>61</v>
      </c>
      <c r="E153" t="s">
        <v>13</v>
      </c>
      <c r="F153" t="s">
        <v>14</v>
      </c>
      <c r="G153" t="s">
        <v>15</v>
      </c>
      <c r="H153">
        <v>-1.1059369751120149</v>
      </c>
      <c r="I153">
        <v>4</v>
      </c>
      <c r="J153" t="s">
        <v>23</v>
      </c>
      <c r="K153" s="59" t="s">
        <v>4376</v>
      </c>
    </row>
    <row r="154" spans="1:11" x14ac:dyDescent="0.2">
      <c r="A154" t="s">
        <v>193</v>
      </c>
      <c r="B154">
        <v>2018</v>
      </c>
      <c r="C154" t="s">
        <v>33</v>
      </c>
      <c r="D154">
        <v>321</v>
      </c>
      <c r="E154" t="s">
        <v>25</v>
      </c>
      <c r="F154" t="s">
        <v>26</v>
      </c>
      <c r="G154" t="s">
        <v>48</v>
      </c>
      <c r="H154">
        <v>0.52124383268188623</v>
      </c>
      <c r="I154">
        <v>2</v>
      </c>
      <c r="J154" t="s">
        <v>17</v>
      </c>
      <c r="K154" s="59" t="s">
        <v>4376</v>
      </c>
    </row>
    <row r="155" spans="1:11" x14ac:dyDescent="0.2">
      <c r="A155" t="s">
        <v>194</v>
      </c>
      <c r="B155">
        <v>2019</v>
      </c>
      <c r="C155" t="s">
        <v>19</v>
      </c>
      <c r="D155">
        <v>403</v>
      </c>
      <c r="E155" t="s">
        <v>20</v>
      </c>
      <c r="F155" t="s">
        <v>21</v>
      </c>
      <c r="G155" t="s">
        <v>48</v>
      </c>
      <c r="H155">
        <v>0.35421371319063111</v>
      </c>
      <c r="I155">
        <v>3</v>
      </c>
      <c r="J155" t="s">
        <v>16</v>
      </c>
      <c r="K155" s="59" t="s">
        <v>23</v>
      </c>
    </row>
    <row r="156" spans="1:11" x14ac:dyDescent="0.2">
      <c r="A156" t="s">
        <v>195</v>
      </c>
      <c r="B156">
        <v>2016</v>
      </c>
      <c r="C156" t="s">
        <v>19</v>
      </c>
      <c r="D156">
        <v>78</v>
      </c>
      <c r="E156" t="s">
        <v>29</v>
      </c>
      <c r="F156" t="s">
        <v>30</v>
      </c>
      <c r="G156" t="s">
        <v>15</v>
      </c>
      <c r="H156">
        <v>1.173666381899163E-3</v>
      </c>
      <c r="I156">
        <v>4</v>
      </c>
      <c r="J156" t="s">
        <v>23</v>
      </c>
      <c r="K156" s="59" t="s">
        <v>23</v>
      </c>
    </row>
    <row r="157" spans="1:11" x14ac:dyDescent="0.2">
      <c r="A157" t="s">
        <v>196</v>
      </c>
      <c r="B157">
        <v>2018</v>
      </c>
      <c r="C157" t="s">
        <v>19</v>
      </c>
      <c r="D157">
        <v>44</v>
      </c>
      <c r="E157" t="s">
        <v>20</v>
      </c>
      <c r="F157" t="s">
        <v>21</v>
      </c>
      <c r="G157" t="s">
        <v>15</v>
      </c>
      <c r="H157">
        <v>1.207133472294913</v>
      </c>
      <c r="I157">
        <v>3</v>
      </c>
      <c r="J157" t="s">
        <v>23</v>
      </c>
      <c r="K157" s="59" t="s">
        <v>17</v>
      </c>
    </row>
    <row r="158" spans="1:11" x14ac:dyDescent="0.2">
      <c r="A158" t="s">
        <v>197</v>
      </c>
      <c r="B158">
        <v>2017</v>
      </c>
      <c r="C158" t="s">
        <v>33</v>
      </c>
      <c r="D158">
        <v>71</v>
      </c>
      <c r="E158" t="s">
        <v>20</v>
      </c>
      <c r="F158" t="s">
        <v>21</v>
      </c>
      <c r="G158" t="s">
        <v>44</v>
      </c>
      <c r="H158">
        <v>-0.13665031143673101</v>
      </c>
      <c r="I158">
        <v>3</v>
      </c>
      <c r="J158" t="s">
        <v>17</v>
      </c>
      <c r="K158" s="59" t="s">
        <v>4376</v>
      </c>
    </row>
    <row r="159" spans="1:11" x14ac:dyDescent="0.2">
      <c r="A159" t="s">
        <v>198</v>
      </c>
      <c r="B159">
        <v>2019</v>
      </c>
      <c r="C159" t="s">
        <v>19</v>
      </c>
      <c r="D159">
        <v>143</v>
      </c>
      <c r="E159" t="s">
        <v>20</v>
      </c>
      <c r="F159" t="s">
        <v>21</v>
      </c>
      <c r="G159" t="s">
        <v>15</v>
      </c>
      <c r="H159">
        <v>-0.44893809216309888</v>
      </c>
      <c r="I159">
        <v>3</v>
      </c>
      <c r="J159" t="s">
        <v>23</v>
      </c>
      <c r="K159" s="59" t="s">
        <v>17</v>
      </c>
    </row>
    <row r="160" spans="1:11" x14ac:dyDescent="0.2">
      <c r="A160" t="s">
        <v>199</v>
      </c>
      <c r="B160">
        <v>2017</v>
      </c>
      <c r="C160" t="s">
        <v>12</v>
      </c>
      <c r="D160">
        <v>79</v>
      </c>
      <c r="E160" t="s">
        <v>38</v>
      </c>
      <c r="F160" t="s">
        <v>39</v>
      </c>
      <c r="G160" t="s">
        <v>15</v>
      </c>
      <c r="H160">
        <v>-1.174255511533316</v>
      </c>
      <c r="I160">
        <v>3</v>
      </c>
      <c r="J160" t="s">
        <v>23</v>
      </c>
      <c r="K160" s="59" t="s">
        <v>23</v>
      </c>
    </row>
    <row r="161" spans="1:11" x14ac:dyDescent="0.2">
      <c r="A161" t="s">
        <v>200</v>
      </c>
      <c r="B161">
        <v>2017</v>
      </c>
      <c r="C161" t="s">
        <v>33</v>
      </c>
      <c r="D161">
        <v>55</v>
      </c>
      <c r="E161" t="s">
        <v>20</v>
      </c>
      <c r="F161" t="s">
        <v>21</v>
      </c>
      <c r="G161" t="s">
        <v>22</v>
      </c>
      <c r="H161">
        <v>-0.50313679790899735</v>
      </c>
      <c r="I161">
        <v>3</v>
      </c>
      <c r="J161" t="s">
        <v>16</v>
      </c>
      <c r="K161" s="59" t="s">
        <v>4376</v>
      </c>
    </row>
    <row r="162" spans="1:11" x14ac:dyDescent="0.2">
      <c r="A162" t="s">
        <v>201</v>
      </c>
      <c r="B162">
        <v>2017</v>
      </c>
      <c r="C162" t="s">
        <v>12</v>
      </c>
      <c r="D162">
        <v>50</v>
      </c>
      <c r="E162" t="s">
        <v>25</v>
      </c>
      <c r="F162" t="s">
        <v>26</v>
      </c>
      <c r="G162" t="s">
        <v>15</v>
      </c>
      <c r="H162">
        <v>-0.67416382492938842</v>
      </c>
      <c r="I162">
        <v>2</v>
      </c>
      <c r="J162" t="s">
        <v>23</v>
      </c>
      <c r="K162" s="59" t="s">
        <v>16</v>
      </c>
    </row>
    <row r="163" spans="1:11" x14ac:dyDescent="0.2">
      <c r="A163" t="s">
        <v>202</v>
      </c>
      <c r="B163">
        <v>2017</v>
      </c>
      <c r="C163" t="s">
        <v>19</v>
      </c>
      <c r="D163">
        <v>124</v>
      </c>
      <c r="E163" t="s">
        <v>25</v>
      </c>
      <c r="F163" t="s">
        <v>26</v>
      </c>
      <c r="G163" t="s">
        <v>48</v>
      </c>
      <c r="H163">
        <v>-6.7458192491199123E-2</v>
      </c>
      <c r="I163">
        <v>2</v>
      </c>
      <c r="J163" t="s">
        <v>23</v>
      </c>
      <c r="K163" s="59" t="s">
        <v>23</v>
      </c>
    </row>
    <row r="164" spans="1:11" x14ac:dyDescent="0.2">
      <c r="A164" t="s">
        <v>203</v>
      </c>
      <c r="B164">
        <v>2017</v>
      </c>
      <c r="C164" t="s">
        <v>12</v>
      </c>
      <c r="D164">
        <v>81</v>
      </c>
      <c r="E164" t="s">
        <v>20</v>
      </c>
      <c r="F164" t="s">
        <v>21</v>
      </c>
      <c r="G164" t="s">
        <v>15</v>
      </c>
      <c r="H164">
        <v>0.59632266150780178</v>
      </c>
      <c r="I164">
        <v>3</v>
      </c>
      <c r="J164" t="s">
        <v>23</v>
      </c>
      <c r="K164" s="59" t="s">
        <v>23</v>
      </c>
    </row>
    <row r="165" spans="1:11" x14ac:dyDescent="0.2">
      <c r="A165" t="s">
        <v>204</v>
      </c>
      <c r="B165">
        <v>2016</v>
      </c>
      <c r="C165" t="s">
        <v>33</v>
      </c>
      <c r="D165">
        <v>107</v>
      </c>
      <c r="E165" t="s">
        <v>53</v>
      </c>
      <c r="F165" t="s">
        <v>54</v>
      </c>
      <c r="G165" t="s">
        <v>15</v>
      </c>
      <c r="H165">
        <v>-2.895383998287675</v>
      </c>
      <c r="I165">
        <v>3</v>
      </c>
      <c r="J165" t="s">
        <v>17</v>
      </c>
      <c r="K165" s="59" t="s">
        <v>4376</v>
      </c>
    </row>
    <row r="166" spans="1:11" x14ac:dyDescent="0.2">
      <c r="A166" t="s">
        <v>205</v>
      </c>
      <c r="B166">
        <v>2017</v>
      </c>
      <c r="C166" t="s">
        <v>33</v>
      </c>
      <c r="D166">
        <v>32</v>
      </c>
      <c r="E166" t="s">
        <v>20</v>
      </c>
      <c r="F166" t="s">
        <v>21</v>
      </c>
      <c r="G166" t="s">
        <v>22</v>
      </c>
      <c r="H166">
        <v>-4.6719205815310278</v>
      </c>
      <c r="I166">
        <v>3</v>
      </c>
      <c r="J166" t="s">
        <v>23</v>
      </c>
      <c r="K166" s="59" t="s">
        <v>17</v>
      </c>
    </row>
    <row r="167" spans="1:11" x14ac:dyDescent="0.2">
      <c r="A167" t="s">
        <v>206</v>
      </c>
      <c r="B167">
        <v>2017</v>
      </c>
      <c r="C167" t="s">
        <v>19</v>
      </c>
      <c r="D167">
        <v>50</v>
      </c>
      <c r="E167" t="s">
        <v>20</v>
      </c>
      <c r="F167" t="s">
        <v>21</v>
      </c>
      <c r="G167" t="s">
        <v>80</v>
      </c>
      <c r="H167">
        <v>-0.71255764732172089</v>
      </c>
      <c r="I167">
        <v>3</v>
      </c>
      <c r="J167" t="s">
        <v>23</v>
      </c>
      <c r="K167" s="59" t="s">
        <v>16</v>
      </c>
    </row>
    <row r="168" spans="1:11" x14ac:dyDescent="0.2">
      <c r="A168" t="s">
        <v>207</v>
      </c>
      <c r="B168">
        <v>2017</v>
      </c>
      <c r="C168" t="s">
        <v>33</v>
      </c>
      <c r="D168">
        <v>206</v>
      </c>
      <c r="E168" t="s">
        <v>25</v>
      </c>
      <c r="F168" t="s">
        <v>26</v>
      </c>
      <c r="G168" t="s">
        <v>22</v>
      </c>
      <c r="H168">
        <v>1.207133472294913</v>
      </c>
      <c r="I168">
        <v>2</v>
      </c>
      <c r="J168" t="s">
        <v>23</v>
      </c>
      <c r="K168" s="59" t="s">
        <v>4376</v>
      </c>
    </row>
    <row r="169" spans="1:11" x14ac:dyDescent="0.2">
      <c r="A169" t="s">
        <v>208</v>
      </c>
      <c r="B169">
        <v>2017</v>
      </c>
      <c r="C169" t="s">
        <v>33</v>
      </c>
      <c r="D169">
        <v>530</v>
      </c>
      <c r="E169" t="s">
        <v>20</v>
      </c>
      <c r="F169" t="s">
        <v>21</v>
      </c>
      <c r="G169" t="s">
        <v>48</v>
      </c>
      <c r="H169">
        <v>-0.47041761958797601</v>
      </c>
      <c r="I169">
        <v>3</v>
      </c>
      <c r="J169" t="s">
        <v>17</v>
      </c>
      <c r="K169" s="59" t="s">
        <v>4376</v>
      </c>
    </row>
    <row r="170" spans="1:11" x14ac:dyDescent="0.2">
      <c r="A170" t="s">
        <v>209</v>
      </c>
      <c r="B170">
        <v>2017</v>
      </c>
      <c r="C170" t="s">
        <v>33</v>
      </c>
      <c r="D170">
        <v>77</v>
      </c>
      <c r="E170" t="s">
        <v>38</v>
      </c>
      <c r="F170" t="s">
        <v>39</v>
      </c>
      <c r="G170" t="s">
        <v>15</v>
      </c>
      <c r="H170">
        <v>-2.457731392427752</v>
      </c>
      <c r="I170">
        <v>3</v>
      </c>
      <c r="J170" t="s">
        <v>23</v>
      </c>
      <c r="K170" s="59" t="s">
        <v>4376</v>
      </c>
    </row>
    <row r="171" spans="1:11" x14ac:dyDescent="0.2">
      <c r="A171" t="s">
        <v>210</v>
      </c>
      <c r="B171">
        <v>2018</v>
      </c>
      <c r="C171" t="s">
        <v>33</v>
      </c>
      <c r="D171">
        <v>180</v>
      </c>
      <c r="E171" t="s">
        <v>20</v>
      </c>
      <c r="F171" t="s">
        <v>21</v>
      </c>
      <c r="G171" t="s">
        <v>15</v>
      </c>
      <c r="H171">
        <v>-0.52412170919984302</v>
      </c>
      <c r="I171">
        <v>3</v>
      </c>
      <c r="J171" t="s">
        <v>23</v>
      </c>
      <c r="K171" s="59" t="s">
        <v>4376</v>
      </c>
    </row>
    <row r="172" spans="1:11" x14ac:dyDescent="0.2">
      <c r="A172" t="s">
        <v>211</v>
      </c>
      <c r="B172">
        <v>2018</v>
      </c>
      <c r="C172" t="s">
        <v>19</v>
      </c>
      <c r="D172">
        <v>190</v>
      </c>
      <c r="E172" t="s">
        <v>20</v>
      </c>
      <c r="F172" t="s">
        <v>21</v>
      </c>
      <c r="G172" t="s">
        <v>15</v>
      </c>
      <c r="H172">
        <v>1.9823933475247071</v>
      </c>
      <c r="I172">
        <v>3</v>
      </c>
      <c r="J172" t="s">
        <v>16</v>
      </c>
      <c r="K172" s="59" t="s">
        <v>4376</v>
      </c>
    </row>
    <row r="173" spans="1:11" x14ac:dyDescent="0.2">
      <c r="A173" t="s">
        <v>212</v>
      </c>
      <c r="B173">
        <v>2018</v>
      </c>
      <c r="C173" t="s">
        <v>33</v>
      </c>
      <c r="D173">
        <v>97</v>
      </c>
      <c r="E173" t="s">
        <v>38</v>
      </c>
      <c r="F173" t="s">
        <v>39</v>
      </c>
      <c r="G173" t="s">
        <v>15</v>
      </c>
      <c r="H173">
        <v>0.72226303486596899</v>
      </c>
      <c r="I173">
        <v>3</v>
      </c>
      <c r="J173" t="s">
        <v>23</v>
      </c>
      <c r="K173" s="59" t="s">
        <v>4376</v>
      </c>
    </row>
    <row r="174" spans="1:11" x14ac:dyDescent="0.2">
      <c r="A174" t="s">
        <v>213</v>
      </c>
      <c r="B174">
        <v>2018</v>
      </c>
      <c r="C174" t="s">
        <v>19</v>
      </c>
      <c r="D174">
        <v>238</v>
      </c>
      <c r="E174" t="s">
        <v>20</v>
      </c>
      <c r="F174" t="s">
        <v>21</v>
      </c>
      <c r="G174" t="s">
        <v>15</v>
      </c>
      <c r="H174">
        <v>1.0044074704388459</v>
      </c>
      <c r="I174">
        <v>3</v>
      </c>
      <c r="J174" t="s">
        <v>23</v>
      </c>
      <c r="K174" s="59" t="s">
        <v>17</v>
      </c>
    </row>
    <row r="175" spans="1:11" x14ac:dyDescent="0.2">
      <c r="A175" t="s">
        <v>214</v>
      </c>
      <c r="B175">
        <v>2018</v>
      </c>
      <c r="C175" t="s">
        <v>12</v>
      </c>
      <c r="D175">
        <v>97</v>
      </c>
      <c r="E175" t="s">
        <v>20</v>
      </c>
      <c r="F175" t="s">
        <v>21</v>
      </c>
      <c r="G175" t="s">
        <v>15</v>
      </c>
      <c r="H175">
        <v>0.71205523618325439</v>
      </c>
      <c r="I175">
        <v>3</v>
      </c>
      <c r="J175" t="s">
        <v>23</v>
      </c>
      <c r="K175" s="59" t="s">
        <v>4376</v>
      </c>
    </row>
    <row r="176" spans="1:11" x14ac:dyDescent="0.2">
      <c r="A176" t="s">
        <v>215</v>
      </c>
      <c r="B176">
        <v>2018</v>
      </c>
      <c r="C176" t="s">
        <v>33</v>
      </c>
      <c r="D176">
        <v>99</v>
      </c>
      <c r="E176" t="s">
        <v>20</v>
      </c>
      <c r="F176" t="s">
        <v>21</v>
      </c>
      <c r="G176" t="s">
        <v>15</v>
      </c>
      <c r="H176">
        <v>-1.168241902988296</v>
      </c>
      <c r="I176">
        <v>3</v>
      </c>
      <c r="J176" t="s">
        <v>17</v>
      </c>
      <c r="K176" s="59" t="s">
        <v>4376</v>
      </c>
    </row>
    <row r="177" spans="1:11" x14ac:dyDescent="0.2">
      <c r="A177" t="s">
        <v>216</v>
      </c>
      <c r="B177">
        <v>2018</v>
      </c>
      <c r="C177" t="s">
        <v>33</v>
      </c>
      <c r="D177">
        <v>96</v>
      </c>
      <c r="E177" t="s">
        <v>38</v>
      </c>
      <c r="F177" t="s">
        <v>39</v>
      </c>
      <c r="G177" t="s">
        <v>15</v>
      </c>
      <c r="H177">
        <v>1.207133472294913</v>
      </c>
      <c r="I177">
        <v>3</v>
      </c>
      <c r="J177" t="s">
        <v>23</v>
      </c>
      <c r="K177" s="59" t="s">
        <v>4376</v>
      </c>
    </row>
    <row r="178" spans="1:11" x14ac:dyDescent="0.2">
      <c r="A178" t="s">
        <v>217</v>
      </c>
      <c r="B178">
        <v>2017</v>
      </c>
      <c r="C178" t="s">
        <v>12</v>
      </c>
      <c r="D178">
        <v>189</v>
      </c>
      <c r="E178" t="s">
        <v>20</v>
      </c>
      <c r="F178" t="s">
        <v>21</v>
      </c>
      <c r="G178" t="s">
        <v>44</v>
      </c>
      <c r="H178">
        <v>0.69311781731559541</v>
      </c>
      <c r="I178">
        <v>3</v>
      </c>
      <c r="J178" t="s">
        <v>17</v>
      </c>
      <c r="K178" s="59" t="s">
        <v>23</v>
      </c>
    </row>
    <row r="179" spans="1:11" x14ac:dyDescent="0.2">
      <c r="A179" t="s">
        <v>218</v>
      </c>
      <c r="B179">
        <v>2024</v>
      </c>
      <c r="C179" t="s">
        <v>19</v>
      </c>
      <c r="D179">
        <v>617</v>
      </c>
      <c r="E179" t="s">
        <v>53</v>
      </c>
      <c r="F179" t="s">
        <v>54</v>
      </c>
      <c r="G179" t="s">
        <v>15</v>
      </c>
      <c r="H179">
        <v>-0.12422943301980099</v>
      </c>
      <c r="I179">
        <v>3</v>
      </c>
      <c r="J179" t="s">
        <v>16</v>
      </c>
      <c r="K179" s="59" t="s">
        <v>17</v>
      </c>
    </row>
    <row r="180" spans="1:11" x14ac:dyDescent="0.2">
      <c r="A180" t="s">
        <v>219</v>
      </c>
      <c r="B180">
        <v>2017</v>
      </c>
      <c r="C180" t="s">
        <v>33</v>
      </c>
      <c r="D180">
        <v>96</v>
      </c>
      <c r="E180" t="s">
        <v>25</v>
      </c>
      <c r="F180" t="s">
        <v>26</v>
      </c>
      <c r="G180" t="s">
        <v>48</v>
      </c>
      <c r="H180">
        <v>-1.928362023078922</v>
      </c>
      <c r="I180">
        <v>2</v>
      </c>
      <c r="J180" t="s">
        <v>23</v>
      </c>
      <c r="K180" s="59" t="s">
        <v>4376</v>
      </c>
    </row>
    <row r="181" spans="1:11" x14ac:dyDescent="0.2">
      <c r="A181" t="s">
        <v>220</v>
      </c>
      <c r="B181">
        <v>2017</v>
      </c>
      <c r="C181" t="s">
        <v>12</v>
      </c>
      <c r="D181">
        <v>24</v>
      </c>
      <c r="E181" t="s">
        <v>20</v>
      </c>
      <c r="F181" t="s">
        <v>21</v>
      </c>
      <c r="G181" t="s">
        <v>22</v>
      </c>
      <c r="H181">
        <v>-5.5117854463633051</v>
      </c>
      <c r="I181">
        <v>3</v>
      </c>
      <c r="J181" t="s">
        <v>23</v>
      </c>
      <c r="K181" s="59" t="s">
        <v>17</v>
      </c>
    </row>
    <row r="182" spans="1:11" x14ac:dyDescent="0.2">
      <c r="A182" t="s">
        <v>221</v>
      </c>
      <c r="B182">
        <v>2017</v>
      </c>
      <c r="C182" t="s">
        <v>19</v>
      </c>
      <c r="D182">
        <v>64</v>
      </c>
      <c r="E182" t="s">
        <v>13</v>
      </c>
      <c r="F182" t="s">
        <v>14</v>
      </c>
      <c r="G182" t="s">
        <v>15</v>
      </c>
      <c r="H182">
        <v>-0.99751179788981514</v>
      </c>
      <c r="I182">
        <v>4</v>
      </c>
      <c r="J182" t="s">
        <v>23</v>
      </c>
      <c r="K182" s="59" t="s">
        <v>17</v>
      </c>
    </row>
    <row r="183" spans="1:11" x14ac:dyDescent="0.2">
      <c r="A183" t="s">
        <v>222</v>
      </c>
      <c r="B183">
        <v>2017</v>
      </c>
      <c r="C183" t="s">
        <v>33</v>
      </c>
      <c r="D183">
        <v>118</v>
      </c>
      <c r="E183" t="s">
        <v>25</v>
      </c>
      <c r="F183" t="s">
        <v>26</v>
      </c>
      <c r="G183" t="s">
        <v>48</v>
      </c>
      <c r="H183">
        <v>0.39622946487064492</v>
      </c>
      <c r="I183">
        <v>2</v>
      </c>
      <c r="J183" t="s">
        <v>23</v>
      </c>
      <c r="K183" s="59" t="s">
        <v>4376</v>
      </c>
    </row>
    <row r="184" spans="1:11" x14ac:dyDescent="0.2">
      <c r="A184" t="s">
        <v>223</v>
      </c>
      <c r="B184">
        <v>2017</v>
      </c>
      <c r="C184" t="s">
        <v>19</v>
      </c>
      <c r="D184">
        <v>57</v>
      </c>
      <c r="E184" t="s">
        <v>20</v>
      </c>
      <c r="F184" t="s">
        <v>21</v>
      </c>
      <c r="G184" t="s">
        <v>22</v>
      </c>
      <c r="H184">
        <v>1.207133472294913</v>
      </c>
      <c r="I184">
        <v>3</v>
      </c>
      <c r="J184" t="s">
        <v>23</v>
      </c>
      <c r="K184" s="59" t="s">
        <v>17</v>
      </c>
    </row>
    <row r="185" spans="1:11" x14ac:dyDescent="0.2">
      <c r="A185" t="s">
        <v>224</v>
      </c>
      <c r="B185">
        <v>2017</v>
      </c>
      <c r="C185" t="s">
        <v>33</v>
      </c>
      <c r="D185">
        <v>75</v>
      </c>
      <c r="E185" t="s">
        <v>25</v>
      </c>
      <c r="F185" t="s">
        <v>26</v>
      </c>
      <c r="G185" t="s">
        <v>15</v>
      </c>
      <c r="H185">
        <v>-0.72570621663416368</v>
      </c>
      <c r="I185">
        <v>2</v>
      </c>
      <c r="J185" t="s">
        <v>16</v>
      </c>
      <c r="K185" s="59" t="s">
        <v>23</v>
      </c>
    </row>
    <row r="186" spans="1:11" x14ac:dyDescent="0.2">
      <c r="A186" t="s">
        <v>225</v>
      </c>
      <c r="B186">
        <v>2017</v>
      </c>
      <c r="C186" t="s">
        <v>19</v>
      </c>
      <c r="D186">
        <v>127</v>
      </c>
      <c r="E186" t="s">
        <v>20</v>
      </c>
      <c r="F186" t="s">
        <v>21</v>
      </c>
      <c r="G186" t="s">
        <v>22</v>
      </c>
      <c r="H186">
        <v>1.207133472294913</v>
      </c>
      <c r="I186">
        <v>3</v>
      </c>
      <c r="J186" t="s">
        <v>23</v>
      </c>
      <c r="K186" s="59" t="s">
        <v>23</v>
      </c>
    </row>
    <row r="187" spans="1:11" x14ac:dyDescent="0.2">
      <c r="A187" t="s">
        <v>226</v>
      </c>
      <c r="B187">
        <v>2017</v>
      </c>
      <c r="C187" t="s">
        <v>33</v>
      </c>
      <c r="D187">
        <v>167</v>
      </c>
      <c r="E187" t="s">
        <v>29</v>
      </c>
      <c r="F187" t="s">
        <v>30</v>
      </c>
      <c r="G187" t="s">
        <v>15</v>
      </c>
      <c r="H187">
        <v>0.61553054863947199</v>
      </c>
      <c r="I187">
        <v>4</v>
      </c>
      <c r="J187" t="s">
        <v>17</v>
      </c>
      <c r="K187" s="59" t="s">
        <v>4376</v>
      </c>
    </row>
    <row r="188" spans="1:11" x14ac:dyDescent="0.2">
      <c r="A188" t="s">
        <v>227</v>
      </c>
      <c r="B188">
        <v>2017</v>
      </c>
      <c r="C188" t="s">
        <v>12</v>
      </c>
      <c r="D188">
        <v>77</v>
      </c>
      <c r="E188" t="s">
        <v>38</v>
      </c>
      <c r="F188" t="s">
        <v>39</v>
      </c>
      <c r="G188" t="s">
        <v>15</v>
      </c>
      <c r="H188">
        <v>-2.457731392427752</v>
      </c>
      <c r="I188">
        <v>3</v>
      </c>
      <c r="J188" t="s">
        <v>23</v>
      </c>
      <c r="K188" s="59" t="s">
        <v>23</v>
      </c>
    </row>
    <row r="189" spans="1:11" x14ac:dyDescent="0.2">
      <c r="A189" t="s">
        <v>228</v>
      </c>
      <c r="B189">
        <v>2017</v>
      </c>
      <c r="C189" t="s">
        <v>12</v>
      </c>
      <c r="D189">
        <v>73</v>
      </c>
      <c r="E189" t="s">
        <v>25</v>
      </c>
      <c r="F189" t="s">
        <v>26</v>
      </c>
      <c r="G189" t="s">
        <v>15</v>
      </c>
      <c r="H189">
        <v>-0.78015240505470107</v>
      </c>
      <c r="I189">
        <v>2</v>
      </c>
      <c r="J189" t="s">
        <v>16</v>
      </c>
      <c r="K189" s="59" t="s">
        <v>23</v>
      </c>
    </row>
    <row r="190" spans="1:11" x14ac:dyDescent="0.2">
      <c r="A190" t="s">
        <v>229</v>
      </c>
      <c r="B190">
        <v>2017</v>
      </c>
      <c r="C190" t="s">
        <v>33</v>
      </c>
      <c r="D190">
        <v>266</v>
      </c>
      <c r="E190" t="s">
        <v>25</v>
      </c>
      <c r="F190" t="s">
        <v>26</v>
      </c>
      <c r="G190" t="s">
        <v>15</v>
      </c>
      <c r="H190">
        <v>0.85614517057396089</v>
      </c>
      <c r="I190">
        <v>2</v>
      </c>
      <c r="J190" t="s">
        <v>23</v>
      </c>
      <c r="K190" s="59" t="s">
        <v>4376</v>
      </c>
    </row>
    <row r="191" spans="1:11" x14ac:dyDescent="0.2">
      <c r="A191" t="s">
        <v>230</v>
      </c>
      <c r="B191">
        <v>2017</v>
      </c>
      <c r="C191" t="s">
        <v>19</v>
      </c>
      <c r="D191">
        <v>86</v>
      </c>
      <c r="E191" t="s">
        <v>20</v>
      </c>
      <c r="F191" t="s">
        <v>21</v>
      </c>
      <c r="G191" t="s">
        <v>15</v>
      </c>
      <c r="H191">
        <v>-0.1150634233446565</v>
      </c>
      <c r="I191">
        <v>3</v>
      </c>
      <c r="J191" t="s">
        <v>23</v>
      </c>
      <c r="K191" s="59" t="s">
        <v>17</v>
      </c>
    </row>
    <row r="192" spans="1:11" x14ac:dyDescent="0.2">
      <c r="A192" t="s">
        <v>231</v>
      </c>
      <c r="B192">
        <v>2017</v>
      </c>
      <c r="C192" t="s">
        <v>19</v>
      </c>
      <c r="D192">
        <v>103</v>
      </c>
      <c r="E192" t="s">
        <v>13</v>
      </c>
      <c r="F192" t="s">
        <v>14</v>
      </c>
      <c r="G192" t="s">
        <v>167</v>
      </c>
      <c r="H192">
        <v>2.1477821209070629</v>
      </c>
      <c r="I192">
        <v>4</v>
      </c>
      <c r="J192" t="s">
        <v>23</v>
      </c>
      <c r="K192" s="59" t="s">
        <v>17</v>
      </c>
    </row>
    <row r="193" spans="1:11" x14ac:dyDescent="0.2">
      <c r="A193" t="s">
        <v>232</v>
      </c>
      <c r="B193">
        <v>2017</v>
      </c>
      <c r="C193" t="s">
        <v>33</v>
      </c>
      <c r="D193">
        <v>115</v>
      </c>
      <c r="E193" t="s">
        <v>20</v>
      </c>
      <c r="F193" t="s">
        <v>21</v>
      </c>
      <c r="G193" t="s">
        <v>41</v>
      </c>
      <c r="H193">
        <v>0.64722356240672774</v>
      </c>
      <c r="I193">
        <v>3</v>
      </c>
      <c r="J193" t="s">
        <v>23</v>
      </c>
      <c r="K193" s="59" t="s">
        <v>4376</v>
      </c>
    </row>
    <row r="194" spans="1:11" x14ac:dyDescent="0.2">
      <c r="A194" t="s">
        <v>233</v>
      </c>
      <c r="B194">
        <v>2017</v>
      </c>
      <c r="C194" t="s">
        <v>33</v>
      </c>
      <c r="D194">
        <v>41</v>
      </c>
      <c r="E194" t="s">
        <v>20</v>
      </c>
      <c r="F194" t="s">
        <v>21</v>
      </c>
      <c r="G194" t="s">
        <v>22</v>
      </c>
      <c r="H194">
        <v>-1.2047861395311139</v>
      </c>
      <c r="I194">
        <v>3</v>
      </c>
      <c r="J194" t="s">
        <v>23</v>
      </c>
      <c r="K194" s="59" t="s">
        <v>16</v>
      </c>
    </row>
    <row r="195" spans="1:11" x14ac:dyDescent="0.2">
      <c r="A195" t="s">
        <v>234</v>
      </c>
      <c r="B195">
        <v>2017</v>
      </c>
      <c r="C195" t="s">
        <v>19</v>
      </c>
      <c r="D195">
        <v>158</v>
      </c>
      <c r="E195" t="s">
        <v>25</v>
      </c>
      <c r="F195" t="s">
        <v>26</v>
      </c>
      <c r="G195" t="s">
        <v>15</v>
      </c>
      <c r="H195">
        <v>-3.3530212924950141E-2</v>
      </c>
      <c r="I195">
        <v>2</v>
      </c>
      <c r="J195" t="s">
        <v>23</v>
      </c>
      <c r="K195" s="59" t="s">
        <v>17</v>
      </c>
    </row>
    <row r="196" spans="1:11" x14ac:dyDescent="0.2">
      <c r="A196" t="s">
        <v>235</v>
      </c>
      <c r="B196">
        <v>2017</v>
      </c>
      <c r="C196" t="s">
        <v>33</v>
      </c>
      <c r="D196">
        <v>203</v>
      </c>
      <c r="E196" t="s">
        <v>20</v>
      </c>
      <c r="F196" t="s">
        <v>21</v>
      </c>
      <c r="G196" t="s">
        <v>48</v>
      </c>
      <c r="H196">
        <v>-0.99874275560627768</v>
      </c>
      <c r="I196">
        <v>3</v>
      </c>
      <c r="J196" t="s">
        <v>23</v>
      </c>
      <c r="K196" s="59" t="s">
        <v>4376</v>
      </c>
    </row>
    <row r="197" spans="1:11" x14ac:dyDescent="0.2">
      <c r="A197" t="s">
        <v>236</v>
      </c>
      <c r="B197">
        <v>2017</v>
      </c>
      <c r="C197" t="s">
        <v>33</v>
      </c>
      <c r="D197">
        <v>21</v>
      </c>
      <c r="E197" t="s">
        <v>20</v>
      </c>
      <c r="F197" t="s">
        <v>21</v>
      </c>
      <c r="G197" t="s">
        <v>15</v>
      </c>
      <c r="H197">
        <v>-1.0325061672578271</v>
      </c>
      <c r="I197">
        <v>3</v>
      </c>
      <c r="J197" t="s">
        <v>16</v>
      </c>
      <c r="K197" s="59" t="s">
        <v>4376</v>
      </c>
    </row>
    <row r="198" spans="1:11" x14ac:dyDescent="0.2">
      <c r="A198" t="s">
        <v>237</v>
      </c>
      <c r="B198">
        <v>2017</v>
      </c>
      <c r="C198" t="s">
        <v>33</v>
      </c>
      <c r="D198">
        <v>76</v>
      </c>
      <c r="E198" t="s">
        <v>20</v>
      </c>
      <c r="F198" t="s">
        <v>21</v>
      </c>
      <c r="G198" t="s">
        <v>22</v>
      </c>
      <c r="H198">
        <v>-0.24001829480070361</v>
      </c>
      <c r="I198">
        <v>3</v>
      </c>
      <c r="J198" t="s">
        <v>17</v>
      </c>
      <c r="K198" s="59" t="s">
        <v>17</v>
      </c>
    </row>
    <row r="199" spans="1:11" x14ac:dyDescent="0.2">
      <c r="A199" t="s">
        <v>238</v>
      </c>
      <c r="B199">
        <v>2017</v>
      </c>
      <c r="C199" t="s">
        <v>33</v>
      </c>
      <c r="D199">
        <v>100</v>
      </c>
      <c r="E199" t="s">
        <v>20</v>
      </c>
      <c r="F199" t="s">
        <v>21</v>
      </c>
      <c r="G199" t="s">
        <v>22</v>
      </c>
      <c r="H199">
        <v>-0.8939717565638432</v>
      </c>
      <c r="I199">
        <v>3</v>
      </c>
      <c r="J199" t="s">
        <v>16</v>
      </c>
      <c r="K199" s="59" t="s">
        <v>4376</v>
      </c>
    </row>
    <row r="200" spans="1:11" x14ac:dyDescent="0.2">
      <c r="A200" t="s">
        <v>239</v>
      </c>
      <c r="B200">
        <v>2016</v>
      </c>
      <c r="C200" t="s">
        <v>33</v>
      </c>
      <c r="D200">
        <v>61</v>
      </c>
      <c r="E200" t="s">
        <v>13</v>
      </c>
      <c r="F200" t="s">
        <v>14</v>
      </c>
      <c r="G200" t="s">
        <v>15</v>
      </c>
      <c r="H200">
        <v>-1.1059369751120149</v>
      </c>
      <c r="I200">
        <v>4</v>
      </c>
      <c r="J200" t="s">
        <v>23</v>
      </c>
      <c r="K200" s="59" t="s">
        <v>4376</v>
      </c>
    </row>
    <row r="201" spans="1:11" x14ac:dyDescent="0.2">
      <c r="A201" t="s">
        <v>240</v>
      </c>
      <c r="B201">
        <v>2019</v>
      </c>
      <c r="C201" t="s">
        <v>19</v>
      </c>
      <c r="D201">
        <v>168</v>
      </c>
      <c r="E201" t="s">
        <v>20</v>
      </c>
      <c r="F201" t="s">
        <v>21</v>
      </c>
      <c r="G201" t="s">
        <v>15</v>
      </c>
      <c r="H201">
        <v>1.784218532793165</v>
      </c>
      <c r="I201">
        <v>3</v>
      </c>
      <c r="J201" t="s">
        <v>23</v>
      </c>
      <c r="K201" s="59" t="s">
        <v>17</v>
      </c>
    </row>
    <row r="202" spans="1:11" x14ac:dyDescent="0.2">
      <c r="A202" t="s">
        <v>241</v>
      </c>
      <c r="B202">
        <v>2017</v>
      </c>
      <c r="C202" t="s">
        <v>33</v>
      </c>
      <c r="D202">
        <v>99</v>
      </c>
      <c r="E202" t="s">
        <v>25</v>
      </c>
      <c r="F202" t="s">
        <v>26</v>
      </c>
      <c r="G202" t="s">
        <v>34</v>
      </c>
      <c r="H202">
        <v>-0.26263004116157262</v>
      </c>
      <c r="I202">
        <v>2</v>
      </c>
      <c r="J202" t="s">
        <v>17</v>
      </c>
      <c r="K202" s="59" t="s">
        <v>4376</v>
      </c>
    </row>
    <row r="203" spans="1:11" x14ac:dyDescent="0.2">
      <c r="A203" t="s">
        <v>242</v>
      </c>
      <c r="B203">
        <v>2017</v>
      </c>
      <c r="C203" t="s">
        <v>19</v>
      </c>
      <c r="D203">
        <v>226</v>
      </c>
      <c r="E203" t="s">
        <v>20</v>
      </c>
      <c r="F203" t="s">
        <v>21</v>
      </c>
      <c r="G203" t="s">
        <v>41</v>
      </c>
      <c r="H203">
        <v>-0.27587115389541472</v>
      </c>
      <c r="I203">
        <v>3</v>
      </c>
      <c r="J203" t="s">
        <v>16</v>
      </c>
      <c r="K203" s="59" t="s">
        <v>4376</v>
      </c>
    </row>
    <row r="204" spans="1:11" x14ac:dyDescent="0.2">
      <c r="A204" t="s">
        <v>243</v>
      </c>
      <c r="B204">
        <v>2017</v>
      </c>
      <c r="C204" t="s">
        <v>12</v>
      </c>
      <c r="D204">
        <v>67</v>
      </c>
      <c r="E204" t="s">
        <v>20</v>
      </c>
      <c r="F204" t="s">
        <v>21</v>
      </c>
      <c r="G204" t="s">
        <v>44</v>
      </c>
      <c r="H204">
        <v>-0.21809175287501251</v>
      </c>
      <c r="I204">
        <v>3</v>
      </c>
      <c r="J204" t="s">
        <v>23</v>
      </c>
      <c r="K204" s="59" t="s">
        <v>23</v>
      </c>
    </row>
    <row r="205" spans="1:11" x14ac:dyDescent="0.2">
      <c r="A205" t="s">
        <v>244</v>
      </c>
      <c r="B205">
        <v>2017</v>
      </c>
      <c r="C205" t="s">
        <v>33</v>
      </c>
      <c r="D205">
        <v>157</v>
      </c>
      <c r="E205" t="s">
        <v>29</v>
      </c>
      <c r="F205" t="s">
        <v>30</v>
      </c>
      <c r="G205" t="s">
        <v>34</v>
      </c>
      <c r="H205">
        <v>0.1688899307803978</v>
      </c>
      <c r="I205">
        <v>4</v>
      </c>
      <c r="J205" t="s">
        <v>17</v>
      </c>
      <c r="K205" s="59" t="s">
        <v>4376</v>
      </c>
    </row>
    <row r="206" spans="1:11" x14ac:dyDescent="0.2">
      <c r="A206" t="s">
        <v>245</v>
      </c>
      <c r="B206">
        <v>2017</v>
      </c>
      <c r="C206" t="s">
        <v>33</v>
      </c>
      <c r="D206">
        <v>93</v>
      </c>
      <c r="E206" t="s">
        <v>20</v>
      </c>
      <c r="F206" t="s">
        <v>21</v>
      </c>
      <c r="G206" t="s">
        <v>48</v>
      </c>
      <c r="H206">
        <v>-1.4900669538331179</v>
      </c>
      <c r="I206">
        <v>3</v>
      </c>
      <c r="J206" t="s">
        <v>23</v>
      </c>
      <c r="K206" s="59" t="s">
        <v>4376</v>
      </c>
    </row>
    <row r="207" spans="1:11" x14ac:dyDescent="0.2">
      <c r="A207" t="s">
        <v>246</v>
      </c>
      <c r="B207">
        <v>2017</v>
      </c>
      <c r="C207" t="s">
        <v>33</v>
      </c>
      <c r="D207">
        <v>65</v>
      </c>
      <c r="E207" t="s">
        <v>20</v>
      </c>
      <c r="F207" t="s">
        <v>21</v>
      </c>
      <c r="G207" t="s">
        <v>22</v>
      </c>
      <c r="H207">
        <v>-1.779052713775406</v>
      </c>
      <c r="I207">
        <v>3</v>
      </c>
      <c r="J207" t="s">
        <v>23</v>
      </c>
      <c r="K207" s="59" t="s">
        <v>4376</v>
      </c>
    </row>
    <row r="208" spans="1:11" x14ac:dyDescent="0.2">
      <c r="A208" t="s">
        <v>247</v>
      </c>
      <c r="B208">
        <v>2017</v>
      </c>
      <c r="C208" t="s">
        <v>33</v>
      </c>
      <c r="D208">
        <v>266</v>
      </c>
      <c r="E208" t="s">
        <v>25</v>
      </c>
      <c r="F208" t="s">
        <v>26</v>
      </c>
      <c r="G208" t="s">
        <v>15</v>
      </c>
      <c r="H208">
        <v>0.85614517057396089</v>
      </c>
      <c r="I208">
        <v>2</v>
      </c>
      <c r="J208" t="s">
        <v>23</v>
      </c>
      <c r="K208" s="59" t="s">
        <v>4376</v>
      </c>
    </row>
    <row r="209" spans="1:11" x14ac:dyDescent="0.2">
      <c r="A209" t="s">
        <v>248</v>
      </c>
      <c r="B209">
        <v>2016</v>
      </c>
      <c r="C209" t="s">
        <v>33</v>
      </c>
      <c r="D209">
        <v>108</v>
      </c>
      <c r="E209" t="s">
        <v>53</v>
      </c>
      <c r="F209" t="s">
        <v>54</v>
      </c>
      <c r="G209" t="s">
        <v>15</v>
      </c>
      <c r="H209">
        <v>-2.8573977254119098</v>
      </c>
      <c r="I209">
        <v>3</v>
      </c>
      <c r="J209" t="s">
        <v>17</v>
      </c>
      <c r="K209" s="59" t="s">
        <v>23</v>
      </c>
    </row>
    <row r="210" spans="1:11" x14ac:dyDescent="0.2">
      <c r="A210" t="s">
        <v>249</v>
      </c>
      <c r="B210">
        <v>2018</v>
      </c>
      <c r="C210" t="s">
        <v>12</v>
      </c>
      <c r="D210">
        <v>92</v>
      </c>
      <c r="E210" t="s">
        <v>13</v>
      </c>
      <c r="F210" t="s">
        <v>14</v>
      </c>
      <c r="G210" t="s">
        <v>15</v>
      </c>
      <c r="H210">
        <v>1.207133472294913</v>
      </c>
      <c r="I210">
        <v>4</v>
      </c>
      <c r="J210" t="s">
        <v>23</v>
      </c>
      <c r="K210" s="59" t="s">
        <v>17</v>
      </c>
    </row>
    <row r="211" spans="1:11" x14ac:dyDescent="0.2">
      <c r="A211" t="s">
        <v>250</v>
      </c>
      <c r="B211">
        <v>2017</v>
      </c>
      <c r="C211" t="s">
        <v>33</v>
      </c>
      <c r="D211">
        <v>67</v>
      </c>
      <c r="E211" t="s">
        <v>25</v>
      </c>
      <c r="F211" t="s">
        <v>26</v>
      </c>
      <c r="G211" t="s">
        <v>22</v>
      </c>
      <c r="H211">
        <v>-0.21809175287501251</v>
      </c>
      <c r="I211">
        <v>2</v>
      </c>
      <c r="J211" t="s">
        <v>23</v>
      </c>
      <c r="K211" s="59" t="s">
        <v>4376</v>
      </c>
    </row>
    <row r="212" spans="1:11" x14ac:dyDescent="0.2">
      <c r="A212" t="s">
        <v>251</v>
      </c>
      <c r="B212">
        <v>2017</v>
      </c>
      <c r="C212" t="s">
        <v>33</v>
      </c>
      <c r="D212">
        <v>43</v>
      </c>
      <c r="E212" t="s">
        <v>38</v>
      </c>
      <c r="F212" t="s">
        <v>39</v>
      </c>
      <c r="G212" t="s">
        <v>36</v>
      </c>
      <c r="H212">
        <v>-2.3202989600006521</v>
      </c>
      <c r="I212">
        <v>3</v>
      </c>
      <c r="J212" t="s">
        <v>23</v>
      </c>
      <c r="K212" s="59" t="s">
        <v>4376</v>
      </c>
    </row>
    <row r="213" spans="1:11" x14ac:dyDescent="0.2">
      <c r="A213" t="s">
        <v>252</v>
      </c>
      <c r="B213">
        <v>2017</v>
      </c>
      <c r="C213" t="s">
        <v>33</v>
      </c>
      <c r="D213">
        <v>97</v>
      </c>
      <c r="E213" t="s">
        <v>25</v>
      </c>
      <c r="F213" t="s">
        <v>26</v>
      </c>
      <c r="G213" t="s">
        <v>15</v>
      </c>
      <c r="H213">
        <v>0.71721230114275092</v>
      </c>
      <c r="I213">
        <v>2</v>
      </c>
      <c r="J213" t="s">
        <v>17</v>
      </c>
      <c r="K213" s="59" t="s">
        <v>23</v>
      </c>
    </row>
    <row r="214" spans="1:11" x14ac:dyDescent="0.2">
      <c r="A214" t="s">
        <v>253</v>
      </c>
      <c r="B214">
        <v>2017</v>
      </c>
      <c r="C214" t="s">
        <v>33</v>
      </c>
      <c r="D214">
        <v>90</v>
      </c>
      <c r="E214" t="s">
        <v>20</v>
      </c>
      <c r="F214" t="s">
        <v>21</v>
      </c>
      <c r="G214" t="s">
        <v>15</v>
      </c>
      <c r="H214">
        <v>-0.8831968579543108</v>
      </c>
      <c r="I214">
        <v>3</v>
      </c>
      <c r="J214" t="s">
        <v>17</v>
      </c>
      <c r="K214" s="59" t="s">
        <v>4376</v>
      </c>
    </row>
    <row r="215" spans="1:11" x14ac:dyDescent="0.2">
      <c r="A215" t="s">
        <v>254</v>
      </c>
      <c r="B215">
        <v>2018</v>
      </c>
      <c r="C215" t="s">
        <v>33</v>
      </c>
      <c r="D215">
        <v>62</v>
      </c>
      <c r="E215" t="s">
        <v>29</v>
      </c>
      <c r="F215" t="s">
        <v>30</v>
      </c>
      <c r="G215" t="s">
        <v>36</v>
      </c>
      <c r="H215">
        <v>-2.093388101782808</v>
      </c>
      <c r="I215">
        <v>4</v>
      </c>
      <c r="J215" t="s">
        <v>23</v>
      </c>
      <c r="K215" s="59" t="s">
        <v>17</v>
      </c>
    </row>
    <row r="216" spans="1:11" x14ac:dyDescent="0.2">
      <c r="A216" t="s">
        <v>255</v>
      </c>
      <c r="B216">
        <v>2017</v>
      </c>
      <c r="C216" t="s">
        <v>33</v>
      </c>
      <c r="D216">
        <v>64</v>
      </c>
      <c r="E216" t="s">
        <v>20</v>
      </c>
      <c r="F216" t="s">
        <v>21</v>
      </c>
      <c r="G216" t="s">
        <v>15</v>
      </c>
      <c r="H216">
        <v>1.207133472294913</v>
      </c>
      <c r="I216">
        <v>3</v>
      </c>
      <c r="J216" t="s">
        <v>23</v>
      </c>
      <c r="K216" s="59" t="s">
        <v>17</v>
      </c>
    </row>
    <row r="217" spans="1:11" x14ac:dyDescent="0.2">
      <c r="A217" t="s">
        <v>256</v>
      </c>
      <c r="B217">
        <v>2018</v>
      </c>
      <c r="C217" t="s">
        <v>33</v>
      </c>
      <c r="D217">
        <v>96</v>
      </c>
      <c r="E217" t="s">
        <v>38</v>
      </c>
      <c r="F217" t="s">
        <v>39</v>
      </c>
      <c r="G217" t="s">
        <v>15</v>
      </c>
      <c r="H217">
        <v>1.207133472294913</v>
      </c>
      <c r="I217">
        <v>3</v>
      </c>
      <c r="J217" t="s">
        <v>23</v>
      </c>
      <c r="K217" s="59" t="s">
        <v>4376</v>
      </c>
    </row>
    <row r="218" spans="1:11" x14ac:dyDescent="0.2">
      <c r="A218" t="s">
        <v>257</v>
      </c>
      <c r="B218">
        <v>2017</v>
      </c>
      <c r="C218" t="s">
        <v>19</v>
      </c>
      <c r="D218">
        <v>54</v>
      </c>
      <c r="E218" t="s">
        <v>20</v>
      </c>
      <c r="F218" t="s">
        <v>21</v>
      </c>
      <c r="G218" t="s">
        <v>15</v>
      </c>
      <c r="H218">
        <v>-0.56767529867140909</v>
      </c>
      <c r="I218">
        <v>3</v>
      </c>
      <c r="J218" t="s">
        <v>23</v>
      </c>
      <c r="K218" s="59" t="s">
        <v>17</v>
      </c>
    </row>
    <row r="219" spans="1:11" x14ac:dyDescent="0.2">
      <c r="A219" t="s">
        <v>258</v>
      </c>
      <c r="B219">
        <v>2018</v>
      </c>
      <c r="C219" t="s">
        <v>33</v>
      </c>
      <c r="D219">
        <v>96</v>
      </c>
      <c r="E219" t="s">
        <v>38</v>
      </c>
      <c r="F219" t="s">
        <v>39</v>
      </c>
      <c r="G219" t="s">
        <v>15</v>
      </c>
      <c r="H219">
        <v>1.207133472294913</v>
      </c>
      <c r="I219">
        <v>3</v>
      </c>
      <c r="J219" t="s">
        <v>23</v>
      </c>
      <c r="K219" s="59" t="s">
        <v>4376</v>
      </c>
    </row>
    <row r="220" spans="1:11" x14ac:dyDescent="0.2">
      <c r="A220" t="s">
        <v>259</v>
      </c>
      <c r="B220">
        <v>2018</v>
      </c>
      <c r="C220" t="s">
        <v>33</v>
      </c>
      <c r="D220">
        <v>78</v>
      </c>
      <c r="E220" t="s">
        <v>20</v>
      </c>
      <c r="F220" t="s">
        <v>21</v>
      </c>
      <c r="G220" t="s">
        <v>15</v>
      </c>
      <c r="H220">
        <v>0.58828567715533986</v>
      </c>
      <c r="I220">
        <v>3</v>
      </c>
      <c r="J220" t="s">
        <v>16</v>
      </c>
      <c r="K220" s="59" t="s">
        <v>4376</v>
      </c>
    </row>
    <row r="221" spans="1:11" x14ac:dyDescent="0.2">
      <c r="A221" t="s">
        <v>260</v>
      </c>
      <c r="B221">
        <v>2017</v>
      </c>
      <c r="C221" t="s">
        <v>12</v>
      </c>
      <c r="D221">
        <v>172</v>
      </c>
      <c r="E221" t="s">
        <v>25</v>
      </c>
      <c r="F221" t="s">
        <v>26</v>
      </c>
      <c r="G221" t="s">
        <v>15</v>
      </c>
      <c r="H221">
        <v>-0.20950605874748271</v>
      </c>
      <c r="I221">
        <v>2</v>
      </c>
      <c r="J221" t="s">
        <v>23</v>
      </c>
      <c r="K221" s="59" t="s">
        <v>23</v>
      </c>
    </row>
    <row r="222" spans="1:11" x14ac:dyDescent="0.2">
      <c r="A222" t="s">
        <v>261</v>
      </c>
      <c r="B222">
        <v>2017</v>
      </c>
      <c r="C222" t="s">
        <v>19</v>
      </c>
      <c r="D222">
        <v>27</v>
      </c>
      <c r="E222" t="s">
        <v>13</v>
      </c>
      <c r="F222" t="s">
        <v>14</v>
      </c>
      <c r="G222" t="s">
        <v>15</v>
      </c>
      <c r="H222">
        <v>-0.53480846957944006</v>
      </c>
      <c r="I222">
        <v>4</v>
      </c>
      <c r="J222" t="s">
        <v>23</v>
      </c>
      <c r="K222" s="59" t="s">
        <v>17</v>
      </c>
    </row>
    <row r="223" spans="1:11" x14ac:dyDescent="0.2">
      <c r="A223" t="s">
        <v>262</v>
      </c>
      <c r="B223">
        <v>2016</v>
      </c>
      <c r="C223" t="s">
        <v>19</v>
      </c>
      <c r="D223">
        <v>86</v>
      </c>
      <c r="E223" t="s">
        <v>29</v>
      </c>
      <c r="F223" t="s">
        <v>30</v>
      </c>
      <c r="G223" t="s">
        <v>15</v>
      </c>
      <c r="H223">
        <v>0.11335597390869109</v>
      </c>
      <c r="I223">
        <v>4</v>
      </c>
      <c r="J223" t="s">
        <v>23</v>
      </c>
      <c r="K223" s="59" t="s">
        <v>16</v>
      </c>
    </row>
    <row r="224" spans="1:11" x14ac:dyDescent="0.2">
      <c r="A224" t="s">
        <v>263</v>
      </c>
      <c r="B224">
        <v>2017</v>
      </c>
      <c r="C224" t="s">
        <v>33</v>
      </c>
      <c r="D224">
        <v>78</v>
      </c>
      <c r="E224" t="s">
        <v>29</v>
      </c>
      <c r="F224" t="s">
        <v>30</v>
      </c>
      <c r="G224" t="s">
        <v>15</v>
      </c>
      <c r="H224">
        <v>1.173666381899163E-3</v>
      </c>
      <c r="I224">
        <v>4</v>
      </c>
      <c r="J224" t="s">
        <v>16</v>
      </c>
      <c r="K224" s="59" t="s">
        <v>16</v>
      </c>
    </row>
    <row r="225" spans="1:11" x14ac:dyDescent="0.2">
      <c r="A225" t="s">
        <v>264</v>
      </c>
      <c r="B225">
        <v>2017</v>
      </c>
      <c r="C225" t="s">
        <v>19</v>
      </c>
      <c r="D225">
        <v>104</v>
      </c>
      <c r="E225" t="s">
        <v>20</v>
      </c>
      <c r="F225" t="s">
        <v>21</v>
      </c>
      <c r="G225" t="s">
        <v>22</v>
      </c>
      <c r="H225">
        <v>0.28492891483201988</v>
      </c>
      <c r="I225">
        <v>3</v>
      </c>
      <c r="J225" t="s">
        <v>23</v>
      </c>
      <c r="K225" s="59" t="s">
        <v>17</v>
      </c>
    </row>
    <row r="226" spans="1:11" x14ac:dyDescent="0.2">
      <c r="A226" t="s">
        <v>265</v>
      </c>
      <c r="B226">
        <v>2018</v>
      </c>
      <c r="C226" t="s">
        <v>19</v>
      </c>
      <c r="D226">
        <v>184</v>
      </c>
      <c r="E226" t="s">
        <v>20</v>
      </c>
      <c r="F226" t="s">
        <v>21</v>
      </c>
      <c r="G226" t="s">
        <v>15</v>
      </c>
      <c r="H226">
        <v>-0.12901517630189199</v>
      </c>
      <c r="I226">
        <v>3</v>
      </c>
      <c r="J226" t="s">
        <v>16</v>
      </c>
      <c r="K226" s="59" t="s">
        <v>16</v>
      </c>
    </row>
    <row r="227" spans="1:11" x14ac:dyDescent="0.2">
      <c r="A227" t="s">
        <v>266</v>
      </c>
      <c r="B227">
        <v>2016</v>
      </c>
      <c r="C227" t="s">
        <v>19</v>
      </c>
      <c r="D227">
        <v>49</v>
      </c>
      <c r="E227" t="s">
        <v>25</v>
      </c>
      <c r="F227" t="s">
        <v>26</v>
      </c>
      <c r="G227" t="s">
        <v>15</v>
      </c>
      <c r="H227">
        <v>-1.6724032071300381</v>
      </c>
      <c r="I227">
        <v>2</v>
      </c>
      <c r="J227" t="s">
        <v>17</v>
      </c>
      <c r="K227" s="59" t="s">
        <v>16</v>
      </c>
    </row>
    <row r="228" spans="1:11" x14ac:dyDescent="0.2">
      <c r="A228" t="s">
        <v>267</v>
      </c>
      <c r="B228">
        <v>2017</v>
      </c>
      <c r="C228" t="s">
        <v>33</v>
      </c>
      <c r="D228">
        <v>130</v>
      </c>
      <c r="E228" t="s">
        <v>20</v>
      </c>
      <c r="F228" t="s">
        <v>21</v>
      </c>
      <c r="G228" t="s">
        <v>41</v>
      </c>
      <c r="H228">
        <v>1.207133472294913</v>
      </c>
      <c r="I228">
        <v>3</v>
      </c>
      <c r="J228" t="s">
        <v>23</v>
      </c>
      <c r="K228" s="59" t="s">
        <v>4376</v>
      </c>
    </row>
    <row r="229" spans="1:11" x14ac:dyDescent="0.2">
      <c r="A229" t="s">
        <v>268</v>
      </c>
      <c r="B229">
        <v>2016</v>
      </c>
      <c r="C229" t="s">
        <v>19</v>
      </c>
      <c r="D229">
        <v>75</v>
      </c>
      <c r="E229" t="s">
        <v>20</v>
      </c>
      <c r="F229" t="s">
        <v>21</v>
      </c>
      <c r="G229" t="s">
        <v>22</v>
      </c>
      <c r="H229">
        <v>-0.1177237792714966</v>
      </c>
      <c r="I229">
        <v>3</v>
      </c>
      <c r="J229" t="s">
        <v>23</v>
      </c>
      <c r="K229" s="59" t="s">
        <v>23</v>
      </c>
    </row>
    <row r="230" spans="1:11" x14ac:dyDescent="0.2">
      <c r="A230" t="s">
        <v>269</v>
      </c>
      <c r="B230">
        <v>2016</v>
      </c>
      <c r="C230" t="s">
        <v>19</v>
      </c>
      <c r="D230">
        <v>78</v>
      </c>
      <c r="E230" t="s">
        <v>29</v>
      </c>
      <c r="F230" t="s">
        <v>30</v>
      </c>
      <c r="G230" t="s">
        <v>15</v>
      </c>
      <c r="H230">
        <v>1.173666381899163E-3</v>
      </c>
      <c r="I230">
        <v>4</v>
      </c>
      <c r="J230" t="s">
        <v>23</v>
      </c>
      <c r="K230" s="59" t="s">
        <v>17</v>
      </c>
    </row>
    <row r="231" spans="1:11" x14ac:dyDescent="0.2">
      <c r="A231" t="s">
        <v>270</v>
      </c>
      <c r="B231">
        <v>2024</v>
      </c>
      <c r="C231" t="s">
        <v>19</v>
      </c>
      <c r="D231">
        <v>617</v>
      </c>
      <c r="E231" t="s">
        <v>53</v>
      </c>
      <c r="F231" t="s">
        <v>54</v>
      </c>
      <c r="G231" t="s">
        <v>15</v>
      </c>
      <c r="H231">
        <v>-0.12422943301980099</v>
      </c>
      <c r="I231">
        <v>3</v>
      </c>
      <c r="J231" t="s">
        <v>16</v>
      </c>
      <c r="K231" s="59" t="s">
        <v>4376</v>
      </c>
    </row>
    <row r="232" spans="1:11" x14ac:dyDescent="0.2">
      <c r="A232" t="s">
        <v>271</v>
      </c>
      <c r="B232">
        <v>2018</v>
      </c>
      <c r="C232" t="s">
        <v>33</v>
      </c>
      <c r="D232">
        <v>50</v>
      </c>
      <c r="E232" t="s">
        <v>20</v>
      </c>
      <c r="F232" t="s">
        <v>21</v>
      </c>
      <c r="G232" t="s">
        <v>15</v>
      </c>
      <c r="H232">
        <v>-4.7064725854621327E-2</v>
      </c>
      <c r="I232">
        <v>3</v>
      </c>
      <c r="J232" t="s">
        <v>23</v>
      </c>
      <c r="K232" s="59" t="s">
        <v>4376</v>
      </c>
    </row>
    <row r="233" spans="1:11" x14ac:dyDescent="0.2">
      <c r="A233" t="s">
        <v>272</v>
      </c>
      <c r="B233">
        <v>2018</v>
      </c>
      <c r="C233" t="s">
        <v>12</v>
      </c>
      <c r="D233">
        <v>199</v>
      </c>
      <c r="E233" t="s">
        <v>25</v>
      </c>
      <c r="F233" t="s">
        <v>26</v>
      </c>
      <c r="G233" t="s">
        <v>15</v>
      </c>
      <c r="H233">
        <v>0.23236803331859079</v>
      </c>
      <c r="I233">
        <v>2</v>
      </c>
      <c r="J233" t="s">
        <v>16</v>
      </c>
      <c r="K233" s="59" t="s">
        <v>17</v>
      </c>
    </row>
    <row r="234" spans="1:11" x14ac:dyDescent="0.2">
      <c r="A234" t="s">
        <v>273</v>
      </c>
      <c r="B234">
        <v>2017</v>
      </c>
      <c r="C234" t="s">
        <v>33</v>
      </c>
      <c r="D234">
        <v>169</v>
      </c>
      <c r="E234" t="s">
        <v>25</v>
      </c>
      <c r="F234" t="s">
        <v>26</v>
      </c>
      <c r="G234" t="s">
        <v>15</v>
      </c>
      <c r="H234">
        <v>-0.2907146942849449</v>
      </c>
      <c r="I234">
        <v>2</v>
      </c>
      <c r="J234" t="s">
        <v>23</v>
      </c>
      <c r="K234" s="59" t="s">
        <v>23</v>
      </c>
    </row>
    <row r="235" spans="1:11" x14ac:dyDescent="0.2">
      <c r="A235" t="s">
        <v>274</v>
      </c>
      <c r="B235">
        <v>2018</v>
      </c>
      <c r="C235" t="s">
        <v>33</v>
      </c>
      <c r="D235">
        <v>48</v>
      </c>
      <c r="E235" t="s">
        <v>20</v>
      </c>
      <c r="F235" t="s">
        <v>21</v>
      </c>
      <c r="G235" t="s">
        <v>15</v>
      </c>
      <c r="H235">
        <v>-1.079165326415175</v>
      </c>
      <c r="I235">
        <v>3</v>
      </c>
      <c r="J235" t="s">
        <v>23</v>
      </c>
      <c r="K235" s="59" t="s">
        <v>17</v>
      </c>
    </row>
    <row r="236" spans="1:11" x14ac:dyDescent="0.2">
      <c r="A236" t="s">
        <v>275</v>
      </c>
      <c r="B236">
        <v>2017</v>
      </c>
      <c r="C236" t="s">
        <v>19</v>
      </c>
      <c r="D236">
        <v>52</v>
      </c>
      <c r="E236" t="s">
        <v>25</v>
      </c>
      <c r="F236" t="s">
        <v>26</v>
      </c>
      <c r="G236" t="s">
        <v>15</v>
      </c>
      <c r="H236">
        <v>-0.67416382492938842</v>
      </c>
      <c r="I236">
        <v>2</v>
      </c>
      <c r="J236" t="s">
        <v>23</v>
      </c>
      <c r="K236" s="59" t="s">
        <v>17</v>
      </c>
    </row>
    <row r="237" spans="1:11" x14ac:dyDescent="0.2">
      <c r="A237" t="s">
        <v>276</v>
      </c>
      <c r="B237">
        <v>2018</v>
      </c>
      <c r="C237" t="s">
        <v>19</v>
      </c>
      <c r="D237">
        <v>72</v>
      </c>
      <c r="E237" t="s">
        <v>20</v>
      </c>
      <c r="F237" t="s">
        <v>21</v>
      </c>
      <c r="G237" t="s">
        <v>15</v>
      </c>
      <c r="H237">
        <v>-0.13665031143673101</v>
      </c>
      <c r="I237">
        <v>3</v>
      </c>
      <c r="J237" t="s">
        <v>23</v>
      </c>
      <c r="K237" s="59" t="s">
        <v>23</v>
      </c>
    </row>
    <row r="238" spans="1:11" x14ac:dyDescent="0.2">
      <c r="A238" t="s">
        <v>277</v>
      </c>
      <c r="B238">
        <v>2018</v>
      </c>
      <c r="C238" t="s">
        <v>33</v>
      </c>
      <c r="D238">
        <v>63</v>
      </c>
      <c r="E238" t="s">
        <v>29</v>
      </c>
      <c r="F238" t="s">
        <v>30</v>
      </c>
      <c r="G238" t="s">
        <v>36</v>
      </c>
      <c r="H238">
        <v>-2.0364825574021581</v>
      </c>
      <c r="I238">
        <v>4</v>
      </c>
      <c r="J238" t="s">
        <v>23</v>
      </c>
      <c r="K238" s="59" t="s">
        <v>17</v>
      </c>
    </row>
    <row r="239" spans="1:11" x14ac:dyDescent="0.2">
      <c r="A239" t="s">
        <v>278</v>
      </c>
      <c r="B239">
        <v>2018</v>
      </c>
      <c r="C239" t="s">
        <v>33</v>
      </c>
      <c r="D239">
        <v>59</v>
      </c>
      <c r="E239" t="s">
        <v>29</v>
      </c>
      <c r="F239" t="s">
        <v>30</v>
      </c>
      <c r="G239" t="s">
        <v>36</v>
      </c>
      <c r="H239">
        <v>-2.3424840696377309</v>
      </c>
      <c r="I239">
        <v>4</v>
      </c>
      <c r="J239" t="s">
        <v>23</v>
      </c>
      <c r="K239" s="59" t="s">
        <v>17</v>
      </c>
    </row>
    <row r="240" spans="1:11" x14ac:dyDescent="0.2">
      <c r="A240" t="s">
        <v>279</v>
      </c>
      <c r="B240">
        <v>2018</v>
      </c>
      <c r="C240" t="s">
        <v>33</v>
      </c>
      <c r="D240">
        <v>96</v>
      </c>
      <c r="E240" t="s">
        <v>38</v>
      </c>
      <c r="F240" t="s">
        <v>39</v>
      </c>
      <c r="G240" t="s">
        <v>15</v>
      </c>
      <c r="H240">
        <v>1.207133472294913</v>
      </c>
      <c r="I240">
        <v>3</v>
      </c>
      <c r="J240" t="s">
        <v>23</v>
      </c>
      <c r="K240" s="59" t="s">
        <v>4376</v>
      </c>
    </row>
    <row r="241" spans="1:11" x14ac:dyDescent="0.2">
      <c r="A241" t="s">
        <v>280</v>
      </c>
      <c r="B241">
        <v>2018</v>
      </c>
      <c r="C241" t="s">
        <v>33</v>
      </c>
      <c r="D241">
        <v>43</v>
      </c>
      <c r="E241" t="s">
        <v>25</v>
      </c>
      <c r="F241" t="s">
        <v>26</v>
      </c>
      <c r="G241" t="s">
        <v>80</v>
      </c>
      <c r="H241">
        <v>-0.98042152447753039</v>
      </c>
      <c r="I241">
        <v>2</v>
      </c>
      <c r="J241" t="s">
        <v>23</v>
      </c>
      <c r="K241" s="59" t="s">
        <v>4376</v>
      </c>
    </row>
    <row r="242" spans="1:11" x14ac:dyDescent="0.2">
      <c r="A242" t="s">
        <v>281</v>
      </c>
      <c r="B242">
        <v>2018</v>
      </c>
      <c r="C242" t="s">
        <v>33</v>
      </c>
      <c r="D242">
        <v>49</v>
      </c>
      <c r="E242" t="s">
        <v>20</v>
      </c>
      <c r="F242" t="s">
        <v>21</v>
      </c>
      <c r="G242" t="s">
        <v>15</v>
      </c>
      <c r="H242">
        <v>-7.266060744950982E-2</v>
      </c>
      <c r="I242">
        <v>3</v>
      </c>
      <c r="J242" t="s">
        <v>23</v>
      </c>
      <c r="K242" s="59" t="s">
        <v>4376</v>
      </c>
    </row>
    <row r="243" spans="1:11" x14ac:dyDescent="0.2">
      <c r="A243" t="s">
        <v>282</v>
      </c>
      <c r="B243">
        <v>2019</v>
      </c>
      <c r="C243" t="s">
        <v>33</v>
      </c>
      <c r="D243">
        <v>53</v>
      </c>
      <c r="E243" t="s">
        <v>38</v>
      </c>
      <c r="F243" t="s">
        <v>39</v>
      </c>
      <c r="G243" t="s">
        <v>15</v>
      </c>
      <c r="H243">
        <v>0.30266361786015239</v>
      </c>
      <c r="I243">
        <v>3</v>
      </c>
      <c r="J243" t="s">
        <v>23</v>
      </c>
      <c r="K243" s="59" t="s">
        <v>16</v>
      </c>
    </row>
    <row r="244" spans="1:11" x14ac:dyDescent="0.2">
      <c r="A244" t="s">
        <v>283</v>
      </c>
      <c r="B244">
        <v>2017</v>
      </c>
      <c r="C244" t="s">
        <v>33</v>
      </c>
      <c r="D244">
        <v>62</v>
      </c>
      <c r="E244" t="s">
        <v>25</v>
      </c>
      <c r="F244" t="s">
        <v>26</v>
      </c>
      <c r="G244" t="s">
        <v>15</v>
      </c>
      <c r="H244">
        <v>0.4485458524464041</v>
      </c>
      <c r="I244">
        <v>2</v>
      </c>
      <c r="J244" t="s">
        <v>23</v>
      </c>
      <c r="K244" s="59" t="s">
        <v>4376</v>
      </c>
    </row>
    <row r="245" spans="1:11" x14ac:dyDescent="0.2">
      <c r="A245" t="s">
        <v>284</v>
      </c>
      <c r="B245">
        <v>2016</v>
      </c>
      <c r="C245" t="s">
        <v>19</v>
      </c>
      <c r="D245">
        <v>45</v>
      </c>
      <c r="E245" t="s">
        <v>20</v>
      </c>
      <c r="F245" t="s">
        <v>21</v>
      </c>
      <c r="G245" t="s">
        <v>22</v>
      </c>
      <c r="H245">
        <v>0.16196830717030089</v>
      </c>
      <c r="I245">
        <v>3</v>
      </c>
      <c r="J245" t="s">
        <v>23</v>
      </c>
      <c r="K245" s="59" t="s">
        <v>23</v>
      </c>
    </row>
    <row r="246" spans="1:11" x14ac:dyDescent="0.2">
      <c r="A246" t="s">
        <v>285</v>
      </c>
      <c r="B246">
        <v>2016</v>
      </c>
      <c r="C246" t="s">
        <v>33</v>
      </c>
      <c r="D246">
        <v>71</v>
      </c>
      <c r="E246" t="s">
        <v>29</v>
      </c>
      <c r="F246" t="s">
        <v>30</v>
      </c>
      <c r="G246" t="s">
        <v>34</v>
      </c>
      <c r="H246">
        <v>-1.4425810308379059</v>
      </c>
      <c r="I246">
        <v>4</v>
      </c>
      <c r="J246" t="s">
        <v>16</v>
      </c>
      <c r="K246" s="59" t="s">
        <v>4376</v>
      </c>
    </row>
    <row r="247" spans="1:11" x14ac:dyDescent="0.2">
      <c r="A247" t="s">
        <v>286</v>
      </c>
      <c r="B247">
        <v>2016</v>
      </c>
      <c r="C247" t="s">
        <v>33</v>
      </c>
      <c r="D247">
        <v>71</v>
      </c>
      <c r="E247" t="s">
        <v>29</v>
      </c>
      <c r="F247" t="s">
        <v>30</v>
      </c>
      <c r="G247" t="s">
        <v>34</v>
      </c>
      <c r="H247">
        <v>-1.4425810308379059</v>
      </c>
      <c r="I247">
        <v>4</v>
      </c>
      <c r="J247" t="s">
        <v>16</v>
      </c>
      <c r="K247" s="59" t="s">
        <v>4376</v>
      </c>
    </row>
    <row r="248" spans="1:11" x14ac:dyDescent="0.2">
      <c r="A248" t="s">
        <v>287</v>
      </c>
      <c r="B248">
        <v>2016</v>
      </c>
      <c r="C248" t="s">
        <v>12</v>
      </c>
      <c r="D248">
        <v>61</v>
      </c>
      <c r="E248" t="s">
        <v>13</v>
      </c>
      <c r="F248" t="s">
        <v>14</v>
      </c>
      <c r="G248" t="s">
        <v>15</v>
      </c>
      <c r="H248">
        <v>-1.1059369751120149</v>
      </c>
      <c r="I248">
        <v>4</v>
      </c>
      <c r="J248" t="s">
        <v>23</v>
      </c>
      <c r="K248" s="59" t="s">
        <v>16</v>
      </c>
    </row>
    <row r="249" spans="1:11" x14ac:dyDescent="0.2">
      <c r="A249" t="s">
        <v>288</v>
      </c>
      <c r="B249">
        <v>2017</v>
      </c>
      <c r="C249" t="s">
        <v>33</v>
      </c>
      <c r="D249">
        <v>46</v>
      </c>
      <c r="E249" t="s">
        <v>25</v>
      </c>
      <c r="F249" t="s">
        <v>26</v>
      </c>
      <c r="G249" t="s">
        <v>80</v>
      </c>
      <c r="H249">
        <v>-2.9735271882035339</v>
      </c>
      <c r="I249">
        <v>2</v>
      </c>
      <c r="J249" t="s">
        <v>23</v>
      </c>
      <c r="K249" s="59" t="s">
        <v>23</v>
      </c>
    </row>
    <row r="250" spans="1:11" x14ac:dyDescent="0.2">
      <c r="A250" t="s">
        <v>289</v>
      </c>
      <c r="B250">
        <v>2017</v>
      </c>
      <c r="C250" t="s">
        <v>12</v>
      </c>
      <c r="D250">
        <v>223</v>
      </c>
      <c r="E250" t="s">
        <v>25</v>
      </c>
      <c r="F250" t="s">
        <v>26</v>
      </c>
      <c r="G250" t="s">
        <v>15</v>
      </c>
      <c r="H250">
        <v>0.29388235713748501</v>
      </c>
      <c r="I250">
        <v>2</v>
      </c>
      <c r="J250" t="s">
        <v>23</v>
      </c>
      <c r="K250" s="59" t="s">
        <v>17</v>
      </c>
    </row>
    <row r="251" spans="1:11" x14ac:dyDescent="0.2">
      <c r="A251" t="s">
        <v>290</v>
      </c>
      <c r="B251">
        <v>2017</v>
      </c>
      <c r="C251" t="s">
        <v>33</v>
      </c>
      <c r="D251">
        <v>77</v>
      </c>
      <c r="E251" t="s">
        <v>38</v>
      </c>
      <c r="F251" t="s">
        <v>39</v>
      </c>
      <c r="G251" t="s">
        <v>15</v>
      </c>
      <c r="H251">
        <v>-2.457731392427752</v>
      </c>
      <c r="I251">
        <v>3</v>
      </c>
      <c r="J251" t="s">
        <v>23</v>
      </c>
      <c r="K251" s="59" t="s">
        <v>4376</v>
      </c>
    </row>
    <row r="252" spans="1:11" x14ac:dyDescent="0.2">
      <c r="A252" t="s">
        <v>291</v>
      </c>
      <c r="B252">
        <v>2017</v>
      </c>
      <c r="C252" t="s">
        <v>33</v>
      </c>
      <c r="D252">
        <v>79</v>
      </c>
      <c r="E252" t="s">
        <v>38</v>
      </c>
      <c r="F252" t="s">
        <v>39</v>
      </c>
      <c r="G252" t="s">
        <v>15</v>
      </c>
      <c r="H252">
        <v>-1.174255511533316</v>
      </c>
      <c r="I252">
        <v>3</v>
      </c>
      <c r="J252" t="s">
        <v>23</v>
      </c>
      <c r="K252" s="59" t="s">
        <v>4376</v>
      </c>
    </row>
    <row r="253" spans="1:11" x14ac:dyDescent="0.2">
      <c r="A253" t="s">
        <v>292</v>
      </c>
      <c r="B253">
        <v>2017</v>
      </c>
      <c r="C253" t="s">
        <v>19</v>
      </c>
      <c r="D253">
        <v>149</v>
      </c>
      <c r="E253" t="s">
        <v>29</v>
      </c>
      <c r="F253" t="s">
        <v>30</v>
      </c>
      <c r="G253" t="s">
        <v>15</v>
      </c>
      <c r="H253">
        <v>0.5584102663554984</v>
      </c>
      <c r="I253">
        <v>4</v>
      </c>
      <c r="J253" t="s">
        <v>16</v>
      </c>
      <c r="K253" s="59" t="s">
        <v>17</v>
      </c>
    </row>
    <row r="254" spans="1:11" x14ac:dyDescent="0.2">
      <c r="A254" t="s">
        <v>293</v>
      </c>
      <c r="B254">
        <v>2018</v>
      </c>
      <c r="C254" t="s">
        <v>33</v>
      </c>
      <c r="D254">
        <v>59</v>
      </c>
      <c r="E254" t="s">
        <v>29</v>
      </c>
      <c r="F254" t="s">
        <v>30</v>
      </c>
      <c r="G254" t="s">
        <v>36</v>
      </c>
      <c r="H254">
        <v>-2.3424840696377309</v>
      </c>
      <c r="I254">
        <v>4</v>
      </c>
      <c r="J254" t="s">
        <v>23</v>
      </c>
      <c r="K254" s="59" t="s">
        <v>17</v>
      </c>
    </row>
    <row r="255" spans="1:11" x14ac:dyDescent="0.2">
      <c r="A255" t="s">
        <v>294</v>
      </c>
      <c r="B255">
        <v>2017</v>
      </c>
      <c r="C255" t="s">
        <v>33</v>
      </c>
      <c r="D255">
        <v>105</v>
      </c>
      <c r="E255" t="s">
        <v>29</v>
      </c>
      <c r="F255" t="s">
        <v>30</v>
      </c>
      <c r="G255" t="s">
        <v>34</v>
      </c>
      <c r="H255">
        <v>0.13122815525487111</v>
      </c>
      <c r="I255">
        <v>4</v>
      </c>
      <c r="J255" t="s">
        <v>23</v>
      </c>
      <c r="K255" s="59" t="s">
        <v>4376</v>
      </c>
    </row>
    <row r="256" spans="1:11" x14ac:dyDescent="0.2">
      <c r="A256" t="s">
        <v>295</v>
      </c>
      <c r="B256">
        <v>2017</v>
      </c>
      <c r="C256" t="s">
        <v>19</v>
      </c>
      <c r="D256">
        <v>68</v>
      </c>
      <c r="E256" t="s">
        <v>25</v>
      </c>
      <c r="F256" t="s">
        <v>26</v>
      </c>
      <c r="G256" t="s">
        <v>15</v>
      </c>
      <c r="H256">
        <v>0.48355758874710453</v>
      </c>
      <c r="I256">
        <v>2</v>
      </c>
      <c r="J256" t="s">
        <v>23</v>
      </c>
      <c r="K256" s="59" t="s">
        <v>17</v>
      </c>
    </row>
    <row r="257" spans="1:11" x14ac:dyDescent="0.2">
      <c r="A257" t="s">
        <v>296</v>
      </c>
      <c r="B257">
        <v>2017</v>
      </c>
      <c r="C257" t="s">
        <v>33</v>
      </c>
      <c r="D257">
        <v>84</v>
      </c>
      <c r="E257" t="s">
        <v>13</v>
      </c>
      <c r="F257" t="s">
        <v>14</v>
      </c>
      <c r="G257" t="s">
        <v>15</v>
      </c>
      <c r="H257">
        <v>2.3542659706024129</v>
      </c>
      <c r="I257">
        <v>4</v>
      </c>
      <c r="J257" t="s">
        <v>16</v>
      </c>
      <c r="K257" s="59" t="s">
        <v>17</v>
      </c>
    </row>
    <row r="258" spans="1:11" x14ac:dyDescent="0.2">
      <c r="A258" t="s">
        <v>297</v>
      </c>
      <c r="B258">
        <v>2018</v>
      </c>
      <c r="C258" t="s">
        <v>33</v>
      </c>
      <c r="D258">
        <v>152</v>
      </c>
      <c r="E258" t="s">
        <v>20</v>
      </c>
      <c r="F258" t="s">
        <v>21</v>
      </c>
      <c r="G258" t="s">
        <v>15</v>
      </c>
      <c r="H258">
        <v>0.25377335545827351</v>
      </c>
      <c r="I258">
        <v>3</v>
      </c>
      <c r="J258" t="s">
        <v>23</v>
      </c>
      <c r="K258" s="59" t="s">
        <v>4376</v>
      </c>
    </row>
    <row r="259" spans="1:11" x14ac:dyDescent="0.2">
      <c r="A259" t="s">
        <v>298</v>
      </c>
      <c r="B259">
        <v>2016</v>
      </c>
      <c r="C259" t="s">
        <v>33</v>
      </c>
      <c r="D259">
        <v>77</v>
      </c>
      <c r="E259" t="s">
        <v>25</v>
      </c>
      <c r="F259" t="s">
        <v>26</v>
      </c>
      <c r="G259" t="s">
        <v>44</v>
      </c>
      <c r="H259">
        <v>1.207133472294913</v>
      </c>
      <c r="I259">
        <v>2</v>
      </c>
      <c r="J259" t="s">
        <v>23</v>
      </c>
      <c r="K259" s="59" t="s">
        <v>16</v>
      </c>
    </row>
    <row r="260" spans="1:11" x14ac:dyDescent="0.2">
      <c r="A260" t="s">
        <v>299</v>
      </c>
      <c r="B260">
        <v>2017</v>
      </c>
      <c r="C260" t="s">
        <v>33</v>
      </c>
      <c r="D260">
        <v>77</v>
      </c>
      <c r="E260" t="s">
        <v>38</v>
      </c>
      <c r="F260" t="s">
        <v>39</v>
      </c>
      <c r="G260" t="s">
        <v>15</v>
      </c>
      <c r="H260">
        <v>-2.457731392427752</v>
      </c>
      <c r="I260">
        <v>3</v>
      </c>
      <c r="J260" t="s">
        <v>23</v>
      </c>
      <c r="K260" s="59" t="s">
        <v>4376</v>
      </c>
    </row>
    <row r="261" spans="1:11" x14ac:dyDescent="0.2">
      <c r="A261" t="s">
        <v>300</v>
      </c>
      <c r="B261">
        <v>2018</v>
      </c>
      <c r="C261" t="s">
        <v>19</v>
      </c>
      <c r="D261">
        <v>70</v>
      </c>
      <c r="E261" t="s">
        <v>13</v>
      </c>
      <c r="F261" t="s">
        <v>14</v>
      </c>
      <c r="G261" t="s">
        <v>15</v>
      </c>
      <c r="H261">
        <v>1.207133472294913</v>
      </c>
      <c r="I261">
        <v>4</v>
      </c>
      <c r="J261" t="s">
        <v>23</v>
      </c>
      <c r="K261" s="59" t="s">
        <v>23</v>
      </c>
    </row>
    <row r="262" spans="1:11" x14ac:dyDescent="0.2">
      <c r="A262" t="s">
        <v>301</v>
      </c>
      <c r="B262">
        <v>2018</v>
      </c>
      <c r="C262" t="s">
        <v>19</v>
      </c>
      <c r="D262">
        <v>163</v>
      </c>
      <c r="E262" t="s">
        <v>13</v>
      </c>
      <c r="F262" t="s">
        <v>14</v>
      </c>
      <c r="G262" t="s">
        <v>15</v>
      </c>
      <c r="H262">
        <v>1.5067031056108839</v>
      </c>
      <c r="I262">
        <v>4</v>
      </c>
      <c r="J262" t="s">
        <v>16</v>
      </c>
      <c r="K262" s="59" t="s">
        <v>23</v>
      </c>
    </row>
    <row r="263" spans="1:11" x14ac:dyDescent="0.2">
      <c r="A263" t="s">
        <v>302</v>
      </c>
      <c r="B263">
        <v>2018</v>
      </c>
      <c r="C263" t="s">
        <v>19</v>
      </c>
      <c r="D263">
        <v>46</v>
      </c>
      <c r="E263" t="s">
        <v>25</v>
      </c>
      <c r="F263" t="s">
        <v>26</v>
      </c>
      <c r="G263" t="s">
        <v>15</v>
      </c>
      <c r="H263">
        <v>1.207133472294913</v>
      </c>
      <c r="I263">
        <v>2</v>
      </c>
      <c r="J263" t="s">
        <v>16</v>
      </c>
      <c r="K263" s="59" t="s">
        <v>23</v>
      </c>
    </row>
    <row r="264" spans="1:11" x14ac:dyDescent="0.2">
      <c r="A264" t="s">
        <v>303</v>
      </c>
      <c r="B264">
        <v>2017</v>
      </c>
      <c r="C264" t="s">
        <v>33</v>
      </c>
      <c r="D264">
        <v>70</v>
      </c>
      <c r="E264" t="s">
        <v>20</v>
      </c>
      <c r="F264" t="s">
        <v>21</v>
      </c>
      <c r="G264" t="s">
        <v>34</v>
      </c>
      <c r="H264">
        <v>1.207133472294913</v>
      </c>
      <c r="I264">
        <v>3</v>
      </c>
      <c r="J264" t="s">
        <v>23</v>
      </c>
      <c r="K264" s="59" t="s">
        <v>4376</v>
      </c>
    </row>
    <row r="265" spans="1:11" x14ac:dyDescent="0.2">
      <c r="A265" t="s">
        <v>304</v>
      </c>
      <c r="B265">
        <v>2017</v>
      </c>
      <c r="C265" t="s">
        <v>12</v>
      </c>
      <c r="D265">
        <v>73</v>
      </c>
      <c r="E265" t="s">
        <v>25</v>
      </c>
      <c r="F265" t="s">
        <v>26</v>
      </c>
      <c r="G265" t="s">
        <v>15</v>
      </c>
      <c r="H265">
        <v>-0.78015240505470107</v>
      </c>
      <c r="I265">
        <v>2</v>
      </c>
      <c r="J265" t="s">
        <v>16</v>
      </c>
      <c r="K265" s="59" t="s">
        <v>23</v>
      </c>
    </row>
    <row r="266" spans="1:11" x14ac:dyDescent="0.2">
      <c r="A266" t="s">
        <v>305</v>
      </c>
      <c r="B266">
        <v>2016</v>
      </c>
      <c r="C266" t="s">
        <v>33</v>
      </c>
      <c r="D266">
        <v>73</v>
      </c>
      <c r="E266" t="s">
        <v>29</v>
      </c>
      <c r="F266" t="s">
        <v>30</v>
      </c>
      <c r="G266" t="s">
        <v>34</v>
      </c>
      <c r="H266">
        <v>-1.369986112943856</v>
      </c>
      <c r="I266">
        <v>4</v>
      </c>
      <c r="J266" t="s">
        <v>16</v>
      </c>
      <c r="K266" s="59" t="s">
        <v>4376</v>
      </c>
    </row>
    <row r="267" spans="1:11" x14ac:dyDescent="0.2">
      <c r="A267" t="s">
        <v>306</v>
      </c>
      <c r="B267">
        <v>2022</v>
      </c>
      <c r="C267" t="s">
        <v>33</v>
      </c>
      <c r="D267">
        <v>353</v>
      </c>
      <c r="E267" t="s">
        <v>53</v>
      </c>
      <c r="F267" t="s">
        <v>54</v>
      </c>
      <c r="G267" t="s">
        <v>15</v>
      </c>
      <c r="H267">
        <v>0.46058692577733279</v>
      </c>
      <c r="I267">
        <v>3</v>
      </c>
      <c r="J267" t="s">
        <v>16</v>
      </c>
      <c r="K267" s="59" t="s">
        <v>17</v>
      </c>
    </row>
    <row r="268" spans="1:11" x14ac:dyDescent="0.2">
      <c r="A268" t="s">
        <v>307</v>
      </c>
      <c r="B268">
        <v>2016</v>
      </c>
      <c r="C268" t="s">
        <v>33</v>
      </c>
      <c r="D268">
        <v>77</v>
      </c>
      <c r="E268" t="s">
        <v>29</v>
      </c>
      <c r="F268" t="s">
        <v>30</v>
      </c>
      <c r="G268" t="s">
        <v>34</v>
      </c>
      <c r="H268">
        <v>-1.23610977085353</v>
      </c>
      <c r="I268">
        <v>4</v>
      </c>
      <c r="J268" t="s">
        <v>16</v>
      </c>
      <c r="K268" s="59" t="s">
        <v>4376</v>
      </c>
    </row>
    <row r="269" spans="1:11" x14ac:dyDescent="0.2">
      <c r="A269" t="s">
        <v>308</v>
      </c>
      <c r="B269">
        <v>2017</v>
      </c>
      <c r="C269" t="s">
        <v>33</v>
      </c>
      <c r="D269">
        <v>73</v>
      </c>
      <c r="E269" t="s">
        <v>20</v>
      </c>
      <c r="F269" t="s">
        <v>21</v>
      </c>
      <c r="G269" t="s">
        <v>22</v>
      </c>
      <c r="H269">
        <v>-2.1050096566211112</v>
      </c>
      <c r="I269">
        <v>3</v>
      </c>
      <c r="J269" t="s">
        <v>23</v>
      </c>
      <c r="K269" s="59" t="s">
        <v>4376</v>
      </c>
    </row>
    <row r="270" spans="1:11" x14ac:dyDescent="0.2">
      <c r="A270" t="s">
        <v>309</v>
      </c>
      <c r="B270">
        <v>2017</v>
      </c>
      <c r="C270" t="s">
        <v>19</v>
      </c>
      <c r="D270">
        <v>153</v>
      </c>
      <c r="E270" t="s">
        <v>29</v>
      </c>
      <c r="F270" t="s">
        <v>30</v>
      </c>
      <c r="G270" t="s">
        <v>15</v>
      </c>
      <c r="H270">
        <v>0.57582565443440892</v>
      </c>
      <c r="I270">
        <v>4</v>
      </c>
      <c r="J270" t="s">
        <v>16</v>
      </c>
      <c r="K270" s="59" t="s">
        <v>17</v>
      </c>
    </row>
    <row r="271" spans="1:11" x14ac:dyDescent="0.2">
      <c r="A271" t="s">
        <v>310</v>
      </c>
      <c r="B271">
        <v>2018</v>
      </c>
      <c r="C271" t="s">
        <v>19</v>
      </c>
      <c r="D271">
        <v>117</v>
      </c>
      <c r="E271" t="s">
        <v>25</v>
      </c>
      <c r="F271" t="s">
        <v>26</v>
      </c>
      <c r="G271" t="s">
        <v>15</v>
      </c>
      <c r="H271">
        <v>0.38917812567565119</v>
      </c>
      <c r="I271">
        <v>2</v>
      </c>
      <c r="J271" t="s">
        <v>23</v>
      </c>
      <c r="K271" s="59" t="s">
        <v>16</v>
      </c>
    </row>
    <row r="272" spans="1:11" x14ac:dyDescent="0.2">
      <c r="A272" t="s">
        <v>311</v>
      </c>
      <c r="B272">
        <v>2024</v>
      </c>
      <c r="C272" t="s">
        <v>19</v>
      </c>
      <c r="D272">
        <v>617</v>
      </c>
      <c r="E272" t="s">
        <v>53</v>
      </c>
      <c r="F272" t="s">
        <v>54</v>
      </c>
      <c r="G272" t="s">
        <v>15</v>
      </c>
      <c r="H272">
        <v>-0.12422943301980099</v>
      </c>
      <c r="I272">
        <v>3</v>
      </c>
      <c r="J272" t="s">
        <v>16</v>
      </c>
      <c r="K272" s="59" t="s">
        <v>17</v>
      </c>
    </row>
    <row r="273" spans="1:11" x14ac:dyDescent="0.2">
      <c r="A273" t="s">
        <v>312</v>
      </c>
      <c r="B273">
        <v>2019</v>
      </c>
      <c r="C273" t="s">
        <v>19</v>
      </c>
      <c r="D273">
        <v>154</v>
      </c>
      <c r="E273" t="s">
        <v>20</v>
      </c>
      <c r="F273" t="s">
        <v>21</v>
      </c>
      <c r="G273" t="s">
        <v>15</v>
      </c>
      <c r="H273">
        <v>1.0959456887710179</v>
      </c>
      <c r="I273">
        <v>3</v>
      </c>
      <c r="J273" t="s">
        <v>23</v>
      </c>
      <c r="K273" s="59" t="s">
        <v>17</v>
      </c>
    </row>
    <row r="274" spans="1:11" x14ac:dyDescent="0.2">
      <c r="A274" t="s">
        <v>313</v>
      </c>
      <c r="B274">
        <v>2016</v>
      </c>
      <c r="C274" t="s">
        <v>12</v>
      </c>
      <c r="D274">
        <v>89</v>
      </c>
      <c r="E274" t="s">
        <v>13</v>
      </c>
      <c r="F274" t="s">
        <v>14</v>
      </c>
      <c r="G274" t="s">
        <v>15</v>
      </c>
      <c r="H274">
        <v>-1.611289444895051</v>
      </c>
      <c r="I274">
        <v>4</v>
      </c>
      <c r="J274" t="s">
        <v>23</v>
      </c>
      <c r="K274" s="59" t="s">
        <v>16</v>
      </c>
    </row>
    <row r="275" spans="1:11" x14ac:dyDescent="0.2">
      <c r="A275" t="s">
        <v>314</v>
      </c>
      <c r="B275">
        <v>2016</v>
      </c>
      <c r="C275" t="s">
        <v>12</v>
      </c>
      <c r="D275">
        <v>73</v>
      </c>
      <c r="E275" t="s">
        <v>13</v>
      </c>
      <c r="F275" t="s">
        <v>14</v>
      </c>
      <c r="G275" t="s">
        <v>15</v>
      </c>
      <c r="H275">
        <v>-8.1426320324471585E-2</v>
      </c>
      <c r="I275">
        <v>4</v>
      </c>
      <c r="J275" t="s">
        <v>23</v>
      </c>
      <c r="K275" s="59" t="s">
        <v>23</v>
      </c>
    </row>
    <row r="276" spans="1:11" x14ac:dyDescent="0.2">
      <c r="A276" t="s">
        <v>315</v>
      </c>
      <c r="B276">
        <v>2016</v>
      </c>
      <c r="C276" t="s">
        <v>33</v>
      </c>
      <c r="D276">
        <v>76</v>
      </c>
      <c r="E276" t="s">
        <v>25</v>
      </c>
      <c r="F276" t="s">
        <v>26</v>
      </c>
      <c r="G276" t="s">
        <v>48</v>
      </c>
      <c r="H276">
        <v>-0.85569251150366299</v>
      </c>
      <c r="I276">
        <v>2</v>
      </c>
      <c r="J276" t="s">
        <v>16</v>
      </c>
      <c r="K276" s="59" t="s">
        <v>4376</v>
      </c>
    </row>
    <row r="277" spans="1:11" ht="52" customHeight="1" x14ac:dyDescent="0.2">
      <c r="A277" t="s">
        <v>316</v>
      </c>
      <c r="B277">
        <v>2016</v>
      </c>
      <c r="C277" t="s">
        <v>19</v>
      </c>
      <c r="D277">
        <v>43</v>
      </c>
      <c r="E277" t="s">
        <v>25</v>
      </c>
      <c r="F277" t="s">
        <v>26</v>
      </c>
      <c r="G277" t="s">
        <v>80</v>
      </c>
      <c r="H277">
        <v>0.11335597390869109</v>
      </c>
      <c r="I277">
        <v>2</v>
      </c>
      <c r="J277" t="s">
        <v>23</v>
      </c>
      <c r="K277" s="59" t="s">
        <v>23</v>
      </c>
    </row>
    <row r="278" spans="1:11" x14ac:dyDescent="0.2">
      <c r="A278" t="s">
        <v>317</v>
      </c>
      <c r="B278">
        <v>2016</v>
      </c>
      <c r="C278" t="s">
        <v>33</v>
      </c>
      <c r="D278">
        <v>72</v>
      </c>
      <c r="E278" t="s">
        <v>29</v>
      </c>
      <c r="F278" t="s">
        <v>30</v>
      </c>
      <c r="G278" t="s">
        <v>34</v>
      </c>
      <c r="H278">
        <v>-1.405779440516616</v>
      </c>
      <c r="I278">
        <v>4</v>
      </c>
      <c r="J278" t="s">
        <v>16</v>
      </c>
      <c r="K278" s="59" t="s">
        <v>23</v>
      </c>
    </row>
    <row r="279" spans="1:11" x14ac:dyDescent="0.2">
      <c r="A279" t="s">
        <v>318</v>
      </c>
      <c r="B279">
        <v>2024</v>
      </c>
      <c r="C279" t="s">
        <v>19</v>
      </c>
      <c r="D279">
        <v>617</v>
      </c>
      <c r="E279" t="s">
        <v>53</v>
      </c>
      <c r="F279" t="s">
        <v>54</v>
      </c>
      <c r="G279" t="s">
        <v>15</v>
      </c>
      <c r="H279">
        <v>-0.12422943301980099</v>
      </c>
      <c r="I279">
        <v>3</v>
      </c>
      <c r="J279" t="s">
        <v>16</v>
      </c>
      <c r="K279" s="59" t="s">
        <v>17</v>
      </c>
    </row>
    <row r="280" spans="1:11" ht="52" customHeight="1" x14ac:dyDescent="0.2">
      <c r="A280" t="s">
        <v>319</v>
      </c>
      <c r="B280">
        <v>2018</v>
      </c>
      <c r="C280" t="s">
        <v>12</v>
      </c>
      <c r="D280">
        <v>65</v>
      </c>
      <c r="E280" t="s">
        <v>29</v>
      </c>
      <c r="F280" t="s">
        <v>30</v>
      </c>
      <c r="G280" t="s">
        <v>36</v>
      </c>
      <c r="H280">
        <v>-1.928362023078922</v>
      </c>
      <c r="I280">
        <v>4</v>
      </c>
      <c r="J280" t="s">
        <v>23</v>
      </c>
      <c r="K280" s="59" t="s">
        <v>17</v>
      </c>
    </row>
    <row r="281" spans="1:11" x14ac:dyDescent="0.2">
      <c r="A281" t="s">
        <v>320</v>
      </c>
      <c r="B281">
        <v>2017</v>
      </c>
      <c r="C281" t="s">
        <v>19</v>
      </c>
      <c r="D281">
        <v>63</v>
      </c>
      <c r="E281" t="s">
        <v>13</v>
      </c>
      <c r="F281" t="s">
        <v>14</v>
      </c>
      <c r="G281" t="s">
        <v>15</v>
      </c>
      <c r="H281">
        <v>-0.33491349264303921</v>
      </c>
      <c r="I281">
        <v>4</v>
      </c>
      <c r="J281" t="s">
        <v>23</v>
      </c>
      <c r="K281" s="59" t="s">
        <v>17</v>
      </c>
    </row>
    <row r="282" spans="1:11" x14ac:dyDescent="0.2">
      <c r="A282" t="s">
        <v>321</v>
      </c>
      <c r="B282">
        <v>2018</v>
      </c>
      <c r="C282" t="s">
        <v>33</v>
      </c>
      <c r="D282">
        <v>115</v>
      </c>
      <c r="E282" t="s">
        <v>20</v>
      </c>
      <c r="F282" t="s">
        <v>21</v>
      </c>
      <c r="G282" t="s">
        <v>15</v>
      </c>
      <c r="H282">
        <v>0.79815579898528177</v>
      </c>
      <c r="I282">
        <v>3</v>
      </c>
      <c r="J282" t="s">
        <v>17</v>
      </c>
      <c r="K282" s="59" t="s">
        <v>4376</v>
      </c>
    </row>
    <row r="283" spans="1:11" ht="39" customHeight="1" x14ac:dyDescent="0.2">
      <c r="A283" t="s">
        <v>322</v>
      </c>
      <c r="B283">
        <v>2018</v>
      </c>
      <c r="C283" t="s">
        <v>12</v>
      </c>
      <c r="D283">
        <v>90</v>
      </c>
      <c r="E283" t="s">
        <v>25</v>
      </c>
      <c r="F283" t="s">
        <v>26</v>
      </c>
      <c r="G283" t="s">
        <v>22</v>
      </c>
      <c r="H283">
        <v>0.85874508392004201</v>
      </c>
      <c r="I283">
        <v>2</v>
      </c>
      <c r="J283" t="s">
        <v>23</v>
      </c>
      <c r="K283" s="59" t="s">
        <v>16</v>
      </c>
    </row>
    <row r="284" spans="1:11" x14ac:dyDescent="0.2">
      <c r="A284" t="s">
        <v>323</v>
      </c>
      <c r="B284">
        <v>2022</v>
      </c>
      <c r="C284" t="s">
        <v>19</v>
      </c>
      <c r="D284">
        <v>353</v>
      </c>
      <c r="E284" t="s">
        <v>53</v>
      </c>
      <c r="F284" t="s">
        <v>54</v>
      </c>
      <c r="G284" t="s">
        <v>15</v>
      </c>
      <c r="H284">
        <v>0.46058692577733279</v>
      </c>
      <c r="I284">
        <v>3</v>
      </c>
      <c r="J284" t="s">
        <v>16</v>
      </c>
      <c r="K284" s="59" t="s">
        <v>16</v>
      </c>
    </row>
    <row r="285" spans="1:11" x14ac:dyDescent="0.2">
      <c r="A285" t="s">
        <v>324</v>
      </c>
      <c r="B285">
        <v>2019</v>
      </c>
      <c r="C285" t="s">
        <v>12</v>
      </c>
      <c r="D285">
        <v>126</v>
      </c>
      <c r="E285" t="s">
        <v>25</v>
      </c>
      <c r="F285" t="s">
        <v>26</v>
      </c>
      <c r="G285" t="s">
        <v>15</v>
      </c>
      <c r="H285">
        <v>6.9252042522149906E-2</v>
      </c>
      <c r="I285">
        <v>2</v>
      </c>
      <c r="J285" t="s">
        <v>16</v>
      </c>
      <c r="K285" s="59" t="s">
        <v>17</v>
      </c>
    </row>
    <row r="286" spans="1:11" x14ac:dyDescent="0.2">
      <c r="A286" t="s">
        <v>325</v>
      </c>
      <c r="B286">
        <v>2017</v>
      </c>
      <c r="C286" t="s">
        <v>19</v>
      </c>
      <c r="D286">
        <v>102</v>
      </c>
      <c r="E286" t="s">
        <v>29</v>
      </c>
      <c r="F286" t="s">
        <v>30</v>
      </c>
      <c r="G286" t="s">
        <v>34</v>
      </c>
      <c r="H286">
        <v>0.73205839723827082</v>
      </c>
      <c r="I286">
        <v>4</v>
      </c>
      <c r="J286" t="s">
        <v>16</v>
      </c>
      <c r="K286" s="59" t="s">
        <v>16</v>
      </c>
    </row>
    <row r="287" spans="1:11" x14ac:dyDescent="0.2">
      <c r="A287" t="s">
        <v>326</v>
      </c>
      <c r="B287">
        <v>2017</v>
      </c>
      <c r="C287" t="s">
        <v>33</v>
      </c>
      <c r="D287">
        <v>50</v>
      </c>
      <c r="E287" t="s">
        <v>29</v>
      </c>
      <c r="F287" t="s">
        <v>30</v>
      </c>
      <c r="G287" t="s">
        <v>36</v>
      </c>
      <c r="H287">
        <v>-2.7956267345653019</v>
      </c>
      <c r="I287">
        <v>4</v>
      </c>
      <c r="J287" t="s">
        <v>23</v>
      </c>
      <c r="K287" s="59" t="s">
        <v>4376</v>
      </c>
    </row>
    <row r="288" spans="1:11" x14ac:dyDescent="0.2">
      <c r="A288" t="s">
        <v>327</v>
      </c>
      <c r="B288">
        <v>2017</v>
      </c>
      <c r="C288" t="s">
        <v>33</v>
      </c>
      <c r="D288">
        <v>110</v>
      </c>
      <c r="E288" t="s">
        <v>29</v>
      </c>
      <c r="F288" t="s">
        <v>30</v>
      </c>
      <c r="G288" t="s">
        <v>34</v>
      </c>
      <c r="H288">
        <v>2.0862443588483242</v>
      </c>
      <c r="I288">
        <v>4</v>
      </c>
      <c r="J288" t="s">
        <v>16</v>
      </c>
      <c r="K288" s="59" t="s">
        <v>4376</v>
      </c>
    </row>
    <row r="289" spans="1:11" x14ac:dyDescent="0.2">
      <c r="A289" t="s">
        <v>328</v>
      </c>
      <c r="B289">
        <v>2016</v>
      </c>
      <c r="C289" t="s">
        <v>33</v>
      </c>
      <c r="D289">
        <v>54</v>
      </c>
      <c r="E289" t="s">
        <v>20</v>
      </c>
      <c r="F289" t="s">
        <v>21</v>
      </c>
      <c r="G289" t="s">
        <v>147</v>
      </c>
      <c r="H289">
        <v>-0.53480846957944006</v>
      </c>
      <c r="I289">
        <v>3</v>
      </c>
      <c r="J289" t="s">
        <v>17</v>
      </c>
      <c r="K289" s="59" t="s">
        <v>4376</v>
      </c>
    </row>
    <row r="290" spans="1:11" x14ac:dyDescent="0.2">
      <c r="A290" t="s">
        <v>329</v>
      </c>
      <c r="B290">
        <v>2017</v>
      </c>
      <c r="C290" t="s">
        <v>19</v>
      </c>
      <c r="D290">
        <v>65</v>
      </c>
      <c r="E290" t="s">
        <v>20</v>
      </c>
      <c r="F290" t="s">
        <v>21</v>
      </c>
      <c r="G290" t="s">
        <v>15</v>
      </c>
      <c r="H290">
        <v>-0.24001829480070361</v>
      </c>
      <c r="I290">
        <v>3</v>
      </c>
      <c r="J290" t="s">
        <v>23</v>
      </c>
      <c r="K290" s="59" t="s">
        <v>23</v>
      </c>
    </row>
    <row r="291" spans="1:11" x14ac:dyDescent="0.2">
      <c r="A291" t="s">
        <v>330</v>
      </c>
      <c r="B291">
        <v>2017</v>
      </c>
      <c r="C291" t="s">
        <v>33</v>
      </c>
      <c r="D291">
        <v>286</v>
      </c>
      <c r="E291" t="s">
        <v>20</v>
      </c>
      <c r="F291" t="s">
        <v>21</v>
      </c>
      <c r="G291" t="s">
        <v>80</v>
      </c>
      <c r="H291">
        <v>1.207133472294913</v>
      </c>
      <c r="I291">
        <v>3</v>
      </c>
      <c r="J291" t="s">
        <v>17</v>
      </c>
      <c r="K291" s="59" t="s">
        <v>4376</v>
      </c>
    </row>
    <row r="292" spans="1:11" x14ac:dyDescent="0.2">
      <c r="A292" t="s">
        <v>331</v>
      </c>
      <c r="B292">
        <v>2017</v>
      </c>
      <c r="C292" t="s">
        <v>19</v>
      </c>
      <c r="D292">
        <v>175</v>
      </c>
      <c r="E292" t="s">
        <v>20</v>
      </c>
      <c r="F292" t="s">
        <v>21</v>
      </c>
      <c r="G292" t="s">
        <v>15</v>
      </c>
      <c r="H292">
        <v>0.93526970101972451</v>
      </c>
      <c r="I292">
        <v>3</v>
      </c>
      <c r="J292" t="s">
        <v>23</v>
      </c>
      <c r="K292" s="59" t="s">
        <v>23</v>
      </c>
    </row>
    <row r="293" spans="1:11" x14ac:dyDescent="0.2">
      <c r="A293" t="s">
        <v>332</v>
      </c>
      <c r="B293">
        <v>2017</v>
      </c>
      <c r="C293" t="s">
        <v>33</v>
      </c>
      <c r="D293">
        <v>99</v>
      </c>
      <c r="E293" t="s">
        <v>25</v>
      </c>
      <c r="F293" t="s">
        <v>26</v>
      </c>
      <c r="G293" t="s">
        <v>34</v>
      </c>
      <c r="H293">
        <v>-0.26263004116157262</v>
      </c>
      <c r="I293">
        <v>2</v>
      </c>
      <c r="J293" t="s">
        <v>17</v>
      </c>
      <c r="K293" s="59" t="s">
        <v>23</v>
      </c>
    </row>
    <row r="294" spans="1:11" x14ac:dyDescent="0.2">
      <c r="A294" t="s">
        <v>333</v>
      </c>
      <c r="B294">
        <v>2017</v>
      </c>
      <c r="C294" t="s">
        <v>33</v>
      </c>
      <c r="D294">
        <v>107</v>
      </c>
      <c r="E294" t="s">
        <v>29</v>
      </c>
      <c r="F294" t="s">
        <v>30</v>
      </c>
      <c r="G294" t="s">
        <v>34</v>
      </c>
      <c r="H294">
        <v>1.207133472294913</v>
      </c>
      <c r="I294">
        <v>4</v>
      </c>
      <c r="J294" t="s">
        <v>16</v>
      </c>
      <c r="K294" s="59" t="s">
        <v>4376</v>
      </c>
    </row>
    <row r="295" spans="1:11" x14ac:dyDescent="0.2">
      <c r="A295" t="s">
        <v>334</v>
      </c>
      <c r="B295">
        <v>2017</v>
      </c>
      <c r="C295" t="s">
        <v>19</v>
      </c>
      <c r="D295">
        <v>56</v>
      </c>
      <c r="E295" t="s">
        <v>13</v>
      </c>
      <c r="F295" t="s">
        <v>14</v>
      </c>
      <c r="G295" t="s">
        <v>15</v>
      </c>
      <c r="H295">
        <v>-0.53480846957944006</v>
      </c>
      <c r="I295">
        <v>4</v>
      </c>
      <c r="J295" t="s">
        <v>23</v>
      </c>
      <c r="K295" s="59" t="s">
        <v>17</v>
      </c>
    </row>
    <row r="296" spans="1:11" x14ac:dyDescent="0.2">
      <c r="A296" t="s">
        <v>335</v>
      </c>
      <c r="B296">
        <v>2021</v>
      </c>
      <c r="C296" t="s">
        <v>33</v>
      </c>
      <c r="D296">
        <v>71</v>
      </c>
      <c r="E296" t="s">
        <v>25</v>
      </c>
      <c r="F296" t="s">
        <v>26</v>
      </c>
      <c r="G296" t="s">
        <v>15</v>
      </c>
      <c r="H296">
        <v>0.51548005419774312</v>
      </c>
      <c r="I296">
        <v>2</v>
      </c>
      <c r="J296" t="s">
        <v>16</v>
      </c>
      <c r="K296" s="59" t="s">
        <v>23</v>
      </c>
    </row>
    <row r="297" spans="1:11" x14ac:dyDescent="0.2">
      <c r="A297" t="s">
        <v>336</v>
      </c>
      <c r="B297">
        <v>2017</v>
      </c>
      <c r="C297" t="s">
        <v>33</v>
      </c>
      <c r="D297">
        <v>100</v>
      </c>
      <c r="E297" t="s">
        <v>20</v>
      </c>
      <c r="F297" t="s">
        <v>21</v>
      </c>
      <c r="G297" t="s">
        <v>15</v>
      </c>
      <c r="H297">
        <v>-1.614812473541539</v>
      </c>
      <c r="I297">
        <v>3</v>
      </c>
      <c r="J297" t="s">
        <v>17</v>
      </c>
      <c r="K297" s="59" t="s">
        <v>17</v>
      </c>
    </row>
    <row r="298" spans="1:11" x14ac:dyDescent="0.2">
      <c r="A298" t="s">
        <v>337</v>
      </c>
      <c r="B298">
        <v>2017</v>
      </c>
      <c r="C298" t="s">
        <v>12</v>
      </c>
      <c r="D298">
        <v>109</v>
      </c>
      <c r="E298" t="s">
        <v>20</v>
      </c>
      <c r="F298" t="s">
        <v>21</v>
      </c>
      <c r="G298" t="s">
        <v>15</v>
      </c>
      <c r="H298">
        <v>0.32802258574150089</v>
      </c>
      <c r="I298">
        <v>3</v>
      </c>
      <c r="J298" t="s">
        <v>16</v>
      </c>
      <c r="K298" s="59" t="s">
        <v>16</v>
      </c>
    </row>
    <row r="299" spans="1:11" x14ac:dyDescent="0.2">
      <c r="A299" t="s">
        <v>338</v>
      </c>
      <c r="B299">
        <v>2018</v>
      </c>
      <c r="C299" t="s">
        <v>33</v>
      </c>
      <c r="D299">
        <v>151</v>
      </c>
      <c r="E299" t="s">
        <v>20</v>
      </c>
      <c r="F299" t="s">
        <v>21</v>
      </c>
      <c r="G299" t="s">
        <v>15</v>
      </c>
      <c r="H299">
        <v>-6.4013350153939511E-2</v>
      </c>
      <c r="I299">
        <v>3</v>
      </c>
      <c r="J299" t="s">
        <v>23</v>
      </c>
      <c r="K299" s="59" t="s">
        <v>16</v>
      </c>
    </row>
    <row r="300" spans="1:11" x14ac:dyDescent="0.2">
      <c r="A300" t="s">
        <v>339</v>
      </c>
      <c r="B300">
        <v>2018</v>
      </c>
      <c r="C300" t="s">
        <v>12</v>
      </c>
      <c r="D300">
        <v>119</v>
      </c>
      <c r="E300" t="s">
        <v>20</v>
      </c>
      <c r="F300" t="s">
        <v>21</v>
      </c>
      <c r="G300" t="s">
        <v>41</v>
      </c>
      <c r="H300">
        <v>0.68886975405130357</v>
      </c>
      <c r="I300">
        <v>3</v>
      </c>
      <c r="J300" t="s">
        <v>23</v>
      </c>
      <c r="K300" s="59" t="s">
        <v>23</v>
      </c>
    </row>
    <row r="301" spans="1:11" x14ac:dyDescent="0.2">
      <c r="A301" t="s">
        <v>340</v>
      </c>
      <c r="B301">
        <v>2018</v>
      </c>
      <c r="C301" t="s">
        <v>19</v>
      </c>
      <c r="D301">
        <v>61</v>
      </c>
      <c r="E301" t="s">
        <v>29</v>
      </c>
      <c r="F301" t="s">
        <v>30</v>
      </c>
      <c r="G301" t="s">
        <v>48</v>
      </c>
      <c r="H301">
        <v>0.42325959845145378</v>
      </c>
      <c r="I301">
        <v>4</v>
      </c>
      <c r="J301" t="s">
        <v>23</v>
      </c>
      <c r="K301" s="59" t="s">
        <v>23</v>
      </c>
    </row>
    <row r="302" spans="1:11" x14ac:dyDescent="0.2">
      <c r="A302" t="s">
        <v>341</v>
      </c>
      <c r="B302">
        <v>2018</v>
      </c>
      <c r="C302" t="s">
        <v>12</v>
      </c>
      <c r="D302">
        <v>149</v>
      </c>
      <c r="E302" t="s">
        <v>20</v>
      </c>
      <c r="F302" t="s">
        <v>21</v>
      </c>
      <c r="G302" t="s">
        <v>15</v>
      </c>
      <c r="H302">
        <v>-8.1426320324471585E-2</v>
      </c>
      <c r="I302">
        <v>3</v>
      </c>
      <c r="J302" t="s">
        <v>23</v>
      </c>
      <c r="K302" s="59" t="s">
        <v>17</v>
      </c>
    </row>
    <row r="303" spans="1:11" x14ac:dyDescent="0.2">
      <c r="A303" t="s">
        <v>342</v>
      </c>
      <c r="B303">
        <v>2017</v>
      </c>
      <c r="C303" t="s">
        <v>12</v>
      </c>
      <c r="D303">
        <v>54</v>
      </c>
      <c r="E303" t="s">
        <v>25</v>
      </c>
      <c r="F303" t="s">
        <v>26</v>
      </c>
      <c r="G303" t="s">
        <v>15</v>
      </c>
      <c r="H303">
        <v>-1.405779440516616</v>
      </c>
      <c r="I303">
        <v>2</v>
      </c>
      <c r="J303" t="s">
        <v>23</v>
      </c>
      <c r="K303" s="59" t="s">
        <v>23</v>
      </c>
    </row>
    <row r="304" spans="1:11" x14ac:dyDescent="0.2">
      <c r="A304" t="s">
        <v>343</v>
      </c>
      <c r="B304">
        <v>2018</v>
      </c>
      <c r="C304" t="s">
        <v>33</v>
      </c>
      <c r="D304">
        <v>96</v>
      </c>
      <c r="E304" t="s">
        <v>38</v>
      </c>
      <c r="F304" t="s">
        <v>39</v>
      </c>
      <c r="G304" t="s">
        <v>15</v>
      </c>
      <c r="H304">
        <v>1.207133472294913</v>
      </c>
      <c r="I304">
        <v>3</v>
      </c>
      <c r="J304" t="s">
        <v>23</v>
      </c>
      <c r="K304" s="59" t="s">
        <v>4376</v>
      </c>
    </row>
    <row r="305" spans="1:11" x14ac:dyDescent="0.2">
      <c r="A305" t="s">
        <v>344</v>
      </c>
      <c r="B305">
        <v>2024</v>
      </c>
      <c r="C305" t="s">
        <v>19</v>
      </c>
      <c r="D305">
        <v>617</v>
      </c>
      <c r="E305" t="s">
        <v>53</v>
      </c>
      <c r="F305" t="s">
        <v>54</v>
      </c>
      <c r="G305" t="s">
        <v>15</v>
      </c>
      <c r="H305">
        <v>-0.12422943301980099</v>
      </c>
      <c r="I305">
        <v>3</v>
      </c>
      <c r="J305" t="s">
        <v>16</v>
      </c>
      <c r="K305" s="59" t="s">
        <v>16</v>
      </c>
    </row>
    <row r="306" spans="1:11" x14ac:dyDescent="0.2">
      <c r="A306" t="s">
        <v>345</v>
      </c>
      <c r="B306">
        <v>2017</v>
      </c>
      <c r="C306" t="s">
        <v>33</v>
      </c>
      <c r="D306">
        <v>69</v>
      </c>
      <c r="E306" t="s">
        <v>20</v>
      </c>
      <c r="F306" t="s">
        <v>21</v>
      </c>
      <c r="G306" t="s">
        <v>44</v>
      </c>
      <c r="H306">
        <v>-0.86782678199659602</v>
      </c>
      <c r="I306">
        <v>3</v>
      </c>
      <c r="J306" t="s">
        <v>17</v>
      </c>
      <c r="K306" s="59" t="s">
        <v>17</v>
      </c>
    </row>
    <row r="307" spans="1:11" x14ac:dyDescent="0.2">
      <c r="A307" t="s">
        <v>346</v>
      </c>
      <c r="B307">
        <v>2018</v>
      </c>
      <c r="C307" t="s">
        <v>12</v>
      </c>
      <c r="D307">
        <v>32</v>
      </c>
      <c r="E307" t="s">
        <v>20</v>
      </c>
      <c r="F307" t="s">
        <v>21</v>
      </c>
      <c r="G307" t="s">
        <v>41</v>
      </c>
      <c r="H307">
        <v>-1.732393554618058</v>
      </c>
      <c r="I307">
        <v>3</v>
      </c>
      <c r="J307" t="s">
        <v>23</v>
      </c>
      <c r="K307" s="59" t="s">
        <v>17</v>
      </c>
    </row>
    <row r="308" spans="1:11" x14ac:dyDescent="0.2">
      <c r="A308" t="s">
        <v>347</v>
      </c>
      <c r="B308">
        <v>2017</v>
      </c>
      <c r="C308" t="s">
        <v>33</v>
      </c>
      <c r="D308">
        <v>33</v>
      </c>
      <c r="E308" t="s">
        <v>29</v>
      </c>
      <c r="F308" t="s">
        <v>30</v>
      </c>
      <c r="G308" t="s">
        <v>34</v>
      </c>
      <c r="H308">
        <v>-1.6433169780449379</v>
      </c>
      <c r="I308">
        <v>4</v>
      </c>
      <c r="J308" t="s">
        <v>17</v>
      </c>
      <c r="K308" s="59" t="s">
        <v>17</v>
      </c>
    </row>
    <row r="309" spans="1:11" x14ac:dyDescent="0.2">
      <c r="A309" t="s">
        <v>348</v>
      </c>
      <c r="B309">
        <v>2017</v>
      </c>
      <c r="C309" t="s">
        <v>33</v>
      </c>
      <c r="D309">
        <v>294</v>
      </c>
      <c r="E309" t="s">
        <v>20</v>
      </c>
      <c r="F309" t="s">
        <v>21</v>
      </c>
      <c r="G309" t="s">
        <v>48</v>
      </c>
      <c r="H309">
        <v>-0.71717784255545525</v>
      </c>
      <c r="I309">
        <v>3</v>
      </c>
      <c r="J309" t="s">
        <v>23</v>
      </c>
      <c r="K309" s="59" t="s">
        <v>4376</v>
      </c>
    </row>
    <row r="310" spans="1:11" x14ac:dyDescent="0.2">
      <c r="A310" t="s">
        <v>349</v>
      </c>
      <c r="B310">
        <v>2018</v>
      </c>
      <c r="C310" t="s">
        <v>33</v>
      </c>
      <c r="D310">
        <v>122</v>
      </c>
      <c r="E310" t="s">
        <v>20</v>
      </c>
      <c r="F310" t="s">
        <v>21</v>
      </c>
      <c r="G310" t="s">
        <v>15</v>
      </c>
      <c r="H310">
        <v>1.978156954763888</v>
      </c>
      <c r="I310">
        <v>3</v>
      </c>
      <c r="J310" t="s">
        <v>23</v>
      </c>
      <c r="K310" s="59" t="s">
        <v>4376</v>
      </c>
    </row>
    <row r="311" spans="1:11" x14ac:dyDescent="0.2">
      <c r="A311" t="s">
        <v>350</v>
      </c>
      <c r="B311">
        <v>2017</v>
      </c>
      <c r="C311" t="s">
        <v>33</v>
      </c>
      <c r="D311">
        <v>86</v>
      </c>
      <c r="E311" t="s">
        <v>25</v>
      </c>
      <c r="F311" t="s">
        <v>26</v>
      </c>
      <c r="G311" t="s">
        <v>15</v>
      </c>
      <c r="H311">
        <v>-1.3090048881902641</v>
      </c>
      <c r="I311">
        <v>2</v>
      </c>
      <c r="J311" t="s">
        <v>23</v>
      </c>
      <c r="K311" s="59" t="s">
        <v>17</v>
      </c>
    </row>
    <row r="312" spans="1:11" x14ac:dyDescent="0.2">
      <c r="A312" t="s">
        <v>351</v>
      </c>
      <c r="B312">
        <v>2017</v>
      </c>
      <c r="C312" t="s">
        <v>33</v>
      </c>
      <c r="D312">
        <v>36</v>
      </c>
      <c r="E312" t="s">
        <v>25</v>
      </c>
      <c r="F312" t="s">
        <v>26</v>
      </c>
      <c r="G312" t="s">
        <v>80</v>
      </c>
      <c r="H312">
        <v>-9.9322984110851928E-2</v>
      </c>
      <c r="I312">
        <v>2</v>
      </c>
      <c r="J312" t="s">
        <v>23</v>
      </c>
      <c r="K312" s="59" t="s">
        <v>4376</v>
      </c>
    </row>
    <row r="313" spans="1:11" x14ac:dyDescent="0.2">
      <c r="A313" t="s">
        <v>352</v>
      </c>
      <c r="B313">
        <v>2017</v>
      </c>
      <c r="C313" t="s">
        <v>12</v>
      </c>
      <c r="D313">
        <v>303</v>
      </c>
      <c r="E313" t="s">
        <v>25</v>
      </c>
      <c r="F313" t="s">
        <v>26</v>
      </c>
      <c r="G313" t="s">
        <v>15</v>
      </c>
      <c r="H313">
        <v>0.56723643242270139</v>
      </c>
      <c r="I313">
        <v>2</v>
      </c>
      <c r="J313" t="s">
        <v>16</v>
      </c>
      <c r="K313" s="59" t="s">
        <v>23</v>
      </c>
    </row>
    <row r="314" spans="1:11" x14ac:dyDescent="0.2">
      <c r="A314" t="s">
        <v>353</v>
      </c>
      <c r="B314">
        <v>2018</v>
      </c>
      <c r="C314" t="s">
        <v>12</v>
      </c>
      <c r="D314">
        <v>222</v>
      </c>
      <c r="E314" t="s">
        <v>29</v>
      </c>
      <c r="F314" t="s">
        <v>30</v>
      </c>
      <c r="G314" t="s">
        <v>15</v>
      </c>
      <c r="H314">
        <v>0.54780030737985386</v>
      </c>
      <c r="I314">
        <v>4</v>
      </c>
      <c r="J314" t="s">
        <v>23</v>
      </c>
      <c r="K314" s="59" t="s">
        <v>23</v>
      </c>
    </row>
    <row r="315" spans="1:11" x14ac:dyDescent="0.2">
      <c r="A315" t="s">
        <v>354</v>
      </c>
      <c r="B315">
        <v>2017</v>
      </c>
      <c r="C315" t="s">
        <v>33</v>
      </c>
      <c r="D315">
        <v>75</v>
      </c>
      <c r="E315" t="s">
        <v>20</v>
      </c>
      <c r="F315" t="s">
        <v>21</v>
      </c>
      <c r="G315" t="s">
        <v>15</v>
      </c>
      <c r="H315">
        <v>0.56285357598522046</v>
      </c>
      <c r="I315">
        <v>3</v>
      </c>
      <c r="J315" t="s">
        <v>23</v>
      </c>
      <c r="K315" s="59" t="s">
        <v>4376</v>
      </c>
    </row>
    <row r="316" spans="1:11" x14ac:dyDescent="0.2">
      <c r="A316" t="s">
        <v>355</v>
      </c>
      <c r="B316">
        <v>2018</v>
      </c>
      <c r="C316" t="s">
        <v>33</v>
      </c>
      <c r="D316">
        <v>51</v>
      </c>
      <c r="E316" t="s">
        <v>20</v>
      </c>
      <c r="F316" t="s">
        <v>21</v>
      </c>
      <c r="G316" t="s">
        <v>15</v>
      </c>
      <c r="H316">
        <v>-0.71255764732172089</v>
      </c>
      <c r="I316">
        <v>3</v>
      </c>
      <c r="J316" t="s">
        <v>23</v>
      </c>
      <c r="K316" s="59" t="s">
        <v>17</v>
      </c>
    </row>
    <row r="317" spans="1:11" x14ac:dyDescent="0.2">
      <c r="A317" t="s">
        <v>356</v>
      </c>
      <c r="B317">
        <v>2019</v>
      </c>
      <c r="C317" t="s">
        <v>33</v>
      </c>
      <c r="D317">
        <v>167</v>
      </c>
      <c r="E317" t="s">
        <v>13</v>
      </c>
      <c r="F317" t="s">
        <v>14</v>
      </c>
      <c r="G317" t="s">
        <v>15</v>
      </c>
      <c r="H317">
        <v>0.54999369781536644</v>
      </c>
      <c r="I317">
        <v>4</v>
      </c>
      <c r="J317" t="s">
        <v>23</v>
      </c>
      <c r="K317" s="59" t="s">
        <v>4376</v>
      </c>
    </row>
    <row r="318" spans="1:11" x14ac:dyDescent="0.2">
      <c r="A318" t="s">
        <v>357</v>
      </c>
      <c r="B318">
        <v>2024</v>
      </c>
      <c r="C318" t="s">
        <v>19</v>
      </c>
      <c r="D318">
        <v>617</v>
      </c>
      <c r="E318" t="s">
        <v>53</v>
      </c>
      <c r="F318" t="s">
        <v>54</v>
      </c>
      <c r="G318" t="s">
        <v>15</v>
      </c>
      <c r="H318">
        <v>-0.12422943301980099</v>
      </c>
      <c r="I318">
        <v>3</v>
      </c>
      <c r="J318" t="s">
        <v>16</v>
      </c>
      <c r="K318" s="59" t="s">
        <v>17</v>
      </c>
    </row>
    <row r="319" spans="1:11" x14ac:dyDescent="0.2">
      <c r="A319" t="s">
        <v>358</v>
      </c>
      <c r="B319">
        <v>2018</v>
      </c>
      <c r="C319" t="s">
        <v>33</v>
      </c>
      <c r="D319">
        <v>92</v>
      </c>
      <c r="E319" t="s">
        <v>13</v>
      </c>
      <c r="F319" t="s">
        <v>14</v>
      </c>
      <c r="G319" t="s">
        <v>41</v>
      </c>
      <c r="H319">
        <v>0.69591138065787428</v>
      </c>
      <c r="I319">
        <v>4</v>
      </c>
      <c r="J319" t="s">
        <v>23</v>
      </c>
      <c r="K319" s="59" t="s">
        <v>16</v>
      </c>
    </row>
    <row r="320" spans="1:11" x14ac:dyDescent="0.2">
      <c r="A320" t="s">
        <v>359</v>
      </c>
      <c r="B320">
        <v>2018</v>
      </c>
      <c r="C320" t="s">
        <v>33</v>
      </c>
      <c r="D320">
        <v>96</v>
      </c>
      <c r="E320" t="s">
        <v>38</v>
      </c>
      <c r="F320" t="s">
        <v>39</v>
      </c>
      <c r="G320" t="s">
        <v>15</v>
      </c>
      <c r="H320">
        <v>1.207133472294913</v>
      </c>
      <c r="I320">
        <v>3</v>
      </c>
      <c r="J320" t="s">
        <v>23</v>
      </c>
      <c r="K320" s="59" t="s">
        <v>4376</v>
      </c>
    </row>
    <row r="321" spans="1:11" x14ac:dyDescent="0.2">
      <c r="A321" t="s">
        <v>360</v>
      </c>
      <c r="B321">
        <v>2018</v>
      </c>
      <c r="C321" t="s">
        <v>19</v>
      </c>
      <c r="D321">
        <v>129</v>
      </c>
      <c r="E321" t="s">
        <v>20</v>
      </c>
      <c r="F321" t="s">
        <v>21</v>
      </c>
      <c r="G321" t="s">
        <v>15</v>
      </c>
      <c r="H321">
        <v>-0.68933557732635853</v>
      </c>
      <c r="I321">
        <v>3</v>
      </c>
      <c r="J321" t="s">
        <v>16</v>
      </c>
      <c r="K321" s="59" t="s">
        <v>23</v>
      </c>
    </row>
    <row r="322" spans="1:11" x14ac:dyDescent="0.2">
      <c r="A322" t="s">
        <v>361</v>
      </c>
      <c r="B322">
        <v>2019</v>
      </c>
      <c r="C322" t="s">
        <v>33</v>
      </c>
      <c r="D322">
        <v>91</v>
      </c>
      <c r="E322" t="s">
        <v>25</v>
      </c>
      <c r="F322" t="s">
        <v>26</v>
      </c>
      <c r="G322" t="s">
        <v>15</v>
      </c>
      <c r="H322">
        <v>0.1734536386551867</v>
      </c>
      <c r="I322">
        <v>2</v>
      </c>
      <c r="J322" t="s">
        <v>17</v>
      </c>
      <c r="K322" s="59" t="s">
        <v>4376</v>
      </c>
    </row>
    <row r="323" spans="1:11" x14ac:dyDescent="0.2">
      <c r="A323" t="s">
        <v>362</v>
      </c>
      <c r="B323">
        <v>2018</v>
      </c>
      <c r="C323" t="s">
        <v>33</v>
      </c>
      <c r="D323">
        <v>149</v>
      </c>
      <c r="E323" t="s">
        <v>20</v>
      </c>
      <c r="F323" t="s">
        <v>21</v>
      </c>
      <c r="G323" t="s">
        <v>15</v>
      </c>
      <c r="H323">
        <v>-8.1426320324471585E-2</v>
      </c>
      <c r="I323">
        <v>3</v>
      </c>
      <c r="J323" t="s">
        <v>23</v>
      </c>
      <c r="K323" s="59" t="s">
        <v>16</v>
      </c>
    </row>
    <row r="324" spans="1:11" x14ac:dyDescent="0.2">
      <c r="A324" t="s">
        <v>363</v>
      </c>
      <c r="B324">
        <v>2018</v>
      </c>
      <c r="C324" t="s">
        <v>33</v>
      </c>
      <c r="D324">
        <v>97</v>
      </c>
      <c r="E324" t="s">
        <v>38</v>
      </c>
      <c r="F324" t="s">
        <v>39</v>
      </c>
      <c r="G324" t="s">
        <v>15</v>
      </c>
      <c r="H324">
        <v>1.6920039097238559</v>
      </c>
      <c r="I324">
        <v>3</v>
      </c>
      <c r="J324" t="s">
        <v>23</v>
      </c>
      <c r="K324" s="59" t="s">
        <v>4376</v>
      </c>
    </row>
    <row r="325" spans="1:11" x14ac:dyDescent="0.2">
      <c r="A325" t="s">
        <v>364</v>
      </c>
      <c r="B325">
        <v>2018</v>
      </c>
      <c r="C325" t="s">
        <v>19</v>
      </c>
      <c r="D325">
        <v>250</v>
      </c>
      <c r="E325" t="s">
        <v>20</v>
      </c>
      <c r="F325" t="s">
        <v>21</v>
      </c>
      <c r="G325" t="s">
        <v>36</v>
      </c>
      <c r="H325">
        <v>-0.99438464147820549</v>
      </c>
      <c r="I325">
        <v>3</v>
      </c>
      <c r="J325" t="s">
        <v>23</v>
      </c>
      <c r="K325" s="59" t="s">
        <v>23</v>
      </c>
    </row>
    <row r="326" spans="1:11" x14ac:dyDescent="0.2">
      <c r="A326" t="s">
        <v>365</v>
      </c>
      <c r="B326">
        <v>2018</v>
      </c>
      <c r="C326" t="s">
        <v>19</v>
      </c>
      <c r="D326">
        <v>65</v>
      </c>
      <c r="E326" t="s">
        <v>25</v>
      </c>
      <c r="F326" t="s">
        <v>26</v>
      </c>
      <c r="G326" t="s">
        <v>41</v>
      </c>
      <c r="H326">
        <v>-0.53480846957944006</v>
      </c>
      <c r="I326">
        <v>2</v>
      </c>
      <c r="J326" t="s">
        <v>23</v>
      </c>
      <c r="K326" s="59" t="s">
        <v>17</v>
      </c>
    </row>
    <row r="327" spans="1:11" x14ac:dyDescent="0.2">
      <c r="A327" t="s">
        <v>366</v>
      </c>
      <c r="B327">
        <v>2018</v>
      </c>
      <c r="C327" t="s">
        <v>12</v>
      </c>
      <c r="D327">
        <v>138</v>
      </c>
      <c r="E327" t="s">
        <v>13</v>
      </c>
      <c r="F327" t="s">
        <v>14</v>
      </c>
      <c r="G327" t="s">
        <v>15</v>
      </c>
      <c r="H327">
        <v>1.783511320709221</v>
      </c>
      <c r="I327">
        <v>4</v>
      </c>
      <c r="J327" t="s">
        <v>17</v>
      </c>
      <c r="K327" s="59" t="s">
        <v>23</v>
      </c>
    </row>
    <row r="328" spans="1:11" x14ac:dyDescent="0.2">
      <c r="A328" t="s">
        <v>367</v>
      </c>
      <c r="B328">
        <v>2018</v>
      </c>
      <c r="C328" t="s">
        <v>33</v>
      </c>
      <c r="D328">
        <v>96</v>
      </c>
      <c r="E328" t="s">
        <v>38</v>
      </c>
      <c r="F328" t="s">
        <v>39</v>
      </c>
      <c r="G328" t="s">
        <v>15</v>
      </c>
      <c r="H328">
        <v>1.207133472294913</v>
      </c>
      <c r="I328">
        <v>3</v>
      </c>
      <c r="J328" t="s">
        <v>23</v>
      </c>
      <c r="K328" s="59" t="s">
        <v>4376</v>
      </c>
    </row>
    <row r="329" spans="1:11" x14ac:dyDescent="0.2">
      <c r="A329" t="s">
        <v>368</v>
      </c>
      <c r="B329">
        <v>2018</v>
      </c>
      <c r="C329" t="s">
        <v>33</v>
      </c>
      <c r="D329">
        <v>55</v>
      </c>
      <c r="E329" t="s">
        <v>38</v>
      </c>
      <c r="F329" t="s">
        <v>39</v>
      </c>
      <c r="G329" t="s">
        <v>15</v>
      </c>
      <c r="H329">
        <v>0.28492891483201988</v>
      </c>
      <c r="I329">
        <v>3</v>
      </c>
      <c r="J329" t="s">
        <v>23</v>
      </c>
      <c r="K329" s="59" t="s">
        <v>4376</v>
      </c>
    </row>
    <row r="330" spans="1:11" x14ac:dyDescent="0.2">
      <c r="A330" t="s">
        <v>369</v>
      </c>
      <c r="B330">
        <v>2018</v>
      </c>
      <c r="C330" t="s">
        <v>19</v>
      </c>
      <c r="D330">
        <v>81</v>
      </c>
      <c r="E330" t="s">
        <v>20</v>
      </c>
      <c r="F330" t="s">
        <v>21</v>
      </c>
      <c r="G330" t="s">
        <v>15</v>
      </c>
      <c r="H330">
        <v>0.61922806691231846</v>
      </c>
      <c r="I330">
        <v>3</v>
      </c>
      <c r="J330" t="s">
        <v>16</v>
      </c>
      <c r="K330" s="59" t="s">
        <v>17</v>
      </c>
    </row>
    <row r="331" spans="1:11" x14ac:dyDescent="0.2">
      <c r="A331" t="s">
        <v>370</v>
      </c>
      <c r="B331">
        <v>2018</v>
      </c>
      <c r="C331" t="s">
        <v>33</v>
      </c>
      <c r="D331">
        <v>96</v>
      </c>
      <c r="E331" t="s">
        <v>38</v>
      </c>
      <c r="F331" t="s">
        <v>39</v>
      </c>
      <c r="G331" t="s">
        <v>15</v>
      </c>
      <c r="H331">
        <v>1.207133472294913</v>
      </c>
      <c r="I331">
        <v>3</v>
      </c>
      <c r="J331" t="s">
        <v>23</v>
      </c>
      <c r="K331" s="59" t="s">
        <v>4376</v>
      </c>
    </row>
    <row r="332" spans="1:11" x14ac:dyDescent="0.2">
      <c r="A332" t="s">
        <v>371</v>
      </c>
      <c r="B332">
        <v>2018</v>
      </c>
      <c r="C332" t="s">
        <v>12</v>
      </c>
      <c r="D332">
        <v>116</v>
      </c>
      <c r="E332" t="s">
        <v>20</v>
      </c>
      <c r="F332" t="s">
        <v>21</v>
      </c>
      <c r="G332" t="s">
        <v>15</v>
      </c>
      <c r="H332">
        <v>1.207133472294913</v>
      </c>
      <c r="I332">
        <v>3</v>
      </c>
      <c r="J332" t="s">
        <v>23</v>
      </c>
      <c r="K332" s="59" t="s">
        <v>16</v>
      </c>
    </row>
    <row r="333" spans="1:11" x14ac:dyDescent="0.2">
      <c r="A333" t="s">
        <v>372</v>
      </c>
      <c r="B333">
        <v>2018</v>
      </c>
      <c r="C333" t="s">
        <v>33</v>
      </c>
      <c r="D333">
        <v>150</v>
      </c>
      <c r="E333" t="s">
        <v>13</v>
      </c>
      <c r="F333" t="s">
        <v>14</v>
      </c>
      <c r="G333" t="s">
        <v>34</v>
      </c>
      <c r="H333">
        <v>0.26017174550415711</v>
      </c>
      <c r="I333">
        <v>4</v>
      </c>
      <c r="J333" t="s">
        <v>23</v>
      </c>
      <c r="K333" s="59" t="s">
        <v>4376</v>
      </c>
    </row>
    <row r="334" spans="1:11" x14ac:dyDescent="0.2">
      <c r="A334" t="s">
        <v>373</v>
      </c>
      <c r="B334">
        <v>2018</v>
      </c>
      <c r="C334" t="s">
        <v>33</v>
      </c>
      <c r="D334">
        <v>149</v>
      </c>
      <c r="E334" t="s">
        <v>20</v>
      </c>
      <c r="F334" t="s">
        <v>21</v>
      </c>
      <c r="G334" t="s">
        <v>15</v>
      </c>
      <c r="H334">
        <v>-8.1426320324471585E-2</v>
      </c>
      <c r="I334">
        <v>3</v>
      </c>
      <c r="J334" t="s">
        <v>23</v>
      </c>
      <c r="K334" s="59" t="s">
        <v>4376</v>
      </c>
    </row>
    <row r="335" spans="1:11" x14ac:dyDescent="0.2">
      <c r="A335" t="s">
        <v>374</v>
      </c>
      <c r="B335">
        <v>2018</v>
      </c>
      <c r="C335" t="s">
        <v>33</v>
      </c>
      <c r="D335">
        <v>150</v>
      </c>
      <c r="E335" t="s">
        <v>20</v>
      </c>
      <c r="F335" t="s">
        <v>21</v>
      </c>
      <c r="G335" t="s">
        <v>15</v>
      </c>
      <c r="H335">
        <v>-7.266060744950982E-2</v>
      </c>
      <c r="I335">
        <v>3</v>
      </c>
      <c r="J335" t="s">
        <v>23</v>
      </c>
      <c r="K335" s="59" t="s">
        <v>4376</v>
      </c>
    </row>
    <row r="336" spans="1:11" x14ac:dyDescent="0.2">
      <c r="A336" t="s">
        <v>375</v>
      </c>
      <c r="B336">
        <v>2024</v>
      </c>
      <c r="C336" t="s">
        <v>19</v>
      </c>
      <c r="D336">
        <v>617</v>
      </c>
      <c r="E336" t="s">
        <v>53</v>
      </c>
      <c r="F336" t="s">
        <v>54</v>
      </c>
      <c r="G336" t="s">
        <v>15</v>
      </c>
      <c r="H336">
        <v>-0.12422943301980099</v>
      </c>
      <c r="I336">
        <v>3</v>
      </c>
      <c r="J336" t="s">
        <v>16</v>
      </c>
      <c r="K336" s="59" t="s">
        <v>16</v>
      </c>
    </row>
    <row r="337" spans="1:11" x14ac:dyDescent="0.2">
      <c r="A337" t="s">
        <v>376</v>
      </c>
      <c r="B337">
        <v>2017</v>
      </c>
      <c r="C337" t="s">
        <v>19</v>
      </c>
      <c r="D337">
        <v>152</v>
      </c>
      <c r="E337" t="s">
        <v>20</v>
      </c>
      <c r="F337" t="s">
        <v>21</v>
      </c>
      <c r="G337" t="s">
        <v>15</v>
      </c>
      <c r="H337">
        <v>-0.3926091273856156</v>
      </c>
      <c r="I337">
        <v>3</v>
      </c>
      <c r="J337" t="s">
        <v>16</v>
      </c>
      <c r="K337" s="59" t="s">
        <v>17</v>
      </c>
    </row>
    <row r="338" spans="1:11" x14ac:dyDescent="0.2">
      <c r="A338" t="s">
        <v>377</v>
      </c>
      <c r="B338">
        <v>2018</v>
      </c>
      <c r="C338" t="s">
        <v>33</v>
      </c>
      <c r="D338">
        <v>76</v>
      </c>
      <c r="E338" t="s">
        <v>20</v>
      </c>
      <c r="F338" t="s">
        <v>21</v>
      </c>
      <c r="G338" t="s">
        <v>15</v>
      </c>
      <c r="H338">
        <v>-4.7064725854621493E-2</v>
      </c>
      <c r="I338">
        <v>3</v>
      </c>
      <c r="J338" t="s">
        <v>23</v>
      </c>
      <c r="K338" s="59" t="s">
        <v>4376</v>
      </c>
    </row>
    <row r="339" spans="1:11" x14ac:dyDescent="0.2">
      <c r="A339" t="s">
        <v>378</v>
      </c>
      <c r="B339">
        <v>2018</v>
      </c>
      <c r="C339" t="s">
        <v>33</v>
      </c>
      <c r="D339">
        <v>94</v>
      </c>
      <c r="E339" t="s">
        <v>20</v>
      </c>
      <c r="F339" t="s">
        <v>21</v>
      </c>
      <c r="G339" t="s">
        <v>15</v>
      </c>
      <c r="H339">
        <v>-0.31004176740210432</v>
      </c>
      <c r="I339">
        <v>3</v>
      </c>
      <c r="J339" t="s">
        <v>23</v>
      </c>
      <c r="K339" s="59" t="s">
        <v>4376</v>
      </c>
    </row>
    <row r="340" spans="1:11" x14ac:dyDescent="0.2">
      <c r="A340" t="s">
        <v>379</v>
      </c>
      <c r="B340">
        <v>2018</v>
      </c>
      <c r="C340" t="s">
        <v>33</v>
      </c>
      <c r="D340">
        <v>54</v>
      </c>
      <c r="E340" t="s">
        <v>38</v>
      </c>
      <c r="F340" t="s">
        <v>39</v>
      </c>
      <c r="G340" t="s">
        <v>15</v>
      </c>
      <c r="H340">
        <v>0.26648482368276211</v>
      </c>
      <c r="I340">
        <v>3</v>
      </c>
      <c r="J340" t="s">
        <v>23</v>
      </c>
      <c r="K340" s="59" t="s">
        <v>4376</v>
      </c>
    </row>
    <row r="341" spans="1:11" x14ac:dyDescent="0.2">
      <c r="A341" t="s">
        <v>380</v>
      </c>
      <c r="B341">
        <v>2017</v>
      </c>
      <c r="C341" t="s">
        <v>19</v>
      </c>
      <c r="D341">
        <v>151</v>
      </c>
      <c r="E341" t="s">
        <v>20</v>
      </c>
      <c r="F341" t="s">
        <v>21</v>
      </c>
      <c r="G341" t="s">
        <v>15</v>
      </c>
      <c r="H341">
        <v>-8.1426320324471585E-2</v>
      </c>
      <c r="I341">
        <v>3</v>
      </c>
      <c r="J341" t="s">
        <v>16</v>
      </c>
      <c r="K341" s="59" t="s">
        <v>16</v>
      </c>
    </row>
    <row r="342" spans="1:11" x14ac:dyDescent="0.2">
      <c r="A342" t="s">
        <v>381</v>
      </c>
      <c r="B342">
        <v>2017</v>
      </c>
      <c r="C342" t="s">
        <v>19</v>
      </c>
      <c r="D342">
        <v>151</v>
      </c>
      <c r="E342" t="s">
        <v>13</v>
      </c>
      <c r="F342" t="s">
        <v>14</v>
      </c>
      <c r="G342" t="s">
        <v>22</v>
      </c>
      <c r="H342">
        <v>0.13333364511209239</v>
      </c>
      <c r="I342">
        <v>4</v>
      </c>
      <c r="J342" t="s">
        <v>23</v>
      </c>
      <c r="K342" s="59" t="s">
        <v>17</v>
      </c>
    </row>
    <row r="343" spans="1:11" x14ac:dyDescent="0.2">
      <c r="A343" t="s">
        <v>382</v>
      </c>
      <c r="B343">
        <v>2018</v>
      </c>
      <c r="C343" t="s">
        <v>19</v>
      </c>
      <c r="D343">
        <v>110</v>
      </c>
      <c r="E343" t="s">
        <v>20</v>
      </c>
      <c r="F343" t="s">
        <v>21</v>
      </c>
      <c r="G343" t="s">
        <v>15</v>
      </c>
      <c r="H343">
        <v>0.31972908681175177</v>
      </c>
      <c r="I343">
        <v>3</v>
      </c>
      <c r="J343" t="s">
        <v>16</v>
      </c>
      <c r="K343" s="59" t="s">
        <v>16</v>
      </c>
    </row>
    <row r="344" spans="1:11" x14ac:dyDescent="0.2">
      <c r="A344" t="s">
        <v>383</v>
      </c>
      <c r="B344">
        <v>2018</v>
      </c>
      <c r="C344" t="s">
        <v>19</v>
      </c>
      <c r="D344">
        <v>222</v>
      </c>
      <c r="E344" t="s">
        <v>29</v>
      </c>
      <c r="F344" t="s">
        <v>30</v>
      </c>
      <c r="G344" t="s">
        <v>15</v>
      </c>
      <c r="H344">
        <v>0.54780030737985386</v>
      </c>
      <c r="I344">
        <v>4</v>
      </c>
      <c r="J344" t="s">
        <v>23</v>
      </c>
      <c r="K344" s="59" t="s">
        <v>17</v>
      </c>
    </row>
    <row r="345" spans="1:11" x14ac:dyDescent="0.2">
      <c r="A345" t="s">
        <v>384</v>
      </c>
      <c r="B345">
        <v>2017</v>
      </c>
      <c r="C345" t="s">
        <v>19</v>
      </c>
      <c r="D345">
        <v>150</v>
      </c>
      <c r="E345" t="s">
        <v>20</v>
      </c>
      <c r="F345" t="s">
        <v>21</v>
      </c>
      <c r="G345" t="s">
        <v>15</v>
      </c>
      <c r="H345">
        <v>-0.73903614552332975</v>
      </c>
      <c r="I345">
        <v>3</v>
      </c>
      <c r="J345" t="s">
        <v>23</v>
      </c>
      <c r="K345" s="59" t="s">
        <v>16</v>
      </c>
    </row>
    <row r="346" spans="1:11" x14ac:dyDescent="0.2">
      <c r="A346" t="s">
        <v>385</v>
      </c>
      <c r="B346">
        <v>2024</v>
      </c>
      <c r="C346" t="s">
        <v>19</v>
      </c>
      <c r="D346">
        <v>588</v>
      </c>
      <c r="E346" t="s">
        <v>53</v>
      </c>
      <c r="F346" t="s">
        <v>54</v>
      </c>
      <c r="G346" t="s">
        <v>15</v>
      </c>
      <c r="H346">
        <v>-0.19468476924995909</v>
      </c>
      <c r="I346">
        <v>3</v>
      </c>
      <c r="J346" t="s">
        <v>16</v>
      </c>
      <c r="K346" s="59" t="s">
        <v>17</v>
      </c>
    </row>
    <row r="347" spans="1:11" x14ac:dyDescent="0.2">
      <c r="A347" t="s">
        <v>386</v>
      </c>
      <c r="B347">
        <v>2017</v>
      </c>
      <c r="C347" t="s">
        <v>33</v>
      </c>
      <c r="D347">
        <v>325</v>
      </c>
      <c r="E347" t="s">
        <v>25</v>
      </c>
      <c r="F347" t="s">
        <v>26</v>
      </c>
      <c r="G347" t="s">
        <v>15</v>
      </c>
      <c r="H347">
        <v>0.3084245723469981</v>
      </c>
      <c r="I347">
        <v>2</v>
      </c>
      <c r="J347" t="s">
        <v>23</v>
      </c>
      <c r="K347" s="59" t="s">
        <v>4376</v>
      </c>
    </row>
    <row r="348" spans="1:11" x14ac:dyDescent="0.2">
      <c r="A348" t="s">
        <v>387</v>
      </c>
      <c r="B348">
        <v>2017</v>
      </c>
      <c r="C348" t="s">
        <v>33</v>
      </c>
      <c r="D348">
        <v>588</v>
      </c>
      <c r="E348" t="s">
        <v>25</v>
      </c>
      <c r="F348" t="s">
        <v>26</v>
      </c>
      <c r="G348" t="s">
        <v>48</v>
      </c>
      <c r="H348">
        <v>0.41918399772089859</v>
      </c>
      <c r="I348">
        <v>2</v>
      </c>
      <c r="J348" t="s">
        <v>16</v>
      </c>
      <c r="K348" s="59" t="s">
        <v>23</v>
      </c>
    </row>
    <row r="349" spans="1:11" x14ac:dyDescent="0.2">
      <c r="A349" t="s">
        <v>388</v>
      </c>
      <c r="B349">
        <v>2018</v>
      </c>
      <c r="C349" t="s">
        <v>12</v>
      </c>
      <c r="D349">
        <v>51</v>
      </c>
      <c r="E349" t="s">
        <v>38</v>
      </c>
      <c r="F349" t="s">
        <v>39</v>
      </c>
      <c r="G349" t="s">
        <v>15</v>
      </c>
      <c r="H349">
        <v>0.2064434205798589</v>
      </c>
      <c r="I349">
        <v>3</v>
      </c>
      <c r="J349" t="s">
        <v>23</v>
      </c>
      <c r="K349" s="59" t="s">
        <v>16</v>
      </c>
    </row>
    <row r="350" spans="1:11" x14ac:dyDescent="0.2">
      <c r="A350" t="s">
        <v>389</v>
      </c>
      <c r="B350">
        <v>2022</v>
      </c>
      <c r="C350" t="s">
        <v>19</v>
      </c>
      <c r="D350">
        <v>353</v>
      </c>
      <c r="E350" t="s">
        <v>53</v>
      </c>
      <c r="F350" t="s">
        <v>54</v>
      </c>
      <c r="G350" t="s">
        <v>15</v>
      </c>
      <c r="H350">
        <v>0.46058692577733279</v>
      </c>
      <c r="I350">
        <v>3</v>
      </c>
      <c r="J350" t="s">
        <v>16</v>
      </c>
      <c r="K350" s="59" t="s">
        <v>17</v>
      </c>
    </row>
    <row r="351" spans="1:11" x14ac:dyDescent="0.2">
      <c r="A351" t="s">
        <v>390</v>
      </c>
      <c r="B351">
        <v>2018</v>
      </c>
      <c r="C351" t="s">
        <v>19</v>
      </c>
      <c r="D351">
        <v>222</v>
      </c>
      <c r="E351" t="s">
        <v>29</v>
      </c>
      <c r="F351" t="s">
        <v>30</v>
      </c>
      <c r="G351" t="s">
        <v>15</v>
      </c>
      <c r="H351">
        <v>0.54780030737985386</v>
      </c>
      <c r="I351">
        <v>4</v>
      </c>
      <c r="J351" t="s">
        <v>23</v>
      </c>
      <c r="K351" s="59" t="s">
        <v>23</v>
      </c>
    </row>
    <row r="352" spans="1:11" x14ac:dyDescent="0.2">
      <c r="A352" t="s">
        <v>391</v>
      </c>
      <c r="B352">
        <v>2018</v>
      </c>
      <c r="C352" t="s">
        <v>19</v>
      </c>
      <c r="D352">
        <v>222</v>
      </c>
      <c r="E352" t="s">
        <v>29</v>
      </c>
      <c r="F352" t="s">
        <v>30</v>
      </c>
      <c r="G352" t="s">
        <v>15</v>
      </c>
      <c r="H352">
        <v>0.54780030737985386</v>
      </c>
      <c r="I352">
        <v>4</v>
      </c>
      <c r="J352" t="s">
        <v>23</v>
      </c>
      <c r="K352" s="59" t="s">
        <v>23</v>
      </c>
    </row>
    <row r="353" spans="1:11" x14ac:dyDescent="0.2">
      <c r="A353" t="s">
        <v>392</v>
      </c>
      <c r="B353">
        <v>2018</v>
      </c>
      <c r="C353" t="s">
        <v>33</v>
      </c>
      <c r="D353">
        <v>96</v>
      </c>
      <c r="E353" t="s">
        <v>38</v>
      </c>
      <c r="F353" t="s">
        <v>39</v>
      </c>
      <c r="G353" t="s">
        <v>15</v>
      </c>
      <c r="H353">
        <v>1.207133472294913</v>
      </c>
      <c r="I353">
        <v>3</v>
      </c>
      <c r="J353" t="s">
        <v>23</v>
      </c>
      <c r="K353" s="59" t="s">
        <v>4376</v>
      </c>
    </row>
    <row r="354" spans="1:11" x14ac:dyDescent="0.2">
      <c r="A354" t="s">
        <v>393</v>
      </c>
      <c r="B354">
        <v>2018</v>
      </c>
      <c r="C354" t="s">
        <v>19</v>
      </c>
      <c r="D354">
        <v>257</v>
      </c>
      <c r="E354" t="s">
        <v>13</v>
      </c>
      <c r="F354" t="s">
        <v>14</v>
      </c>
      <c r="G354" t="s">
        <v>15</v>
      </c>
      <c r="H354">
        <v>1.5958312609776191</v>
      </c>
      <c r="I354">
        <v>4</v>
      </c>
      <c r="J354" t="s">
        <v>16</v>
      </c>
      <c r="K354" s="59" t="s">
        <v>17</v>
      </c>
    </row>
    <row r="355" spans="1:11" x14ac:dyDescent="0.2">
      <c r="A355" t="s">
        <v>394</v>
      </c>
      <c r="B355">
        <v>2019</v>
      </c>
      <c r="C355" t="s">
        <v>12</v>
      </c>
      <c r="D355">
        <v>183</v>
      </c>
      <c r="E355" t="s">
        <v>20</v>
      </c>
      <c r="F355" t="s">
        <v>21</v>
      </c>
      <c r="G355" t="s">
        <v>22</v>
      </c>
      <c r="H355">
        <v>-0.5948754330923488</v>
      </c>
      <c r="I355">
        <v>3</v>
      </c>
      <c r="J355" t="s">
        <v>23</v>
      </c>
      <c r="K355" s="59" t="s">
        <v>4376</v>
      </c>
    </row>
    <row r="356" spans="1:11" x14ac:dyDescent="0.2">
      <c r="A356" t="s">
        <v>395</v>
      </c>
      <c r="B356">
        <v>2017</v>
      </c>
      <c r="C356" t="s">
        <v>19</v>
      </c>
      <c r="D356">
        <v>152</v>
      </c>
      <c r="E356" t="s">
        <v>20</v>
      </c>
      <c r="F356" t="s">
        <v>21</v>
      </c>
      <c r="G356" t="s">
        <v>15</v>
      </c>
      <c r="H356">
        <v>-0.3926091273856156</v>
      </c>
      <c r="I356">
        <v>3</v>
      </c>
      <c r="J356" t="s">
        <v>16</v>
      </c>
      <c r="K356" s="59" t="s">
        <v>23</v>
      </c>
    </row>
    <row r="357" spans="1:11" x14ac:dyDescent="0.2">
      <c r="A357" t="s">
        <v>396</v>
      </c>
      <c r="B357">
        <v>2018</v>
      </c>
      <c r="C357" t="s">
        <v>19</v>
      </c>
      <c r="D357">
        <v>154</v>
      </c>
      <c r="E357" t="s">
        <v>20</v>
      </c>
      <c r="F357" t="s">
        <v>21</v>
      </c>
      <c r="G357" t="s">
        <v>15</v>
      </c>
      <c r="H357">
        <v>-0.73903614552332975</v>
      </c>
      <c r="I357">
        <v>3</v>
      </c>
      <c r="J357" t="s">
        <v>16</v>
      </c>
      <c r="K357" s="59" t="s">
        <v>16</v>
      </c>
    </row>
    <row r="358" spans="1:11" x14ac:dyDescent="0.2">
      <c r="A358" t="s">
        <v>397</v>
      </c>
      <c r="B358">
        <v>2017</v>
      </c>
      <c r="C358" t="s">
        <v>33</v>
      </c>
      <c r="D358">
        <v>377</v>
      </c>
      <c r="E358" t="s">
        <v>20</v>
      </c>
      <c r="F358" t="s">
        <v>21</v>
      </c>
      <c r="G358" t="s">
        <v>48</v>
      </c>
      <c r="H358">
        <v>-0.60993265036108346</v>
      </c>
      <c r="I358">
        <v>3</v>
      </c>
      <c r="J358" t="s">
        <v>23</v>
      </c>
      <c r="K358" s="59" t="s">
        <v>4376</v>
      </c>
    </row>
    <row r="359" spans="1:11" x14ac:dyDescent="0.2">
      <c r="A359" t="s">
        <v>398</v>
      </c>
      <c r="B359">
        <v>2017</v>
      </c>
      <c r="C359" t="s">
        <v>19</v>
      </c>
      <c r="D359">
        <v>78</v>
      </c>
      <c r="E359" t="s">
        <v>20</v>
      </c>
      <c r="F359" t="s">
        <v>21</v>
      </c>
      <c r="G359" t="s">
        <v>48</v>
      </c>
      <c r="H359">
        <v>2.3111811819335868</v>
      </c>
      <c r="I359">
        <v>3</v>
      </c>
      <c r="J359" t="s">
        <v>23</v>
      </c>
      <c r="K359" s="59" t="s">
        <v>23</v>
      </c>
    </row>
    <row r="360" spans="1:11" x14ac:dyDescent="0.2">
      <c r="A360" t="s">
        <v>399</v>
      </c>
      <c r="B360">
        <v>2017</v>
      </c>
      <c r="C360" t="s">
        <v>12</v>
      </c>
      <c r="D360">
        <v>169</v>
      </c>
      <c r="E360" t="s">
        <v>20</v>
      </c>
      <c r="F360" t="s">
        <v>21</v>
      </c>
      <c r="G360" t="s">
        <v>15</v>
      </c>
      <c r="H360">
        <v>0.92035034771803736</v>
      </c>
      <c r="I360">
        <v>3</v>
      </c>
      <c r="J360" t="s">
        <v>23</v>
      </c>
      <c r="K360" s="59" t="s">
        <v>23</v>
      </c>
    </row>
    <row r="361" spans="1:11" x14ac:dyDescent="0.2">
      <c r="A361" t="s">
        <v>400</v>
      </c>
      <c r="B361">
        <v>2017</v>
      </c>
      <c r="C361" t="s">
        <v>33</v>
      </c>
      <c r="D361">
        <v>76</v>
      </c>
      <c r="E361" t="s">
        <v>20</v>
      </c>
      <c r="F361" t="s">
        <v>21</v>
      </c>
      <c r="G361" t="s">
        <v>15</v>
      </c>
      <c r="H361">
        <v>-3.056211798423274E-2</v>
      </c>
      <c r="I361">
        <v>3</v>
      </c>
      <c r="J361" t="s">
        <v>17</v>
      </c>
      <c r="K361" s="59" t="s">
        <v>4376</v>
      </c>
    </row>
    <row r="362" spans="1:11" x14ac:dyDescent="0.2">
      <c r="A362" t="s">
        <v>401</v>
      </c>
      <c r="B362">
        <v>2017</v>
      </c>
      <c r="C362" t="s">
        <v>33</v>
      </c>
      <c r="D362">
        <v>110</v>
      </c>
      <c r="E362" t="s">
        <v>29</v>
      </c>
      <c r="F362" t="s">
        <v>30</v>
      </c>
      <c r="G362" t="s">
        <v>167</v>
      </c>
      <c r="H362">
        <v>0.32802258574150089</v>
      </c>
      <c r="I362">
        <v>4</v>
      </c>
      <c r="J362" t="s">
        <v>16</v>
      </c>
      <c r="K362" s="59" t="s">
        <v>4376</v>
      </c>
    </row>
    <row r="363" spans="1:11" x14ac:dyDescent="0.2">
      <c r="A363" t="s">
        <v>402</v>
      </c>
      <c r="B363">
        <v>2017</v>
      </c>
      <c r="C363" t="s">
        <v>12</v>
      </c>
      <c r="D363">
        <v>136</v>
      </c>
      <c r="E363" t="s">
        <v>13</v>
      </c>
      <c r="F363" t="s">
        <v>14</v>
      </c>
      <c r="G363" t="s">
        <v>48</v>
      </c>
      <c r="H363">
        <v>0.85614517057396089</v>
      </c>
      <c r="I363">
        <v>4</v>
      </c>
      <c r="J363" t="s">
        <v>23</v>
      </c>
      <c r="K363" s="59" t="s">
        <v>4376</v>
      </c>
    </row>
    <row r="364" spans="1:11" x14ac:dyDescent="0.2">
      <c r="A364" t="s">
        <v>403</v>
      </c>
      <c r="B364">
        <v>2017</v>
      </c>
      <c r="C364" t="s">
        <v>12</v>
      </c>
      <c r="D364">
        <v>227</v>
      </c>
      <c r="E364" t="s">
        <v>13</v>
      </c>
      <c r="F364" t="s">
        <v>14</v>
      </c>
      <c r="G364" t="s">
        <v>15</v>
      </c>
      <c r="H364">
        <v>-1.428902563638843</v>
      </c>
      <c r="I364">
        <v>4</v>
      </c>
      <c r="J364" t="s">
        <v>23</v>
      </c>
      <c r="K364" s="59" t="s">
        <v>17</v>
      </c>
    </row>
    <row r="365" spans="1:11" x14ac:dyDescent="0.2">
      <c r="A365" t="s">
        <v>404</v>
      </c>
      <c r="B365">
        <v>2021</v>
      </c>
      <c r="C365" t="s">
        <v>33</v>
      </c>
      <c r="D365">
        <v>45</v>
      </c>
      <c r="E365" t="s">
        <v>20</v>
      </c>
      <c r="F365" t="s">
        <v>21</v>
      </c>
      <c r="G365" t="s">
        <v>15</v>
      </c>
      <c r="H365">
        <v>-1.9996232843374191</v>
      </c>
      <c r="I365">
        <v>3</v>
      </c>
      <c r="J365" t="s">
        <v>16</v>
      </c>
      <c r="K365" s="59" t="s">
        <v>17</v>
      </c>
    </row>
    <row r="366" spans="1:11" x14ac:dyDescent="0.2">
      <c r="A366" t="s">
        <v>405</v>
      </c>
      <c r="B366">
        <v>2017</v>
      </c>
      <c r="C366" t="s">
        <v>33</v>
      </c>
      <c r="D366">
        <v>61</v>
      </c>
      <c r="E366" t="s">
        <v>20</v>
      </c>
      <c r="F366" t="s">
        <v>21</v>
      </c>
      <c r="G366" t="s">
        <v>48</v>
      </c>
      <c r="H366">
        <v>-0.33491349264303921</v>
      </c>
      <c r="I366">
        <v>3</v>
      </c>
      <c r="J366" t="s">
        <v>23</v>
      </c>
      <c r="K366" s="59" t="s">
        <v>4376</v>
      </c>
    </row>
    <row r="367" spans="1:11" x14ac:dyDescent="0.2">
      <c r="A367" t="s">
        <v>406</v>
      </c>
      <c r="B367">
        <v>2017</v>
      </c>
      <c r="C367" t="s">
        <v>12</v>
      </c>
      <c r="D367">
        <v>107</v>
      </c>
      <c r="E367" t="s">
        <v>13</v>
      </c>
      <c r="F367" t="s">
        <v>14</v>
      </c>
      <c r="G367" t="s">
        <v>15</v>
      </c>
      <c r="H367">
        <v>0.76343127955333212</v>
      </c>
      <c r="I367">
        <v>4</v>
      </c>
      <c r="J367" t="s">
        <v>17</v>
      </c>
      <c r="K367" s="59" t="s">
        <v>17</v>
      </c>
    </row>
    <row r="368" spans="1:11" x14ac:dyDescent="0.2">
      <c r="A368" t="s">
        <v>407</v>
      </c>
      <c r="B368">
        <v>2017</v>
      </c>
      <c r="C368" t="s">
        <v>12</v>
      </c>
      <c r="D368">
        <v>152</v>
      </c>
      <c r="E368" t="s">
        <v>20</v>
      </c>
      <c r="F368" t="s">
        <v>21</v>
      </c>
      <c r="G368" t="s">
        <v>15</v>
      </c>
      <c r="H368">
        <v>-0.3926091273856156</v>
      </c>
      <c r="I368">
        <v>3</v>
      </c>
      <c r="J368" t="s">
        <v>16</v>
      </c>
      <c r="K368" s="59" t="s">
        <v>16</v>
      </c>
    </row>
    <row r="369" spans="1:11" x14ac:dyDescent="0.2">
      <c r="A369" t="s">
        <v>408</v>
      </c>
      <c r="B369">
        <v>2018</v>
      </c>
      <c r="C369" t="s">
        <v>33</v>
      </c>
      <c r="D369">
        <v>96</v>
      </c>
      <c r="E369" t="s">
        <v>38</v>
      </c>
      <c r="F369" t="s">
        <v>39</v>
      </c>
      <c r="G369" t="s">
        <v>15</v>
      </c>
      <c r="H369">
        <v>1.207133472294913</v>
      </c>
      <c r="I369">
        <v>3</v>
      </c>
      <c r="J369" t="s">
        <v>23</v>
      </c>
      <c r="K369" s="59" t="s">
        <v>4376</v>
      </c>
    </row>
    <row r="370" spans="1:11" x14ac:dyDescent="0.2">
      <c r="A370" t="s">
        <v>409</v>
      </c>
      <c r="B370">
        <v>2018</v>
      </c>
      <c r="C370" t="s">
        <v>19</v>
      </c>
      <c r="D370">
        <v>46</v>
      </c>
      <c r="E370" t="s">
        <v>20</v>
      </c>
      <c r="F370" t="s">
        <v>21</v>
      </c>
      <c r="G370" t="s">
        <v>15</v>
      </c>
      <c r="H370">
        <v>-0.93070436545997492</v>
      </c>
      <c r="I370">
        <v>3</v>
      </c>
      <c r="J370" t="s">
        <v>23</v>
      </c>
      <c r="K370" s="59" t="s">
        <v>17</v>
      </c>
    </row>
    <row r="371" spans="1:11" x14ac:dyDescent="0.2">
      <c r="A371" t="s">
        <v>410</v>
      </c>
      <c r="B371">
        <v>2022</v>
      </c>
      <c r="C371" t="s">
        <v>33</v>
      </c>
      <c r="D371">
        <v>353</v>
      </c>
      <c r="E371" t="s">
        <v>53</v>
      </c>
      <c r="F371" t="s">
        <v>54</v>
      </c>
      <c r="G371" t="s">
        <v>15</v>
      </c>
      <c r="H371">
        <v>0.46058692577733279</v>
      </c>
      <c r="I371">
        <v>3</v>
      </c>
      <c r="J371" t="s">
        <v>16</v>
      </c>
      <c r="K371" s="59" t="s">
        <v>23</v>
      </c>
    </row>
    <row r="372" spans="1:11" x14ac:dyDescent="0.2">
      <c r="A372" t="s">
        <v>411</v>
      </c>
      <c r="B372">
        <v>2017</v>
      </c>
      <c r="C372" t="s">
        <v>12</v>
      </c>
      <c r="D372">
        <v>154</v>
      </c>
      <c r="E372" t="s">
        <v>20</v>
      </c>
      <c r="F372" t="s">
        <v>21</v>
      </c>
      <c r="G372" t="s">
        <v>15</v>
      </c>
      <c r="H372">
        <v>-0.37113607235634671</v>
      </c>
      <c r="I372">
        <v>3</v>
      </c>
      <c r="J372" t="s">
        <v>16</v>
      </c>
      <c r="K372" s="59" t="s">
        <v>23</v>
      </c>
    </row>
    <row r="373" spans="1:11" x14ac:dyDescent="0.2">
      <c r="A373" t="s">
        <v>412</v>
      </c>
      <c r="B373">
        <v>2017</v>
      </c>
      <c r="C373" t="s">
        <v>19</v>
      </c>
      <c r="D373">
        <v>303</v>
      </c>
      <c r="E373" t="s">
        <v>25</v>
      </c>
      <c r="F373" t="s">
        <v>26</v>
      </c>
      <c r="G373" t="s">
        <v>15</v>
      </c>
      <c r="H373">
        <v>0.56723643242270139</v>
      </c>
      <c r="I373">
        <v>2</v>
      </c>
      <c r="J373" t="s">
        <v>16</v>
      </c>
      <c r="K373" s="59" t="s">
        <v>23</v>
      </c>
    </row>
    <row r="374" spans="1:11" x14ac:dyDescent="0.2">
      <c r="A374" t="s">
        <v>413</v>
      </c>
      <c r="B374">
        <v>2017</v>
      </c>
      <c r="C374" t="s">
        <v>33</v>
      </c>
      <c r="D374">
        <v>150</v>
      </c>
      <c r="E374" t="s">
        <v>29</v>
      </c>
      <c r="F374" t="s">
        <v>30</v>
      </c>
      <c r="G374" t="s">
        <v>15</v>
      </c>
      <c r="H374">
        <v>1.207133472294913</v>
      </c>
      <c r="I374">
        <v>4</v>
      </c>
      <c r="J374" t="s">
        <v>16</v>
      </c>
      <c r="K374" s="59" t="s">
        <v>4376</v>
      </c>
    </row>
    <row r="375" spans="1:11" x14ac:dyDescent="0.2">
      <c r="A375" t="s">
        <v>414</v>
      </c>
      <c r="B375">
        <v>2017</v>
      </c>
      <c r="C375" t="s">
        <v>33</v>
      </c>
      <c r="D375">
        <v>44</v>
      </c>
      <c r="E375" t="s">
        <v>25</v>
      </c>
      <c r="F375" t="s">
        <v>26</v>
      </c>
      <c r="G375" t="s">
        <v>80</v>
      </c>
      <c r="H375">
        <v>0.1382145534174688</v>
      </c>
      <c r="I375">
        <v>2</v>
      </c>
      <c r="J375" t="s">
        <v>23</v>
      </c>
      <c r="K375" s="59" t="s">
        <v>17</v>
      </c>
    </row>
    <row r="376" spans="1:11" x14ac:dyDescent="0.2">
      <c r="A376" t="s">
        <v>415</v>
      </c>
      <c r="B376">
        <v>2017</v>
      </c>
      <c r="C376" t="s">
        <v>33</v>
      </c>
      <c r="D376">
        <v>210</v>
      </c>
      <c r="E376" t="s">
        <v>25</v>
      </c>
      <c r="F376" t="s">
        <v>26</v>
      </c>
      <c r="G376" t="s">
        <v>22</v>
      </c>
      <c r="H376">
        <v>1.131396866126462</v>
      </c>
      <c r="I376">
        <v>2</v>
      </c>
      <c r="J376" t="s">
        <v>23</v>
      </c>
      <c r="K376" s="59" t="s">
        <v>4376</v>
      </c>
    </row>
    <row r="377" spans="1:11" x14ac:dyDescent="0.2">
      <c r="A377" t="s">
        <v>416</v>
      </c>
      <c r="B377">
        <v>2018</v>
      </c>
      <c r="C377" t="s">
        <v>33</v>
      </c>
      <c r="D377">
        <v>35</v>
      </c>
      <c r="E377" t="s">
        <v>20</v>
      </c>
      <c r="F377" t="s">
        <v>21</v>
      </c>
      <c r="G377" t="s">
        <v>15</v>
      </c>
      <c r="H377">
        <v>-4.4937674283847873</v>
      </c>
      <c r="I377">
        <v>3</v>
      </c>
      <c r="J377" t="s">
        <v>23</v>
      </c>
      <c r="K377" s="59" t="s">
        <v>4376</v>
      </c>
    </row>
    <row r="378" spans="1:11" x14ac:dyDescent="0.2">
      <c r="A378" t="s">
        <v>417</v>
      </c>
      <c r="B378">
        <v>2018</v>
      </c>
      <c r="C378" t="s">
        <v>33</v>
      </c>
      <c r="D378">
        <v>542</v>
      </c>
      <c r="E378" t="s">
        <v>20</v>
      </c>
      <c r="F378" t="s">
        <v>21</v>
      </c>
      <c r="G378" t="s">
        <v>15</v>
      </c>
      <c r="H378">
        <v>8.0963067529263036E-2</v>
      </c>
      <c r="I378">
        <v>3</v>
      </c>
      <c r="J378" t="s">
        <v>23</v>
      </c>
      <c r="K378" s="59" t="s">
        <v>4376</v>
      </c>
    </row>
    <row r="379" spans="1:11" x14ac:dyDescent="0.2">
      <c r="A379" t="s">
        <v>418</v>
      </c>
      <c r="B379">
        <v>2017</v>
      </c>
      <c r="C379" t="s">
        <v>19</v>
      </c>
      <c r="D379">
        <v>105</v>
      </c>
      <c r="E379" t="s">
        <v>25</v>
      </c>
      <c r="F379" t="s">
        <v>26</v>
      </c>
      <c r="G379" t="s">
        <v>15</v>
      </c>
      <c r="H379">
        <v>0.28492891483201988</v>
      </c>
      <c r="I379">
        <v>2</v>
      </c>
      <c r="J379" t="s">
        <v>23</v>
      </c>
      <c r="K379" s="59" t="s">
        <v>17</v>
      </c>
    </row>
    <row r="380" spans="1:11" x14ac:dyDescent="0.2">
      <c r="A380" t="s">
        <v>419</v>
      </c>
      <c r="B380">
        <v>2017</v>
      </c>
      <c r="C380" t="s">
        <v>33</v>
      </c>
      <c r="D380">
        <v>143</v>
      </c>
      <c r="E380" t="s">
        <v>20</v>
      </c>
      <c r="F380" t="s">
        <v>21</v>
      </c>
      <c r="G380" t="s">
        <v>48</v>
      </c>
      <c r="H380">
        <v>-2.152325987034196</v>
      </c>
      <c r="I380">
        <v>3</v>
      </c>
      <c r="J380" t="s">
        <v>17</v>
      </c>
      <c r="K380" s="59" t="s">
        <v>23</v>
      </c>
    </row>
    <row r="381" spans="1:11" x14ac:dyDescent="0.2">
      <c r="A381" t="s">
        <v>420</v>
      </c>
      <c r="B381">
        <v>2024</v>
      </c>
      <c r="C381" t="s">
        <v>33</v>
      </c>
      <c r="D381">
        <v>617</v>
      </c>
      <c r="E381" t="s">
        <v>53</v>
      </c>
      <c r="F381" t="s">
        <v>54</v>
      </c>
      <c r="G381" t="s">
        <v>15</v>
      </c>
      <c r="H381">
        <v>-0.12422943301980099</v>
      </c>
      <c r="I381">
        <v>3</v>
      </c>
      <c r="J381" t="s">
        <v>16</v>
      </c>
      <c r="K381" s="59" t="s">
        <v>17</v>
      </c>
    </row>
    <row r="382" spans="1:11" x14ac:dyDescent="0.2">
      <c r="A382" t="s">
        <v>421</v>
      </c>
      <c r="B382">
        <v>2017</v>
      </c>
      <c r="C382" t="s">
        <v>19</v>
      </c>
      <c r="D382">
        <v>37</v>
      </c>
      <c r="E382" t="s">
        <v>25</v>
      </c>
      <c r="F382" t="s">
        <v>26</v>
      </c>
      <c r="G382" t="s">
        <v>15</v>
      </c>
      <c r="H382">
        <v>-1.4804340951683741</v>
      </c>
      <c r="I382">
        <v>2</v>
      </c>
      <c r="J382" t="s">
        <v>23</v>
      </c>
      <c r="K382" s="59" t="s">
        <v>17</v>
      </c>
    </row>
    <row r="383" spans="1:11" x14ac:dyDescent="0.2">
      <c r="A383" t="s">
        <v>422</v>
      </c>
      <c r="B383">
        <v>2017</v>
      </c>
      <c r="C383" t="s">
        <v>12</v>
      </c>
      <c r="D383">
        <v>178</v>
      </c>
      <c r="E383" t="s">
        <v>13</v>
      </c>
      <c r="F383" t="s">
        <v>14</v>
      </c>
      <c r="G383" t="s">
        <v>48</v>
      </c>
      <c r="H383">
        <v>0.1382145534174688</v>
      </c>
      <c r="I383">
        <v>4</v>
      </c>
      <c r="J383" t="s">
        <v>23</v>
      </c>
      <c r="K383" s="59" t="s">
        <v>23</v>
      </c>
    </row>
    <row r="384" spans="1:11" x14ac:dyDescent="0.2">
      <c r="A384" t="s">
        <v>423</v>
      </c>
      <c r="B384">
        <v>2017</v>
      </c>
      <c r="C384" t="s">
        <v>19</v>
      </c>
      <c r="D384">
        <v>46</v>
      </c>
      <c r="E384" t="s">
        <v>38</v>
      </c>
      <c r="F384" t="s">
        <v>39</v>
      </c>
      <c r="G384" t="s">
        <v>15</v>
      </c>
      <c r="H384">
        <v>0.1382145534174688</v>
      </c>
      <c r="I384">
        <v>3</v>
      </c>
      <c r="J384" t="s">
        <v>23</v>
      </c>
      <c r="K384" s="59" t="s">
        <v>17</v>
      </c>
    </row>
    <row r="385" spans="1:11" x14ac:dyDescent="0.2">
      <c r="A385" t="s">
        <v>424</v>
      </c>
      <c r="B385">
        <v>2017</v>
      </c>
      <c r="C385" t="s">
        <v>33</v>
      </c>
      <c r="D385">
        <v>55</v>
      </c>
      <c r="E385" t="s">
        <v>20</v>
      </c>
      <c r="F385" t="s">
        <v>21</v>
      </c>
      <c r="G385" t="s">
        <v>15</v>
      </c>
      <c r="H385">
        <v>-0.56767529867140909</v>
      </c>
      <c r="I385">
        <v>3</v>
      </c>
      <c r="J385" t="s">
        <v>23</v>
      </c>
      <c r="K385" s="59" t="s">
        <v>4376</v>
      </c>
    </row>
    <row r="386" spans="1:11" x14ac:dyDescent="0.2">
      <c r="A386" t="s">
        <v>425</v>
      </c>
      <c r="B386">
        <v>2018</v>
      </c>
      <c r="C386" t="s">
        <v>33</v>
      </c>
      <c r="D386">
        <v>96</v>
      </c>
      <c r="E386" t="s">
        <v>38</v>
      </c>
      <c r="F386" t="s">
        <v>39</v>
      </c>
      <c r="G386" t="s">
        <v>15</v>
      </c>
      <c r="H386">
        <v>1.207133472294913</v>
      </c>
      <c r="I386">
        <v>3</v>
      </c>
      <c r="J386" t="s">
        <v>23</v>
      </c>
      <c r="K386" s="59" t="s">
        <v>4376</v>
      </c>
    </row>
    <row r="387" spans="1:11" x14ac:dyDescent="0.2">
      <c r="A387" t="s">
        <v>426</v>
      </c>
      <c r="B387">
        <v>2017</v>
      </c>
      <c r="C387" t="s">
        <v>19</v>
      </c>
      <c r="D387">
        <v>76</v>
      </c>
      <c r="E387" t="s">
        <v>13</v>
      </c>
      <c r="F387" t="s">
        <v>14</v>
      </c>
      <c r="G387" t="s">
        <v>22</v>
      </c>
      <c r="H387">
        <v>-8.1426320324471585E-2</v>
      </c>
      <c r="I387">
        <v>4</v>
      </c>
      <c r="J387" t="s">
        <v>23</v>
      </c>
      <c r="K387" s="59" t="s">
        <v>17</v>
      </c>
    </row>
    <row r="388" spans="1:11" x14ac:dyDescent="0.2">
      <c r="A388" t="s">
        <v>427</v>
      </c>
      <c r="B388">
        <v>2018</v>
      </c>
      <c r="C388" t="s">
        <v>33</v>
      </c>
      <c r="D388">
        <v>53</v>
      </c>
      <c r="E388" t="s">
        <v>38</v>
      </c>
      <c r="F388" t="s">
        <v>39</v>
      </c>
      <c r="G388" t="s">
        <v>15</v>
      </c>
      <c r="H388">
        <v>0.24728791248659579</v>
      </c>
      <c r="I388">
        <v>3</v>
      </c>
      <c r="J388" t="s">
        <v>23</v>
      </c>
      <c r="K388" s="59" t="s">
        <v>4376</v>
      </c>
    </row>
    <row r="389" spans="1:11" x14ac:dyDescent="0.2">
      <c r="A389" t="s">
        <v>428</v>
      </c>
      <c r="B389">
        <v>2019</v>
      </c>
      <c r="C389" t="s">
        <v>33</v>
      </c>
      <c r="D389">
        <v>124</v>
      </c>
      <c r="E389" t="s">
        <v>25</v>
      </c>
      <c r="F389" t="s">
        <v>26</v>
      </c>
      <c r="G389" t="s">
        <v>22</v>
      </c>
      <c r="H389">
        <v>0.42325959845145378</v>
      </c>
      <c r="I389">
        <v>2</v>
      </c>
      <c r="J389" t="s">
        <v>23</v>
      </c>
      <c r="K389" s="59" t="s">
        <v>4376</v>
      </c>
    </row>
    <row r="390" spans="1:11" x14ac:dyDescent="0.2">
      <c r="A390" t="s">
        <v>429</v>
      </c>
      <c r="B390">
        <v>2017</v>
      </c>
      <c r="C390" t="s">
        <v>33</v>
      </c>
      <c r="D390">
        <v>81</v>
      </c>
      <c r="E390" t="s">
        <v>20</v>
      </c>
      <c r="F390" t="s">
        <v>21</v>
      </c>
      <c r="G390" t="s">
        <v>80</v>
      </c>
      <c r="H390">
        <v>1.6438980380798041E-2</v>
      </c>
      <c r="I390">
        <v>3</v>
      </c>
      <c r="J390" t="s">
        <v>23</v>
      </c>
      <c r="K390" s="59" t="s">
        <v>4376</v>
      </c>
    </row>
    <row r="391" spans="1:11" x14ac:dyDescent="0.2">
      <c r="A391" t="s">
        <v>430</v>
      </c>
      <c r="B391">
        <v>2017</v>
      </c>
      <c r="C391" t="s">
        <v>19</v>
      </c>
      <c r="D391">
        <v>123</v>
      </c>
      <c r="E391" t="s">
        <v>38</v>
      </c>
      <c r="F391" t="s">
        <v>39</v>
      </c>
      <c r="G391" t="s">
        <v>15</v>
      </c>
      <c r="H391">
        <v>0.82162173106042469</v>
      </c>
      <c r="I391">
        <v>3</v>
      </c>
      <c r="J391" t="s">
        <v>23</v>
      </c>
      <c r="K391" s="59" t="s">
        <v>23</v>
      </c>
    </row>
    <row r="392" spans="1:11" x14ac:dyDescent="0.2">
      <c r="A392" t="s">
        <v>431</v>
      </c>
      <c r="B392">
        <v>2017</v>
      </c>
      <c r="C392" t="s">
        <v>19</v>
      </c>
      <c r="D392">
        <v>122</v>
      </c>
      <c r="E392" t="s">
        <v>38</v>
      </c>
      <c r="F392" t="s">
        <v>39</v>
      </c>
      <c r="G392" t="s">
        <v>15</v>
      </c>
      <c r="H392">
        <v>0.42973789492949888</v>
      </c>
      <c r="I392">
        <v>3</v>
      </c>
      <c r="J392" t="s">
        <v>23</v>
      </c>
      <c r="K392" s="59" t="s">
        <v>16</v>
      </c>
    </row>
    <row r="393" spans="1:11" x14ac:dyDescent="0.2">
      <c r="A393" t="s">
        <v>432</v>
      </c>
      <c r="B393">
        <v>2017</v>
      </c>
      <c r="C393" t="s">
        <v>19</v>
      </c>
      <c r="D393">
        <v>122</v>
      </c>
      <c r="E393" t="s">
        <v>38</v>
      </c>
      <c r="F393" t="s">
        <v>39</v>
      </c>
      <c r="G393" t="s">
        <v>15</v>
      </c>
      <c r="H393">
        <v>0.42973789492949888</v>
      </c>
      <c r="I393">
        <v>3</v>
      </c>
      <c r="J393" t="s">
        <v>23</v>
      </c>
      <c r="K393" s="59" t="s">
        <v>23</v>
      </c>
    </row>
    <row r="394" spans="1:11" x14ac:dyDescent="0.2">
      <c r="A394" t="s">
        <v>433</v>
      </c>
      <c r="B394">
        <v>2017</v>
      </c>
      <c r="C394" t="s">
        <v>33</v>
      </c>
      <c r="D394">
        <v>123</v>
      </c>
      <c r="E394" t="s">
        <v>38</v>
      </c>
      <c r="F394" t="s">
        <v>39</v>
      </c>
      <c r="G394" t="s">
        <v>15</v>
      </c>
      <c r="H394">
        <v>0.43610998982593668</v>
      </c>
      <c r="I394">
        <v>3</v>
      </c>
      <c r="J394" t="s">
        <v>23</v>
      </c>
      <c r="K394" s="59" t="s">
        <v>16</v>
      </c>
    </row>
    <row r="395" spans="1:11" x14ac:dyDescent="0.2">
      <c r="A395" t="s">
        <v>434</v>
      </c>
      <c r="B395">
        <v>2017</v>
      </c>
      <c r="C395" t="s">
        <v>19</v>
      </c>
      <c r="D395">
        <v>123</v>
      </c>
      <c r="E395" t="s">
        <v>38</v>
      </c>
      <c r="F395" t="s">
        <v>39</v>
      </c>
      <c r="G395" t="s">
        <v>15</v>
      </c>
      <c r="H395">
        <v>0.43610998982593668</v>
      </c>
      <c r="I395">
        <v>3</v>
      </c>
      <c r="J395" t="s">
        <v>23</v>
      </c>
      <c r="K395" s="59" t="s">
        <v>16</v>
      </c>
    </row>
    <row r="396" spans="1:11" x14ac:dyDescent="0.2">
      <c r="A396" t="s">
        <v>435</v>
      </c>
      <c r="B396">
        <v>2017</v>
      </c>
      <c r="C396" t="s">
        <v>33</v>
      </c>
      <c r="D396">
        <v>97</v>
      </c>
      <c r="E396" t="s">
        <v>13</v>
      </c>
      <c r="F396" t="s">
        <v>14</v>
      </c>
      <c r="G396" t="s">
        <v>48</v>
      </c>
      <c r="H396">
        <v>1.207133472294913</v>
      </c>
      <c r="I396">
        <v>4</v>
      </c>
      <c r="J396" t="s">
        <v>23</v>
      </c>
      <c r="K396" s="59" t="s">
        <v>16</v>
      </c>
    </row>
    <row r="397" spans="1:11" x14ac:dyDescent="0.2">
      <c r="A397" t="s">
        <v>436</v>
      </c>
      <c r="B397">
        <v>2017</v>
      </c>
      <c r="C397" t="s">
        <v>33</v>
      </c>
      <c r="D397">
        <v>132</v>
      </c>
      <c r="E397" t="s">
        <v>13</v>
      </c>
      <c r="F397" t="s">
        <v>14</v>
      </c>
      <c r="G397" t="s">
        <v>48</v>
      </c>
      <c r="H397">
        <v>1.571725971756986</v>
      </c>
      <c r="I397">
        <v>4</v>
      </c>
      <c r="J397" t="s">
        <v>23</v>
      </c>
      <c r="K397" s="59" t="s">
        <v>16</v>
      </c>
    </row>
    <row r="398" spans="1:11" x14ac:dyDescent="0.2">
      <c r="A398" t="s">
        <v>437</v>
      </c>
      <c r="B398">
        <v>2017</v>
      </c>
      <c r="C398" t="s">
        <v>12</v>
      </c>
      <c r="D398">
        <v>95</v>
      </c>
      <c r="E398" t="s">
        <v>13</v>
      </c>
      <c r="F398" t="s">
        <v>14</v>
      </c>
      <c r="G398" t="s">
        <v>48</v>
      </c>
      <c r="H398">
        <v>1.207133472294913</v>
      </c>
      <c r="I398">
        <v>4</v>
      </c>
      <c r="J398" t="s">
        <v>23</v>
      </c>
      <c r="K398" s="59" t="s">
        <v>16</v>
      </c>
    </row>
    <row r="399" spans="1:11" x14ac:dyDescent="0.2">
      <c r="A399" t="s">
        <v>438</v>
      </c>
      <c r="B399">
        <v>2019</v>
      </c>
      <c r="C399" t="s">
        <v>12</v>
      </c>
      <c r="D399">
        <v>155</v>
      </c>
      <c r="E399" t="s">
        <v>20</v>
      </c>
      <c r="F399" t="s">
        <v>21</v>
      </c>
      <c r="G399" t="s">
        <v>15</v>
      </c>
      <c r="H399">
        <v>0.89566040984055817</v>
      </c>
      <c r="I399">
        <v>3</v>
      </c>
      <c r="J399" t="s">
        <v>23</v>
      </c>
      <c r="K399" s="59" t="s">
        <v>16</v>
      </c>
    </row>
    <row r="400" spans="1:11" x14ac:dyDescent="0.2">
      <c r="A400" t="s">
        <v>439</v>
      </c>
      <c r="B400">
        <v>2017</v>
      </c>
      <c r="C400" t="s">
        <v>12</v>
      </c>
      <c r="D400">
        <v>54</v>
      </c>
      <c r="E400" t="s">
        <v>20</v>
      </c>
      <c r="F400" t="s">
        <v>21</v>
      </c>
      <c r="G400" t="s">
        <v>15</v>
      </c>
      <c r="H400">
        <v>-0.56767529867140909</v>
      </c>
      <c r="I400">
        <v>3</v>
      </c>
      <c r="J400" t="s">
        <v>23</v>
      </c>
      <c r="K400" s="59" t="s">
        <v>17</v>
      </c>
    </row>
    <row r="401" spans="1:11" x14ac:dyDescent="0.2">
      <c r="A401" t="s">
        <v>440</v>
      </c>
      <c r="B401">
        <v>2017</v>
      </c>
      <c r="C401" t="s">
        <v>33</v>
      </c>
      <c r="D401">
        <v>139</v>
      </c>
      <c r="E401" t="s">
        <v>13</v>
      </c>
      <c r="F401" t="s">
        <v>14</v>
      </c>
      <c r="G401" t="s">
        <v>34</v>
      </c>
      <c r="H401">
        <v>2.1361691746279008</v>
      </c>
      <c r="I401">
        <v>4</v>
      </c>
      <c r="J401" t="s">
        <v>23</v>
      </c>
      <c r="K401" s="59" t="s">
        <v>4376</v>
      </c>
    </row>
    <row r="402" spans="1:11" x14ac:dyDescent="0.2">
      <c r="A402" t="s">
        <v>441</v>
      </c>
      <c r="B402">
        <v>2018</v>
      </c>
      <c r="C402" t="s">
        <v>33</v>
      </c>
      <c r="D402">
        <v>149</v>
      </c>
      <c r="E402" t="s">
        <v>20</v>
      </c>
      <c r="F402" t="s">
        <v>21</v>
      </c>
      <c r="G402" t="s">
        <v>15</v>
      </c>
      <c r="H402">
        <v>-8.1426320324471585E-2</v>
      </c>
      <c r="I402">
        <v>3</v>
      </c>
      <c r="J402" t="s">
        <v>23</v>
      </c>
      <c r="K402" s="59" t="s">
        <v>17</v>
      </c>
    </row>
    <row r="403" spans="1:11" x14ac:dyDescent="0.2">
      <c r="A403" t="s">
        <v>442</v>
      </c>
      <c r="B403">
        <v>2017</v>
      </c>
      <c r="C403" t="s">
        <v>12</v>
      </c>
      <c r="D403">
        <v>151</v>
      </c>
      <c r="E403" t="s">
        <v>20</v>
      </c>
      <c r="F403" t="s">
        <v>21</v>
      </c>
      <c r="G403" t="s">
        <v>15</v>
      </c>
      <c r="H403">
        <v>-8.1426320324471585E-2</v>
      </c>
      <c r="I403">
        <v>3</v>
      </c>
      <c r="J403" t="s">
        <v>16</v>
      </c>
      <c r="K403" s="59" t="s">
        <v>23</v>
      </c>
    </row>
    <row r="404" spans="1:11" x14ac:dyDescent="0.2">
      <c r="A404" t="s">
        <v>443</v>
      </c>
      <c r="B404">
        <v>2018</v>
      </c>
      <c r="C404" t="s">
        <v>19</v>
      </c>
      <c r="D404">
        <v>88</v>
      </c>
      <c r="E404" t="s">
        <v>25</v>
      </c>
      <c r="F404" t="s">
        <v>26</v>
      </c>
      <c r="G404" t="s">
        <v>15</v>
      </c>
      <c r="H404">
        <v>0.12592812906255571</v>
      </c>
      <c r="I404">
        <v>2</v>
      </c>
      <c r="J404" t="s">
        <v>23</v>
      </c>
      <c r="K404" s="59" t="s">
        <v>17</v>
      </c>
    </row>
    <row r="405" spans="1:11" x14ac:dyDescent="0.2">
      <c r="A405" t="s">
        <v>444</v>
      </c>
      <c r="B405">
        <v>2018</v>
      </c>
      <c r="C405" t="s">
        <v>33</v>
      </c>
      <c r="D405">
        <v>97</v>
      </c>
      <c r="E405" t="s">
        <v>38</v>
      </c>
      <c r="F405" t="s">
        <v>39</v>
      </c>
      <c r="G405" t="s">
        <v>15</v>
      </c>
      <c r="H405">
        <v>0.72226303486596899</v>
      </c>
      <c r="I405">
        <v>3</v>
      </c>
      <c r="J405" t="s">
        <v>23</v>
      </c>
      <c r="K405" s="59" t="s">
        <v>4376</v>
      </c>
    </row>
    <row r="406" spans="1:11" x14ac:dyDescent="0.2">
      <c r="A406" t="s">
        <v>445</v>
      </c>
      <c r="B406">
        <v>2017</v>
      </c>
      <c r="C406" t="s">
        <v>33</v>
      </c>
      <c r="D406">
        <v>63</v>
      </c>
      <c r="E406" t="s">
        <v>29</v>
      </c>
      <c r="F406" t="s">
        <v>30</v>
      </c>
      <c r="G406" t="s">
        <v>36</v>
      </c>
      <c r="H406">
        <v>-2.0364825574021581</v>
      </c>
      <c r="I406">
        <v>4</v>
      </c>
      <c r="J406" t="s">
        <v>23</v>
      </c>
      <c r="K406" s="59" t="s">
        <v>23</v>
      </c>
    </row>
    <row r="407" spans="1:11" x14ac:dyDescent="0.2">
      <c r="A407" t="s">
        <v>446</v>
      </c>
      <c r="B407">
        <v>2017</v>
      </c>
      <c r="C407" t="s">
        <v>33</v>
      </c>
      <c r="D407">
        <v>55</v>
      </c>
      <c r="E407" t="s">
        <v>29</v>
      </c>
      <c r="F407" t="s">
        <v>30</v>
      </c>
      <c r="G407" t="s">
        <v>15</v>
      </c>
      <c r="H407">
        <v>0.31972908681175177</v>
      </c>
      <c r="I407">
        <v>4</v>
      </c>
      <c r="J407" t="s">
        <v>23</v>
      </c>
      <c r="K407" s="59" t="s">
        <v>4376</v>
      </c>
    </row>
    <row r="408" spans="1:11" x14ac:dyDescent="0.2">
      <c r="A408" t="s">
        <v>447</v>
      </c>
      <c r="B408">
        <v>2017</v>
      </c>
      <c r="C408" t="s">
        <v>33</v>
      </c>
      <c r="D408">
        <v>82</v>
      </c>
      <c r="E408" t="s">
        <v>20</v>
      </c>
      <c r="F408" t="s">
        <v>21</v>
      </c>
      <c r="G408" t="s">
        <v>41</v>
      </c>
      <c r="H408">
        <v>3.1322661529724391E-2</v>
      </c>
      <c r="I408">
        <v>3</v>
      </c>
      <c r="J408" t="s">
        <v>23</v>
      </c>
      <c r="K408" s="59" t="s">
        <v>17</v>
      </c>
    </row>
    <row r="409" spans="1:11" x14ac:dyDescent="0.2">
      <c r="A409" t="s">
        <v>448</v>
      </c>
      <c r="B409">
        <v>2018</v>
      </c>
      <c r="C409" t="s">
        <v>33</v>
      </c>
      <c r="D409">
        <v>96</v>
      </c>
      <c r="E409" t="s">
        <v>38</v>
      </c>
      <c r="F409" t="s">
        <v>39</v>
      </c>
      <c r="G409" t="s">
        <v>15</v>
      </c>
      <c r="H409">
        <v>1.207133472294913</v>
      </c>
      <c r="I409">
        <v>3</v>
      </c>
      <c r="J409" t="s">
        <v>23</v>
      </c>
      <c r="K409" s="59" t="s">
        <v>4376</v>
      </c>
    </row>
    <row r="410" spans="1:11" x14ac:dyDescent="0.2">
      <c r="A410" t="s">
        <v>449</v>
      </c>
      <c r="B410">
        <v>2017</v>
      </c>
      <c r="C410" t="s">
        <v>19</v>
      </c>
      <c r="D410">
        <v>154</v>
      </c>
      <c r="E410" t="s">
        <v>20</v>
      </c>
      <c r="F410" t="s">
        <v>21</v>
      </c>
      <c r="G410" t="s">
        <v>15</v>
      </c>
      <c r="H410">
        <v>-0.37113607235634671</v>
      </c>
      <c r="I410">
        <v>3</v>
      </c>
      <c r="J410" t="s">
        <v>16</v>
      </c>
      <c r="K410" s="59" t="s">
        <v>23</v>
      </c>
    </row>
    <row r="411" spans="1:11" x14ac:dyDescent="0.2">
      <c r="A411" t="s">
        <v>450</v>
      </c>
      <c r="B411">
        <v>2017</v>
      </c>
      <c r="C411" t="s">
        <v>19</v>
      </c>
      <c r="D411">
        <v>54</v>
      </c>
      <c r="E411" t="s">
        <v>29</v>
      </c>
      <c r="F411" t="s">
        <v>30</v>
      </c>
      <c r="G411" t="s">
        <v>48</v>
      </c>
      <c r="H411">
        <v>0.30266361786015239</v>
      </c>
      <c r="I411">
        <v>4</v>
      </c>
      <c r="J411" t="s">
        <v>23</v>
      </c>
      <c r="K411" s="59" t="s">
        <v>23</v>
      </c>
    </row>
    <row r="412" spans="1:11" x14ac:dyDescent="0.2">
      <c r="A412" t="s">
        <v>451</v>
      </c>
      <c r="B412">
        <v>2017</v>
      </c>
      <c r="C412" t="s">
        <v>19</v>
      </c>
      <c r="D412">
        <v>218</v>
      </c>
      <c r="E412" t="s">
        <v>25</v>
      </c>
      <c r="F412" t="s">
        <v>26</v>
      </c>
      <c r="G412" t="s">
        <v>15</v>
      </c>
      <c r="H412">
        <v>-9.9322984110851928E-2</v>
      </c>
      <c r="I412">
        <v>2</v>
      </c>
      <c r="J412" t="s">
        <v>23</v>
      </c>
      <c r="K412" s="59" t="s">
        <v>17</v>
      </c>
    </row>
    <row r="413" spans="1:11" x14ac:dyDescent="0.2">
      <c r="A413" t="s">
        <v>452</v>
      </c>
      <c r="B413">
        <v>2017</v>
      </c>
      <c r="C413" t="s">
        <v>12</v>
      </c>
      <c r="D413">
        <v>51</v>
      </c>
      <c r="E413" t="s">
        <v>38</v>
      </c>
      <c r="F413" t="s">
        <v>39</v>
      </c>
      <c r="G413" t="s">
        <v>15</v>
      </c>
      <c r="H413">
        <v>0.2064434205798589</v>
      </c>
      <c r="I413">
        <v>3</v>
      </c>
      <c r="J413" t="s">
        <v>23</v>
      </c>
      <c r="K413" s="59" t="s">
        <v>17</v>
      </c>
    </row>
    <row r="414" spans="1:11" x14ac:dyDescent="0.2">
      <c r="A414" t="s">
        <v>453</v>
      </c>
      <c r="B414">
        <v>2017</v>
      </c>
      <c r="C414" t="s">
        <v>33</v>
      </c>
      <c r="D414">
        <v>71</v>
      </c>
      <c r="E414" t="s">
        <v>25</v>
      </c>
      <c r="F414" t="s">
        <v>26</v>
      </c>
      <c r="G414" t="s">
        <v>15</v>
      </c>
      <c r="H414">
        <v>-0.1177237792714966</v>
      </c>
      <c r="I414">
        <v>2</v>
      </c>
      <c r="J414" t="s">
        <v>23</v>
      </c>
      <c r="K414" s="59" t="s">
        <v>16</v>
      </c>
    </row>
    <row r="415" spans="1:11" x14ac:dyDescent="0.2">
      <c r="A415" t="s">
        <v>454</v>
      </c>
      <c r="B415">
        <v>2018</v>
      </c>
      <c r="C415" t="s">
        <v>33</v>
      </c>
      <c r="D415">
        <v>67</v>
      </c>
      <c r="E415" t="s">
        <v>20</v>
      </c>
      <c r="F415" t="s">
        <v>21</v>
      </c>
      <c r="G415" t="s">
        <v>22</v>
      </c>
      <c r="H415">
        <v>1.207133472294913</v>
      </c>
      <c r="I415">
        <v>3</v>
      </c>
      <c r="J415" t="s">
        <v>23</v>
      </c>
      <c r="K415" s="59" t="s">
        <v>4376</v>
      </c>
    </row>
    <row r="416" spans="1:11" x14ac:dyDescent="0.2">
      <c r="A416" t="s">
        <v>455</v>
      </c>
      <c r="B416">
        <v>2018</v>
      </c>
      <c r="C416" t="s">
        <v>19</v>
      </c>
      <c r="D416">
        <v>149</v>
      </c>
      <c r="E416" t="s">
        <v>20</v>
      </c>
      <c r="F416" t="s">
        <v>21</v>
      </c>
      <c r="G416" t="s">
        <v>15</v>
      </c>
      <c r="H416">
        <v>-8.1426320324471585E-2</v>
      </c>
      <c r="I416">
        <v>3</v>
      </c>
      <c r="J416" t="s">
        <v>23</v>
      </c>
      <c r="K416" s="59" t="s">
        <v>16</v>
      </c>
    </row>
    <row r="417" spans="1:11" x14ac:dyDescent="0.2">
      <c r="A417" t="s">
        <v>456</v>
      </c>
      <c r="B417">
        <v>2017</v>
      </c>
      <c r="C417" t="s">
        <v>19</v>
      </c>
      <c r="D417">
        <v>241</v>
      </c>
      <c r="E417" t="s">
        <v>20</v>
      </c>
      <c r="F417" t="s">
        <v>21</v>
      </c>
      <c r="G417" t="s">
        <v>15</v>
      </c>
      <c r="H417">
        <v>0.60415356933840592</v>
      </c>
      <c r="I417">
        <v>3</v>
      </c>
      <c r="J417" t="s">
        <v>17</v>
      </c>
      <c r="K417" s="59" t="s">
        <v>4376</v>
      </c>
    </row>
    <row r="418" spans="1:11" x14ac:dyDescent="0.2">
      <c r="A418" t="s">
        <v>457</v>
      </c>
      <c r="B418">
        <v>2019</v>
      </c>
      <c r="C418" t="s">
        <v>12</v>
      </c>
      <c r="D418">
        <v>380</v>
      </c>
      <c r="E418" t="s">
        <v>20</v>
      </c>
      <c r="F418" t="s">
        <v>21</v>
      </c>
      <c r="G418" t="s">
        <v>147</v>
      </c>
      <c r="H418">
        <v>-0.52564035409589083</v>
      </c>
      <c r="I418">
        <v>3</v>
      </c>
      <c r="J418" t="s">
        <v>23</v>
      </c>
      <c r="K418" s="59" t="s">
        <v>23</v>
      </c>
    </row>
    <row r="419" spans="1:11" x14ac:dyDescent="0.2">
      <c r="A419" t="s">
        <v>458</v>
      </c>
      <c r="B419">
        <v>2018</v>
      </c>
      <c r="C419" t="s">
        <v>33</v>
      </c>
      <c r="D419">
        <v>96</v>
      </c>
      <c r="E419" t="s">
        <v>38</v>
      </c>
      <c r="F419" t="s">
        <v>39</v>
      </c>
      <c r="G419" t="s">
        <v>15</v>
      </c>
      <c r="H419">
        <v>1.207133472294913</v>
      </c>
      <c r="I419">
        <v>3</v>
      </c>
      <c r="J419" t="s">
        <v>23</v>
      </c>
      <c r="K419" s="59" t="s">
        <v>4376</v>
      </c>
    </row>
    <row r="420" spans="1:11" x14ac:dyDescent="0.2">
      <c r="A420" t="s">
        <v>459</v>
      </c>
      <c r="B420">
        <v>2018</v>
      </c>
      <c r="C420" t="s">
        <v>19</v>
      </c>
      <c r="D420">
        <v>179</v>
      </c>
      <c r="E420" t="s">
        <v>20</v>
      </c>
      <c r="F420" t="s">
        <v>21</v>
      </c>
      <c r="G420" t="s">
        <v>15</v>
      </c>
      <c r="H420">
        <v>-6.4013350153939511E-2</v>
      </c>
      <c r="I420">
        <v>3</v>
      </c>
      <c r="J420" t="s">
        <v>16</v>
      </c>
      <c r="K420" s="59" t="s">
        <v>4376</v>
      </c>
    </row>
    <row r="421" spans="1:11" x14ac:dyDescent="0.2">
      <c r="A421" t="s">
        <v>460</v>
      </c>
      <c r="B421">
        <v>2018</v>
      </c>
      <c r="C421" t="s">
        <v>19</v>
      </c>
      <c r="D421">
        <v>173</v>
      </c>
      <c r="E421" t="s">
        <v>20</v>
      </c>
      <c r="F421" t="s">
        <v>21</v>
      </c>
      <c r="G421" t="s">
        <v>15</v>
      </c>
      <c r="H421">
        <v>1.345464155914347</v>
      </c>
      <c r="I421">
        <v>3</v>
      </c>
      <c r="J421" t="s">
        <v>23</v>
      </c>
      <c r="K421" s="59" t="s">
        <v>17</v>
      </c>
    </row>
    <row r="422" spans="1:11" x14ac:dyDescent="0.2">
      <c r="A422" t="s">
        <v>461</v>
      </c>
      <c r="B422">
        <v>2018</v>
      </c>
      <c r="C422" t="s">
        <v>12</v>
      </c>
      <c r="D422">
        <v>55</v>
      </c>
      <c r="E422" t="s">
        <v>20</v>
      </c>
      <c r="F422" t="s">
        <v>21</v>
      </c>
      <c r="G422" t="s">
        <v>80</v>
      </c>
      <c r="H422">
        <v>-1.3582719330109521</v>
      </c>
      <c r="I422">
        <v>3</v>
      </c>
      <c r="J422" t="s">
        <v>23</v>
      </c>
      <c r="K422" s="59" t="s">
        <v>23</v>
      </c>
    </row>
    <row r="423" spans="1:11" x14ac:dyDescent="0.2">
      <c r="A423" t="s">
        <v>462</v>
      </c>
      <c r="B423">
        <v>2022</v>
      </c>
      <c r="C423" t="s">
        <v>33</v>
      </c>
      <c r="D423">
        <v>353</v>
      </c>
      <c r="E423" t="s">
        <v>53</v>
      </c>
      <c r="F423" t="s">
        <v>54</v>
      </c>
      <c r="G423" t="s">
        <v>15</v>
      </c>
      <c r="H423">
        <v>0.46058692577733279</v>
      </c>
      <c r="I423">
        <v>3</v>
      </c>
      <c r="J423" t="s">
        <v>16</v>
      </c>
      <c r="K423" s="59" t="s">
        <v>17</v>
      </c>
    </row>
    <row r="424" spans="1:11" x14ac:dyDescent="0.2">
      <c r="A424" t="s">
        <v>463</v>
      </c>
      <c r="B424">
        <v>2018</v>
      </c>
      <c r="C424" t="s">
        <v>33</v>
      </c>
      <c r="D424">
        <v>111</v>
      </c>
      <c r="E424" t="s">
        <v>13</v>
      </c>
      <c r="F424" t="s">
        <v>14</v>
      </c>
      <c r="G424" t="s">
        <v>15</v>
      </c>
      <c r="H424">
        <v>-1.2047861395311139</v>
      </c>
      <c r="I424">
        <v>4</v>
      </c>
      <c r="J424" t="s">
        <v>23</v>
      </c>
      <c r="K424" s="59" t="s">
        <v>16</v>
      </c>
    </row>
    <row r="425" spans="1:11" x14ac:dyDescent="0.2">
      <c r="A425" t="s">
        <v>464</v>
      </c>
      <c r="B425">
        <v>2018</v>
      </c>
      <c r="C425" t="s">
        <v>33</v>
      </c>
      <c r="D425">
        <v>58</v>
      </c>
      <c r="E425" t="s">
        <v>29</v>
      </c>
      <c r="F425" t="s">
        <v>30</v>
      </c>
      <c r="G425" t="s">
        <v>36</v>
      </c>
      <c r="H425">
        <v>-2.3424840696377309</v>
      </c>
      <c r="I425">
        <v>4</v>
      </c>
      <c r="J425" t="s">
        <v>23</v>
      </c>
      <c r="K425" s="59" t="s">
        <v>4376</v>
      </c>
    </row>
    <row r="426" spans="1:11" x14ac:dyDescent="0.2">
      <c r="A426" t="s">
        <v>465</v>
      </c>
      <c r="B426">
        <v>2018</v>
      </c>
      <c r="C426" t="s">
        <v>33</v>
      </c>
      <c r="D426">
        <v>60</v>
      </c>
      <c r="E426" t="s">
        <v>29</v>
      </c>
      <c r="F426" t="s">
        <v>30</v>
      </c>
      <c r="G426" t="s">
        <v>36</v>
      </c>
      <c r="H426">
        <v>-2.213407068112907</v>
      </c>
      <c r="I426">
        <v>4</v>
      </c>
      <c r="J426" t="s">
        <v>23</v>
      </c>
      <c r="K426" s="59" t="s">
        <v>4376</v>
      </c>
    </row>
    <row r="427" spans="1:11" x14ac:dyDescent="0.2">
      <c r="A427" t="s">
        <v>466</v>
      </c>
      <c r="B427">
        <v>2018</v>
      </c>
      <c r="C427" t="s">
        <v>33</v>
      </c>
      <c r="D427">
        <v>131</v>
      </c>
      <c r="E427" t="s">
        <v>13</v>
      </c>
      <c r="F427" t="s">
        <v>14</v>
      </c>
      <c r="G427" t="s">
        <v>15</v>
      </c>
      <c r="H427">
        <v>1.8147876380650361</v>
      </c>
      <c r="I427">
        <v>4</v>
      </c>
      <c r="J427" t="s">
        <v>23</v>
      </c>
      <c r="K427" s="59" t="s">
        <v>17</v>
      </c>
    </row>
    <row r="428" spans="1:11" x14ac:dyDescent="0.2">
      <c r="A428" t="s">
        <v>467</v>
      </c>
      <c r="B428">
        <v>2018</v>
      </c>
      <c r="C428" t="s">
        <v>33</v>
      </c>
      <c r="D428">
        <v>48</v>
      </c>
      <c r="E428" t="s">
        <v>25</v>
      </c>
      <c r="F428" t="s">
        <v>26</v>
      </c>
      <c r="G428" t="s">
        <v>48</v>
      </c>
      <c r="H428">
        <v>0.1382145534174688</v>
      </c>
      <c r="I428">
        <v>2</v>
      </c>
      <c r="J428" t="s">
        <v>23</v>
      </c>
      <c r="K428" s="59" t="s">
        <v>4376</v>
      </c>
    </row>
    <row r="429" spans="1:11" x14ac:dyDescent="0.2">
      <c r="A429" t="s">
        <v>468</v>
      </c>
      <c r="B429">
        <v>2018</v>
      </c>
      <c r="C429" t="s">
        <v>33</v>
      </c>
      <c r="D429">
        <v>52</v>
      </c>
      <c r="E429" t="s">
        <v>38</v>
      </c>
      <c r="F429" t="s">
        <v>39</v>
      </c>
      <c r="G429" t="s">
        <v>15</v>
      </c>
      <c r="H429">
        <v>-0.75255121231373412</v>
      </c>
      <c r="I429">
        <v>3</v>
      </c>
      <c r="J429" t="s">
        <v>23</v>
      </c>
      <c r="K429" s="59" t="s">
        <v>17</v>
      </c>
    </row>
    <row r="430" spans="1:11" x14ac:dyDescent="0.2">
      <c r="A430" t="s">
        <v>469</v>
      </c>
      <c r="B430">
        <v>2018</v>
      </c>
      <c r="C430" t="s">
        <v>19</v>
      </c>
      <c r="D430">
        <v>138</v>
      </c>
      <c r="E430" t="s">
        <v>13</v>
      </c>
      <c r="F430" t="s">
        <v>14</v>
      </c>
      <c r="G430" t="s">
        <v>15</v>
      </c>
      <c r="H430">
        <v>1.4376846116606361</v>
      </c>
      <c r="I430">
        <v>4</v>
      </c>
      <c r="J430" t="s">
        <v>17</v>
      </c>
      <c r="K430" s="59" t="s">
        <v>23</v>
      </c>
    </row>
    <row r="431" spans="1:11" x14ac:dyDescent="0.2">
      <c r="A431" t="s">
        <v>470</v>
      </c>
      <c r="B431">
        <v>2018</v>
      </c>
      <c r="C431" t="s">
        <v>19</v>
      </c>
      <c r="D431">
        <v>67</v>
      </c>
      <c r="E431" t="s">
        <v>20</v>
      </c>
      <c r="F431" t="s">
        <v>21</v>
      </c>
      <c r="G431" t="s">
        <v>15</v>
      </c>
      <c r="H431">
        <v>1.207133472294913</v>
      </c>
      <c r="I431">
        <v>3</v>
      </c>
      <c r="J431" t="s">
        <v>16</v>
      </c>
      <c r="K431" s="59" t="s">
        <v>23</v>
      </c>
    </row>
    <row r="432" spans="1:11" x14ac:dyDescent="0.2">
      <c r="A432" t="s">
        <v>471</v>
      </c>
      <c r="B432">
        <v>2018</v>
      </c>
      <c r="C432" t="s">
        <v>33</v>
      </c>
      <c r="D432">
        <v>56</v>
      </c>
      <c r="E432" t="s">
        <v>20</v>
      </c>
      <c r="F432" t="s">
        <v>21</v>
      </c>
      <c r="G432" t="s">
        <v>15</v>
      </c>
      <c r="H432">
        <v>-0.50313679790899735</v>
      </c>
      <c r="I432">
        <v>3</v>
      </c>
      <c r="J432" t="s">
        <v>16</v>
      </c>
      <c r="K432" s="59" t="s">
        <v>4376</v>
      </c>
    </row>
    <row r="433" spans="1:11" x14ac:dyDescent="0.2">
      <c r="A433" t="s">
        <v>472</v>
      </c>
      <c r="B433">
        <v>2018</v>
      </c>
      <c r="C433" t="s">
        <v>12</v>
      </c>
      <c r="D433">
        <v>98</v>
      </c>
      <c r="E433" t="s">
        <v>20</v>
      </c>
      <c r="F433" t="s">
        <v>21</v>
      </c>
      <c r="G433" t="s">
        <v>41</v>
      </c>
      <c r="H433">
        <v>-1.19248042722588</v>
      </c>
      <c r="I433">
        <v>3</v>
      </c>
      <c r="J433" t="s">
        <v>23</v>
      </c>
      <c r="K433" s="59" t="s">
        <v>17</v>
      </c>
    </row>
    <row r="434" spans="1:11" x14ac:dyDescent="0.2">
      <c r="A434" t="s">
        <v>473</v>
      </c>
      <c r="B434">
        <v>2018</v>
      </c>
      <c r="C434" t="s">
        <v>33</v>
      </c>
      <c r="D434">
        <v>131</v>
      </c>
      <c r="E434" t="s">
        <v>13</v>
      </c>
      <c r="F434" t="s">
        <v>14</v>
      </c>
      <c r="G434" t="s">
        <v>15</v>
      </c>
      <c r="H434">
        <v>0.82783966237065831</v>
      </c>
      <c r="I434">
        <v>4</v>
      </c>
      <c r="J434" t="s">
        <v>23</v>
      </c>
      <c r="K434" s="59" t="s">
        <v>17</v>
      </c>
    </row>
    <row r="435" spans="1:11" x14ac:dyDescent="0.2">
      <c r="A435" t="s">
        <v>474</v>
      </c>
      <c r="B435">
        <v>2022</v>
      </c>
      <c r="C435" t="s">
        <v>33</v>
      </c>
      <c r="D435">
        <v>353</v>
      </c>
      <c r="E435" t="s">
        <v>53</v>
      </c>
      <c r="F435" t="s">
        <v>54</v>
      </c>
      <c r="G435" t="s">
        <v>15</v>
      </c>
      <c r="H435">
        <v>0.46058692577733279</v>
      </c>
      <c r="I435">
        <v>3</v>
      </c>
      <c r="J435" t="s">
        <v>16</v>
      </c>
      <c r="K435" s="59" t="s">
        <v>16</v>
      </c>
    </row>
    <row r="436" spans="1:11" x14ac:dyDescent="0.2">
      <c r="A436" t="s">
        <v>475</v>
      </c>
      <c r="B436">
        <v>2018</v>
      </c>
      <c r="C436" t="s">
        <v>19</v>
      </c>
      <c r="D436">
        <v>51</v>
      </c>
      <c r="E436" t="s">
        <v>13</v>
      </c>
      <c r="F436" t="s">
        <v>14</v>
      </c>
      <c r="G436" t="s">
        <v>15</v>
      </c>
      <c r="H436">
        <v>1.207133472294913</v>
      </c>
      <c r="I436">
        <v>4</v>
      </c>
      <c r="J436" t="s">
        <v>23</v>
      </c>
      <c r="K436" s="59" t="s">
        <v>17</v>
      </c>
    </row>
    <row r="437" spans="1:11" x14ac:dyDescent="0.2">
      <c r="A437" t="s">
        <v>476</v>
      </c>
      <c r="B437">
        <v>2018</v>
      </c>
      <c r="C437" t="s">
        <v>19</v>
      </c>
      <c r="D437">
        <v>51</v>
      </c>
      <c r="E437" t="s">
        <v>13</v>
      </c>
      <c r="F437" t="s">
        <v>14</v>
      </c>
      <c r="G437" t="s">
        <v>15</v>
      </c>
      <c r="H437">
        <v>1.207133472294913</v>
      </c>
      <c r="I437">
        <v>4</v>
      </c>
      <c r="J437" t="s">
        <v>23</v>
      </c>
      <c r="K437" s="59" t="s">
        <v>17</v>
      </c>
    </row>
    <row r="438" spans="1:11" x14ac:dyDescent="0.2">
      <c r="A438" t="s">
        <v>477</v>
      </c>
      <c r="B438">
        <v>2018</v>
      </c>
      <c r="C438" t="s">
        <v>33</v>
      </c>
      <c r="D438">
        <v>181</v>
      </c>
      <c r="E438" t="s">
        <v>20</v>
      </c>
      <c r="F438" t="s">
        <v>21</v>
      </c>
      <c r="G438" t="s">
        <v>36</v>
      </c>
      <c r="H438">
        <v>-0.71817077925042461</v>
      </c>
      <c r="I438">
        <v>3</v>
      </c>
      <c r="J438" t="s">
        <v>16</v>
      </c>
      <c r="K438" s="59" t="s">
        <v>4376</v>
      </c>
    </row>
    <row r="439" spans="1:11" x14ac:dyDescent="0.2">
      <c r="A439" t="s">
        <v>478</v>
      </c>
      <c r="B439">
        <v>2018</v>
      </c>
      <c r="C439" t="s">
        <v>19</v>
      </c>
      <c r="D439">
        <v>39</v>
      </c>
      <c r="E439" t="s">
        <v>20</v>
      </c>
      <c r="F439" t="s">
        <v>21</v>
      </c>
      <c r="G439" t="s">
        <v>15</v>
      </c>
      <c r="H439">
        <v>1.207133472294913</v>
      </c>
      <c r="I439">
        <v>3</v>
      </c>
      <c r="J439" t="s">
        <v>16</v>
      </c>
      <c r="K439" s="59" t="s">
        <v>17</v>
      </c>
    </row>
    <row r="440" spans="1:11" x14ac:dyDescent="0.2">
      <c r="A440" t="s">
        <v>479</v>
      </c>
      <c r="B440">
        <v>2018</v>
      </c>
      <c r="C440" t="s">
        <v>33</v>
      </c>
      <c r="D440">
        <v>54</v>
      </c>
      <c r="E440" t="s">
        <v>38</v>
      </c>
      <c r="F440" t="s">
        <v>39</v>
      </c>
      <c r="G440" t="s">
        <v>15</v>
      </c>
      <c r="H440">
        <v>-0.67416382492938842</v>
      </c>
      <c r="I440">
        <v>3</v>
      </c>
      <c r="J440" t="s">
        <v>23</v>
      </c>
      <c r="K440" s="59" t="s">
        <v>4376</v>
      </c>
    </row>
    <row r="441" spans="1:11" x14ac:dyDescent="0.2">
      <c r="A441" t="s">
        <v>480</v>
      </c>
      <c r="B441">
        <v>2018</v>
      </c>
      <c r="C441" t="s">
        <v>19</v>
      </c>
      <c r="D441">
        <v>140</v>
      </c>
      <c r="E441" t="s">
        <v>38</v>
      </c>
      <c r="F441" t="s">
        <v>39</v>
      </c>
      <c r="G441" t="s">
        <v>15</v>
      </c>
      <c r="H441">
        <v>1.0935285630422369</v>
      </c>
      <c r="I441">
        <v>3</v>
      </c>
      <c r="J441" t="s">
        <v>23</v>
      </c>
      <c r="K441" s="59" t="s">
        <v>23</v>
      </c>
    </row>
    <row r="442" spans="1:11" x14ac:dyDescent="0.2">
      <c r="A442" t="s">
        <v>481</v>
      </c>
      <c r="B442">
        <v>2018</v>
      </c>
      <c r="C442" t="s">
        <v>19</v>
      </c>
      <c r="D442">
        <v>39</v>
      </c>
      <c r="E442" t="s">
        <v>13</v>
      </c>
      <c r="F442" t="s">
        <v>14</v>
      </c>
      <c r="G442" t="s">
        <v>15</v>
      </c>
      <c r="H442">
        <v>-3.056211798423274E-2</v>
      </c>
      <c r="I442">
        <v>4</v>
      </c>
      <c r="J442" t="s">
        <v>23</v>
      </c>
      <c r="K442" s="59" t="s">
        <v>23</v>
      </c>
    </row>
    <row r="443" spans="1:11" x14ac:dyDescent="0.2">
      <c r="A443" t="s">
        <v>482</v>
      </c>
      <c r="B443">
        <v>2018</v>
      </c>
      <c r="C443" t="s">
        <v>33</v>
      </c>
      <c r="D443">
        <v>53</v>
      </c>
      <c r="E443" t="s">
        <v>38</v>
      </c>
      <c r="F443" t="s">
        <v>39</v>
      </c>
      <c r="G443" t="s">
        <v>15</v>
      </c>
      <c r="H443">
        <v>0.24728791248659579</v>
      </c>
      <c r="I443">
        <v>3</v>
      </c>
      <c r="J443" t="s">
        <v>23</v>
      </c>
      <c r="K443" s="59" t="s">
        <v>4376</v>
      </c>
    </row>
    <row r="444" spans="1:11" x14ac:dyDescent="0.2">
      <c r="A444" t="s">
        <v>483</v>
      </c>
      <c r="B444">
        <v>2018</v>
      </c>
      <c r="C444" t="s">
        <v>33</v>
      </c>
      <c r="D444">
        <v>50</v>
      </c>
      <c r="E444" t="s">
        <v>38</v>
      </c>
      <c r="F444" t="s">
        <v>39</v>
      </c>
      <c r="G444" t="s">
        <v>15</v>
      </c>
      <c r="H444">
        <v>0.18468928902083601</v>
      </c>
      <c r="I444">
        <v>3</v>
      </c>
      <c r="J444" t="s">
        <v>23</v>
      </c>
      <c r="K444" s="59" t="s">
        <v>4376</v>
      </c>
    </row>
    <row r="445" spans="1:11" x14ac:dyDescent="0.2">
      <c r="A445" t="s">
        <v>484</v>
      </c>
      <c r="B445">
        <v>2018</v>
      </c>
      <c r="C445" t="s">
        <v>33</v>
      </c>
      <c r="D445">
        <v>157</v>
      </c>
      <c r="E445" t="s">
        <v>13</v>
      </c>
      <c r="F445" t="s">
        <v>14</v>
      </c>
      <c r="G445" t="s">
        <v>15</v>
      </c>
      <c r="H445">
        <v>-0.54698988176037966</v>
      </c>
      <c r="I445">
        <v>4</v>
      </c>
      <c r="J445" t="s">
        <v>23</v>
      </c>
      <c r="K445" s="59" t="s">
        <v>16</v>
      </c>
    </row>
    <row r="446" spans="1:11" x14ac:dyDescent="0.2">
      <c r="A446" t="s">
        <v>485</v>
      </c>
      <c r="B446">
        <v>2018</v>
      </c>
      <c r="C446" t="s">
        <v>12</v>
      </c>
      <c r="D446">
        <v>140</v>
      </c>
      <c r="E446" t="s">
        <v>38</v>
      </c>
      <c r="F446" t="s">
        <v>39</v>
      </c>
      <c r="G446" t="s">
        <v>15</v>
      </c>
      <c r="H446">
        <v>1.0935285630422369</v>
      </c>
      <c r="I446">
        <v>3</v>
      </c>
      <c r="J446" t="s">
        <v>23</v>
      </c>
      <c r="K446" s="59" t="s">
        <v>23</v>
      </c>
    </row>
    <row r="447" spans="1:11" x14ac:dyDescent="0.2">
      <c r="A447" t="s">
        <v>486</v>
      </c>
      <c r="B447">
        <v>2018</v>
      </c>
      <c r="C447" t="s">
        <v>19</v>
      </c>
      <c r="D447">
        <v>68</v>
      </c>
      <c r="E447" t="s">
        <v>25</v>
      </c>
      <c r="F447" t="s">
        <v>26</v>
      </c>
      <c r="G447" t="s">
        <v>15</v>
      </c>
      <c r="H447">
        <v>1.207133472294913</v>
      </c>
      <c r="I447">
        <v>2</v>
      </c>
      <c r="J447" t="s">
        <v>16</v>
      </c>
      <c r="K447" s="59" t="s">
        <v>16</v>
      </c>
    </row>
    <row r="448" spans="1:11" x14ac:dyDescent="0.2">
      <c r="A448" t="s">
        <v>487</v>
      </c>
      <c r="B448">
        <v>2018</v>
      </c>
      <c r="C448" t="s">
        <v>19</v>
      </c>
      <c r="D448">
        <v>91</v>
      </c>
      <c r="E448" t="s">
        <v>20</v>
      </c>
      <c r="F448" t="s">
        <v>21</v>
      </c>
      <c r="G448" t="s">
        <v>22</v>
      </c>
      <c r="H448">
        <v>0.1734536386551867</v>
      </c>
      <c r="I448">
        <v>3</v>
      </c>
      <c r="J448" t="s">
        <v>16</v>
      </c>
      <c r="K448" s="59" t="s">
        <v>4376</v>
      </c>
    </row>
    <row r="449" spans="1:11" x14ac:dyDescent="0.2">
      <c r="A449" t="s">
        <v>488</v>
      </c>
      <c r="B449">
        <v>2018</v>
      </c>
      <c r="C449" t="s">
        <v>12</v>
      </c>
      <c r="D449">
        <v>275</v>
      </c>
      <c r="E449" t="s">
        <v>20</v>
      </c>
      <c r="F449" t="s">
        <v>21</v>
      </c>
      <c r="G449" t="s">
        <v>15</v>
      </c>
      <c r="H449">
        <v>0.5800343732201455</v>
      </c>
      <c r="I449">
        <v>3</v>
      </c>
      <c r="J449" t="s">
        <v>23</v>
      </c>
      <c r="K449" s="59" t="s">
        <v>16</v>
      </c>
    </row>
    <row r="450" spans="1:11" x14ac:dyDescent="0.2">
      <c r="A450" t="s">
        <v>489</v>
      </c>
      <c r="B450">
        <v>2017</v>
      </c>
      <c r="C450" t="s">
        <v>19</v>
      </c>
      <c r="D450">
        <v>123</v>
      </c>
      <c r="E450" t="s">
        <v>38</v>
      </c>
      <c r="F450" t="s">
        <v>39</v>
      </c>
      <c r="G450" t="s">
        <v>15</v>
      </c>
      <c r="H450">
        <v>0.43610998982593668</v>
      </c>
      <c r="I450">
        <v>3</v>
      </c>
      <c r="J450" t="s">
        <v>23</v>
      </c>
      <c r="K450" s="59" t="s">
        <v>23</v>
      </c>
    </row>
    <row r="451" spans="1:11" x14ac:dyDescent="0.2">
      <c r="A451" t="s">
        <v>490</v>
      </c>
      <c r="B451">
        <v>2019</v>
      </c>
      <c r="C451" t="s">
        <v>19</v>
      </c>
      <c r="D451">
        <v>48</v>
      </c>
      <c r="E451" t="s">
        <v>20</v>
      </c>
      <c r="F451" t="s">
        <v>21</v>
      </c>
      <c r="G451" t="s">
        <v>15</v>
      </c>
      <c r="H451">
        <v>1.207133472294913</v>
      </c>
      <c r="I451">
        <v>3</v>
      </c>
      <c r="J451" t="s">
        <v>23</v>
      </c>
      <c r="K451" s="59" t="s">
        <v>17</v>
      </c>
    </row>
    <row r="452" spans="1:11" x14ac:dyDescent="0.2">
      <c r="A452" t="s">
        <v>491</v>
      </c>
      <c r="B452">
        <v>2018</v>
      </c>
      <c r="C452" t="s">
        <v>33</v>
      </c>
      <c r="D452">
        <v>158</v>
      </c>
      <c r="E452" t="s">
        <v>25</v>
      </c>
      <c r="F452" t="s">
        <v>26</v>
      </c>
      <c r="G452" t="s">
        <v>48</v>
      </c>
      <c r="H452">
        <v>0.14784445358753601</v>
      </c>
      <c r="I452">
        <v>2</v>
      </c>
      <c r="J452" t="s">
        <v>17</v>
      </c>
      <c r="K452" s="59" t="s">
        <v>4376</v>
      </c>
    </row>
    <row r="453" spans="1:11" x14ac:dyDescent="0.2">
      <c r="A453" t="s">
        <v>492</v>
      </c>
      <c r="B453">
        <v>2020</v>
      </c>
      <c r="C453" t="s">
        <v>19</v>
      </c>
      <c r="D453">
        <v>194</v>
      </c>
      <c r="E453" t="s">
        <v>20</v>
      </c>
      <c r="F453" t="s">
        <v>21</v>
      </c>
      <c r="G453" t="s">
        <v>15</v>
      </c>
      <c r="H453">
        <v>-0.13665031143673101</v>
      </c>
      <c r="I453">
        <v>3</v>
      </c>
      <c r="J453" t="s">
        <v>23</v>
      </c>
      <c r="K453" s="59" t="s">
        <v>4376</v>
      </c>
    </row>
    <row r="454" spans="1:11" x14ac:dyDescent="0.2">
      <c r="A454" t="s">
        <v>493</v>
      </c>
      <c r="B454">
        <v>2018</v>
      </c>
      <c r="C454" t="s">
        <v>12</v>
      </c>
      <c r="D454">
        <v>65</v>
      </c>
      <c r="E454" t="s">
        <v>38</v>
      </c>
      <c r="F454" t="s">
        <v>39</v>
      </c>
      <c r="G454" t="s">
        <v>15</v>
      </c>
      <c r="H454">
        <v>0.46058692577733279</v>
      </c>
      <c r="I454">
        <v>3</v>
      </c>
      <c r="J454" t="s">
        <v>23</v>
      </c>
      <c r="K454" s="59" t="s">
        <v>4376</v>
      </c>
    </row>
    <row r="455" spans="1:11" x14ac:dyDescent="0.2">
      <c r="A455" t="s">
        <v>494</v>
      </c>
      <c r="B455">
        <v>2018</v>
      </c>
      <c r="C455" t="s">
        <v>12</v>
      </c>
      <c r="D455">
        <v>70</v>
      </c>
      <c r="E455" t="s">
        <v>38</v>
      </c>
      <c r="F455" t="s">
        <v>39</v>
      </c>
      <c r="G455" t="s">
        <v>15</v>
      </c>
      <c r="H455">
        <v>1.207133472294913</v>
      </c>
      <c r="I455">
        <v>3</v>
      </c>
      <c r="J455" t="s">
        <v>23</v>
      </c>
      <c r="K455" s="59" t="s">
        <v>23</v>
      </c>
    </row>
    <row r="456" spans="1:11" x14ac:dyDescent="0.2">
      <c r="A456" t="s">
        <v>495</v>
      </c>
      <c r="B456">
        <v>2019</v>
      </c>
      <c r="C456" t="s">
        <v>33</v>
      </c>
      <c r="D456">
        <v>386</v>
      </c>
      <c r="E456" t="s">
        <v>20</v>
      </c>
      <c r="F456" t="s">
        <v>21</v>
      </c>
      <c r="G456" t="s">
        <v>22</v>
      </c>
      <c r="H456">
        <v>-0.2492442168131527</v>
      </c>
      <c r="I456">
        <v>3</v>
      </c>
      <c r="J456" t="s">
        <v>23</v>
      </c>
      <c r="K456" s="59" t="s">
        <v>4376</v>
      </c>
    </row>
    <row r="457" spans="1:11" x14ac:dyDescent="0.2">
      <c r="A457" t="s">
        <v>496</v>
      </c>
      <c r="B457">
        <v>2018</v>
      </c>
      <c r="C457" t="s">
        <v>12</v>
      </c>
      <c r="D457">
        <v>290</v>
      </c>
      <c r="E457" t="s">
        <v>20</v>
      </c>
      <c r="F457" t="s">
        <v>21</v>
      </c>
      <c r="G457" t="s">
        <v>15</v>
      </c>
      <c r="H457">
        <v>0.39970973958062028</v>
      </c>
      <c r="I457">
        <v>3</v>
      </c>
      <c r="J457" t="s">
        <v>16</v>
      </c>
      <c r="K457" s="59" t="s">
        <v>16</v>
      </c>
    </row>
    <row r="458" spans="1:11" x14ac:dyDescent="0.2">
      <c r="A458" t="s">
        <v>497</v>
      </c>
      <c r="B458">
        <v>2018</v>
      </c>
      <c r="C458" t="s">
        <v>19</v>
      </c>
      <c r="D458">
        <v>164</v>
      </c>
      <c r="E458" t="s">
        <v>38</v>
      </c>
      <c r="F458" t="s">
        <v>39</v>
      </c>
      <c r="G458" t="s">
        <v>15</v>
      </c>
      <c r="H458">
        <v>1.11035891996856</v>
      </c>
      <c r="I458">
        <v>3</v>
      </c>
      <c r="J458" t="s">
        <v>16</v>
      </c>
      <c r="K458" s="59" t="s">
        <v>16</v>
      </c>
    </row>
    <row r="459" spans="1:11" x14ac:dyDescent="0.2">
      <c r="A459" t="s">
        <v>498</v>
      </c>
      <c r="B459">
        <v>2018</v>
      </c>
      <c r="C459" t="s">
        <v>19</v>
      </c>
      <c r="D459">
        <v>356</v>
      </c>
      <c r="E459" t="s">
        <v>25</v>
      </c>
      <c r="F459" t="s">
        <v>26</v>
      </c>
      <c r="G459" t="s">
        <v>15</v>
      </c>
      <c r="H459">
        <v>-0.34690219596617172</v>
      </c>
      <c r="I459">
        <v>2</v>
      </c>
      <c r="J459" t="s">
        <v>23</v>
      </c>
      <c r="K459" s="59" t="s">
        <v>17</v>
      </c>
    </row>
    <row r="460" spans="1:11" x14ac:dyDescent="0.2">
      <c r="A460" t="s">
        <v>499</v>
      </c>
      <c r="B460">
        <v>2018</v>
      </c>
      <c r="C460" t="s">
        <v>12</v>
      </c>
      <c r="D460">
        <v>280</v>
      </c>
      <c r="E460" t="s">
        <v>25</v>
      </c>
      <c r="F460" t="s">
        <v>26</v>
      </c>
      <c r="G460" t="s">
        <v>15</v>
      </c>
      <c r="H460">
        <v>0.39271905791209832</v>
      </c>
      <c r="I460">
        <v>2</v>
      </c>
      <c r="J460" t="s">
        <v>16</v>
      </c>
      <c r="K460" s="59" t="s">
        <v>16</v>
      </c>
    </row>
    <row r="461" spans="1:11" x14ac:dyDescent="0.2">
      <c r="A461" t="s">
        <v>500</v>
      </c>
      <c r="B461">
        <v>2018</v>
      </c>
      <c r="C461" t="s">
        <v>19</v>
      </c>
      <c r="D461">
        <v>71</v>
      </c>
      <c r="E461" t="s">
        <v>20</v>
      </c>
      <c r="F461" t="s">
        <v>21</v>
      </c>
      <c r="G461" t="s">
        <v>15</v>
      </c>
      <c r="H461">
        <v>-0.15612543873718959</v>
      </c>
      <c r="I461">
        <v>3</v>
      </c>
      <c r="J461" t="s">
        <v>23</v>
      </c>
      <c r="K461" s="59" t="s">
        <v>23</v>
      </c>
    </row>
    <row r="462" spans="1:11" x14ac:dyDescent="0.2">
      <c r="A462" t="s">
        <v>501</v>
      </c>
      <c r="B462">
        <v>2018</v>
      </c>
      <c r="C462" t="s">
        <v>33</v>
      </c>
      <c r="D462">
        <v>62</v>
      </c>
      <c r="E462" t="s">
        <v>38</v>
      </c>
      <c r="F462" t="s">
        <v>39</v>
      </c>
      <c r="G462" t="s">
        <v>15</v>
      </c>
      <c r="H462">
        <v>1.207133472294913</v>
      </c>
      <c r="I462">
        <v>3</v>
      </c>
      <c r="J462" t="s">
        <v>23</v>
      </c>
      <c r="K462" s="59" t="s">
        <v>4376</v>
      </c>
    </row>
    <row r="463" spans="1:11" x14ac:dyDescent="0.2">
      <c r="A463" t="s">
        <v>502</v>
      </c>
      <c r="B463">
        <v>2018</v>
      </c>
      <c r="C463" t="s">
        <v>12</v>
      </c>
      <c r="D463">
        <v>105</v>
      </c>
      <c r="E463" t="s">
        <v>38</v>
      </c>
      <c r="F463" t="s">
        <v>39</v>
      </c>
      <c r="G463" t="s">
        <v>15</v>
      </c>
      <c r="H463">
        <v>1.663759029873626</v>
      </c>
      <c r="I463">
        <v>3</v>
      </c>
      <c r="J463" t="s">
        <v>23</v>
      </c>
      <c r="K463" s="59" t="s">
        <v>4376</v>
      </c>
    </row>
    <row r="464" spans="1:11" x14ac:dyDescent="0.2">
      <c r="A464" t="s">
        <v>503</v>
      </c>
      <c r="B464">
        <v>2019</v>
      </c>
      <c r="C464" t="s">
        <v>19</v>
      </c>
      <c r="D464">
        <v>208</v>
      </c>
      <c r="E464" t="s">
        <v>25</v>
      </c>
      <c r="F464" t="s">
        <v>26</v>
      </c>
      <c r="G464" t="s">
        <v>15</v>
      </c>
      <c r="H464">
        <v>0.98101600868622274</v>
      </c>
      <c r="I464">
        <v>2</v>
      </c>
      <c r="J464" t="s">
        <v>23</v>
      </c>
      <c r="K464" s="59" t="s">
        <v>17</v>
      </c>
    </row>
    <row r="465" spans="1:11" x14ac:dyDescent="0.2">
      <c r="A465" t="s">
        <v>504</v>
      </c>
      <c r="B465">
        <v>2017</v>
      </c>
      <c r="C465" t="s">
        <v>33</v>
      </c>
      <c r="D465">
        <v>284</v>
      </c>
      <c r="E465" t="s">
        <v>25</v>
      </c>
      <c r="F465" t="s">
        <v>26</v>
      </c>
      <c r="G465" t="s">
        <v>22</v>
      </c>
      <c r="H465">
        <v>0.32966271799253338</v>
      </c>
      <c r="I465">
        <v>2</v>
      </c>
      <c r="J465" t="s">
        <v>23</v>
      </c>
      <c r="K465" s="59" t="s">
        <v>4376</v>
      </c>
    </row>
    <row r="466" spans="1:11" x14ac:dyDescent="0.2">
      <c r="A466" t="s">
        <v>505</v>
      </c>
      <c r="B466">
        <v>2018</v>
      </c>
      <c r="C466" t="s">
        <v>33</v>
      </c>
      <c r="D466">
        <v>97</v>
      </c>
      <c r="E466" t="s">
        <v>38</v>
      </c>
      <c r="F466" t="s">
        <v>39</v>
      </c>
      <c r="G466" t="s">
        <v>15</v>
      </c>
      <c r="H466">
        <v>1.207133472294913</v>
      </c>
      <c r="I466">
        <v>3</v>
      </c>
      <c r="J466" t="s">
        <v>23</v>
      </c>
      <c r="K466" s="59" t="s">
        <v>4376</v>
      </c>
    </row>
    <row r="467" spans="1:11" x14ac:dyDescent="0.2">
      <c r="A467" t="s">
        <v>506</v>
      </c>
      <c r="B467">
        <v>2019</v>
      </c>
      <c r="C467" t="s">
        <v>33</v>
      </c>
      <c r="D467">
        <v>73</v>
      </c>
      <c r="E467" t="s">
        <v>25</v>
      </c>
      <c r="F467" t="s">
        <v>26</v>
      </c>
      <c r="G467" t="s">
        <v>15</v>
      </c>
      <c r="H467">
        <v>-1.5847460783804199</v>
      </c>
      <c r="I467">
        <v>2</v>
      </c>
      <c r="J467" t="s">
        <v>16</v>
      </c>
      <c r="K467" s="59" t="s">
        <v>4376</v>
      </c>
    </row>
    <row r="468" spans="1:11" x14ac:dyDescent="0.2">
      <c r="A468" t="s">
        <v>507</v>
      </c>
      <c r="B468">
        <v>2021</v>
      </c>
      <c r="C468" t="s">
        <v>33</v>
      </c>
      <c r="D468">
        <v>367</v>
      </c>
      <c r="E468" t="s">
        <v>38</v>
      </c>
      <c r="F468" t="s">
        <v>39</v>
      </c>
      <c r="G468" t="s">
        <v>15</v>
      </c>
      <c r="H468">
        <v>0.69029355547504967</v>
      </c>
      <c r="I468">
        <v>3</v>
      </c>
      <c r="J468" t="s">
        <v>23</v>
      </c>
      <c r="K468" s="59" t="s">
        <v>16</v>
      </c>
    </row>
    <row r="469" spans="1:11" x14ac:dyDescent="0.2">
      <c r="A469" t="s">
        <v>508</v>
      </c>
      <c r="B469">
        <v>2018</v>
      </c>
      <c r="C469" t="s">
        <v>33</v>
      </c>
      <c r="D469">
        <v>96</v>
      </c>
      <c r="E469" t="s">
        <v>38</v>
      </c>
      <c r="F469" t="s">
        <v>39</v>
      </c>
      <c r="G469" t="s">
        <v>15</v>
      </c>
      <c r="H469">
        <v>1.207133472294913</v>
      </c>
      <c r="I469">
        <v>3</v>
      </c>
      <c r="J469" t="s">
        <v>23</v>
      </c>
      <c r="K469" s="59" t="s">
        <v>4376</v>
      </c>
    </row>
    <row r="470" spans="1:11" x14ac:dyDescent="0.2">
      <c r="A470" t="s">
        <v>509</v>
      </c>
      <c r="B470">
        <v>2018</v>
      </c>
      <c r="C470" t="s">
        <v>33</v>
      </c>
      <c r="D470">
        <v>96</v>
      </c>
      <c r="E470" t="s">
        <v>38</v>
      </c>
      <c r="F470" t="s">
        <v>39</v>
      </c>
      <c r="G470" t="s">
        <v>15</v>
      </c>
      <c r="H470">
        <v>1.207133472294913</v>
      </c>
      <c r="I470">
        <v>3</v>
      </c>
      <c r="J470" t="s">
        <v>23</v>
      </c>
      <c r="K470" s="59" t="s">
        <v>4376</v>
      </c>
    </row>
    <row r="471" spans="1:11" x14ac:dyDescent="0.2">
      <c r="A471" t="s">
        <v>510</v>
      </c>
      <c r="B471">
        <v>2016</v>
      </c>
      <c r="C471" t="s">
        <v>19</v>
      </c>
      <c r="D471">
        <v>78</v>
      </c>
      <c r="E471" t="s">
        <v>29</v>
      </c>
      <c r="F471" t="s">
        <v>30</v>
      </c>
      <c r="G471" t="s">
        <v>15</v>
      </c>
      <c r="H471">
        <v>1.173666381899163E-3</v>
      </c>
      <c r="I471">
        <v>4</v>
      </c>
      <c r="J471" t="s">
        <v>23</v>
      </c>
      <c r="K471" s="59" t="s">
        <v>17</v>
      </c>
    </row>
    <row r="472" spans="1:11" x14ac:dyDescent="0.2">
      <c r="A472" t="s">
        <v>511</v>
      </c>
      <c r="B472">
        <v>2017</v>
      </c>
      <c r="C472" t="s">
        <v>33</v>
      </c>
      <c r="D472">
        <v>74</v>
      </c>
      <c r="E472" t="s">
        <v>13</v>
      </c>
      <c r="F472" t="s">
        <v>14</v>
      </c>
      <c r="G472" t="s">
        <v>15</v>
      </c>
      <c r="H472">
        <v>-0.97029395504802862</v>
      </c>
      <c r="I472">
        <v>4</v>
      </c>
      <c r="J472" t="s">
        <v>16</v>
      </c>
      <c r="K472" s="59" t="s">
        <v>23</v>
      </c>
    </row>
    <row r="473" spans="1:11" x14ac:dyDescent="0.2">
      <c r="A473" t="s">
        <v>512</v>
      </c>
      <c r="B473">
        <v>2018</v>
      </c>
      <c r="C473" t="s">
        <v>12</v>
      </c>
      <c r="D473">
        <v>53</v>
      </c>
      <c r="E473" t="s">
        <v>38</v>
      </c>
      <c r="F473" t="s">
        <v>39</v>
      </c>
      <c r="G473" t="s">
        <v>15</v>
      </c>
      <c r="H473">
        <v>-0.71255764732172089</v>
      </c>
      <c r="I473">
        <v>3</v>
      </c>
      <c r="J473" t="s">
        <v>23</v>
      </c>
      <c r="K473" s="59" t="s">
        <v>17</v>
      </c>
    </row>
    <row r="474" spans="1:11" x14ac:dyDescent="0.2">
      <c r="A474" t="s">
        <v>513</v>
      </c>
      <c r="B474">
        <v>2016</v>
      </c>
      <c r="C474" t="s">
        <v>33</v>
      </c>
      <c r="D474">
        <v>107</v>
      </c>
      <c r="E474" t="s">
        <v>53</v>
      </c>
      <c r="F474" t="s">
        <v>54</v>
      </c>
      <c r="G474" t="s">
        <v>15</v>
      </c>
      <c r="H474">
        <v>-2.895383998287675</v>
      </c>
      <c r="I474">
        <v>3</v>
      </c>
      <c r="J474" t="s">
        <v>17</v>
      </c>
      <c r="K474" s="59" t="s">
        <v>16</v>
      </c>
    </row>
    <row r="475" spans="1:11" x14ac:dyDescent="0.2">
      <c r="A475" t="s">
        <v>514</v>
      </c>
      <c r="B475">
        <v>2016</v>
      </c>
      <c r="C475" t="s">
        <v>33</v>
      </c>
      <c r="D475">
        <v>61</v>
      </c>
      <c r="E475" t="s">
        <v>13</v>
      </c>
      <c r="F475" t="s">
        <v>14</v>
      </c>
      <c r="G475" t="s">
        <v>15</v>
      </c>
      <c r="H475">
        <v>-1.1059369751120149</v>
      </c>
      <c r="I475">
        <v>4</v>
      </c>
      <c r="J475" t="s">
        <v>23</v>
      </c>
      <c r="K475" s="59" t="s">
        <v>4376</v>
      </c>
    </row>
    <row r="476" spans="1:11" x14ac:dyDescent="0.2">
      <c r="A476" t="s">
        <v>515</v>
      </c>
      <c r="B476">
        <v>2018</v>
      </c>
      <c r="C476" t="s">
        <v>33</v>
      </c>
      <c r="D476">
        <v>604</v>
      </c>
      <c r="E476" t="s">
        <v>25</v>
      </c>
      <c r="F476" t="s">
        <v>26</v>
      </c>
      <c r="G476" t="s">
        <v>15</v>
      </c>
      <c r="H476">
        <v>0.8434806442232049</v>
      </c>
      <c r="I476">
        <v>2</v>
      </c>
      <c r="J476" t="s">
        <v>17</v>
      </c>
      <c r="K476" s="59" t="s">
        <v>4376</v>
      </c>
    </row>
    <row r="477" spans="1:11" x14ac:dyDescent="0.2">
      <c r="A477" t="s">
        <v>516</v>
      </c>
      <c r="B477">
        <v>2018</v>
      </c>
      <c r="C477" t="s">
        <v>33</v>
      </c>
      <c r="D477">
        <v>157</v>
      </c>
      <c r="E477" t="s">
        <v>20</v>
      </c>
      <c r="F477" t="s">
        <v>21</v>
      </c>
      <c r="G477" t="s">
        <v>15</v>
      </c>
      <c r="H477">
        <v>0.90172806690135732</v>
      </c>
      <c r="I477">
        <v>3</v>
      </c>
      <c r="J477" t="s">
        <v>23</v>
      </c>
      <c r="K477" s="59" t="s">
        <v>4376</v>
      </c>
    </row>
    <row r="478" spans="1:11" x14ac:dyDescent="0.2">
      <c r="A478" t="s">
        <v>517</v>
      </c>
      <c r="B478">
        <v>2019</v>
      </c>
      <c r="C478" t="s">
        <v>19</v>
      </c>
      <c r="D478">
        <v>69</v>
      </c>
      <c r="E478" t="s">
        <v>20</v>
      </c>
      <c r="F478" t="s">
        <v>21</v>
      </c>
      <c r="G478" t="s">
        <v>15</v>
      </c>
      <c r="H478">
        <v>-1.519384349769292</v>
      </c>
      <c r="I478">
        <v>3</v>
      </c>
      <c r="J478" t="s">
        <v>23</v>
      </c>
      <c r="K478" s="59" t="s">
        <v>23</v>
      </c>
    </row>
    <row r="479" spans="1:11" x14ac:dyDescent="0.2">
      <c r="A479" t="s">
        <v>518</v>
      </c>
      <c r="B479">
        <v>2017</v>
      </c>
      <c r="C479" t="s">
        <v>33</v>
      </c>
      <c r="D479">
        <v>104</v>
      </c>
      <c r="E479" t="s">
        <v>29</v>
      </c>
      <c r="F479" t="s">
        <v>30</v>
      </c>
      <c r="G479" t="s">
        <v>34</v>
      </c>
      <c r="H479">
        <v>0.58624327519118291</v>
      </c>
      <c r="I479">
        <v>4</v>
      </c>
      <c r="J479" t="s">
        <v>23</v>
      </c>
      <c r="K479" s="59" t="s">
        <v>16</v>
      </c>
    </row>
    <row r="480" spans="1:11" x14ac:dyDescent="0.2">
      <c r="A480" t="s">
        <v>519</v>
      </c>
      <c r="B480">
        <v>2017</v>
      </c>
      <c r="C480" t="s">
        <v>33</v>
      </c>
      <c r="D480">
        <v>105</v>
      </c>
      <c r="E480" t="s">
        <v>29</v>
      </c>
      <c r="F480" t="s">
        <v>30</v>
      </c>
      <c r="G480" t="s">
        <v>34</v>
      </c>
      <c r="H480">
        <v>0.13122815525487111</v>
      </c>
      <c r="I480">
        <v>4</v>
      </c>
      <c r="J480" t="s">
        <v>23</v>
      </c>
      <c r="K480" s="59" t="s">
        <v>17</v>
      </c>
    </row>
    <row r="481" spans="1:11" x14ac:dyDescent="0.2">
      <c r="A481" t="s">
        <v>520</v>
      </c>
      <c r="B481">
        <v>2017</v>
      </c>
      <c r="C481" t="s">
        <v>33</v>
      </c>
      <c r="D481">
        <v>151</v>
      </c>
      <c r="E481" t="s">
        <v>29</v>
      </c>
      <c r="F481" t="s">
        <v>30</v>
      </c>
      <c r="G481" t="s">
        <v>15</v>
      </c>
      <c r="H481">
        <v>0.78053544571343836</v>
      </c>
      <c r="I481">
        <v>4</v>
      </c>
      <c r="J481" t="s">
        <v>23</v>
      </c>
      <c r="K481" s="59" t="s">
        <v>23</v>
      </c>
    </row>
    <row r="482" spans="1:11" x14ac:dyDescent="0.2">
      <c r="A482" t="s">
        <v>521</v>
      </c>
      <c r="B482">
        <v>2017</v>
      </c>
      <c r="C482" t="s">
        <v>33</v>
      </c>
      <c r="D482">
        <v>106</v>
      </c>
      <c r="E482" t="s">
        <v>29</v>
      </c>
      <c r="F482" t="s">
        <v>30</v>
      </c>
      <c r="G482" t="s">
        <v>34</v>
      </c>
      <c r="H482">
        <v>0.14167383794458019</v>
      </c>
      <c r="I482">
        <v>4</v>
      </c>
      <c r="J482" t="s">
        <v>23</v>
      </c>
      <c r="K482" s="59" t="s">
        <v>4376</v>
      </c>
    </row>
    <row r="483" spans="1:11" x14ac:dyDescent="0.2">
      <c r="A483" t="s">
        <v>522</v>
      </c>
      <c r="B483">
        <v>2018</v>
      </c>
      <c r="C483" t="s">
        <v>33</v>
      </c>
      <c r="D483">
        <v>191</v>
      </c>
      <c r="E483" t="s">
        <v>20</v>
      </c>
      <c r="F483" t="s">
        <v>21</v>
      </c>
      <c r="G483" t="s">
        <v>15</v>
      </c>
      <c r="H483">
        <v>-0.43081193573619531</v>
      </c>
      <c r="I483">
        <v>3</v>
      </c>
      <c r="J483" t="s">
        <v>23</v>
      </c>
      <c r="K483" s="59" t="s">
        <v>4376</v>
      </c>
    </row>
    <row r="484" spans="1:11" x14ac:dyDescent="0.2">
      <c r="A484" t="s">
        <v>523</v>
      </c>
      <c r="B484">
        <v>2018</v>
      </c>
      <c r="C484" t="s">
        <v>33</v>
      </c>
      <c r="D484">
        <v>211</v>
      </c>
      <c r="E484" t="s">
        <v>25</v>
      </c>
      <c r="F484" t="s">
        <v>26</v>
      </c>
      <c r="G484" t="s">
        <v>15</v>
      </c>
      <c r="H484">
        <v>0.43484394141465782</v>
      </c>
      <c r="I484">
        <v>2</v>
      </c>
      <c r="J484" t="s">
        <v>23</v>
      </c>
      <c r="K484" s="59" t="s">
        <v>23</v>
      </c>
    </row>
    <row r="485" spans="1:11" x14ac:dyDescent="0.2">
      <c r="A485" t="s">
        <v>524</v>
      </c>
      <c r="B485">
        <v>2022</v>
      </c>
      <c r="C485" t="s">
        <v>33</v>
      </c>
      <c r="D485">
        <v>353</v>
      </c>
      <c r="E485" t="s">
        <v>53</v>
      </c>
      <c r="F485" t="s">
        <v>54</v>
      </c>
      <c r="G485" t="s">
        <v>15</v>
      </c>
      <c r="H485">
        <v>0.46058692577733279</v>
      </c>
      <c r="I485">
        <v>3</v>
      </c>
      <c r="J485" t="s">
        <v>16</v>
      </c>
      <c r="K485" s="59" t="s">
        <v>16</v>
      </c>
    </row>
    <row r="486" spans="1:11" x14ac:dyDescent="0.2">
      <c r="A486" t="s">
        <v>525</v>
      </c>
      <c r="B486">
        <v>2018</v>
      </c>
      <c r="C486" t="s">
        <v>19</v>
      </c>
      <c r="D486">
        <v>117</v>
      </c>
      <c r="E486" t="s">
        <v>20</v>
      </c>
      <c r="F486" t="s">
        <v>21</v>
      </c>
      <c r="G486" t="s">
        <v>36</v>
      </c>
      <c r="H486">
        <v>0.40316026835290347</v>
      </c>
      <c r="I486">
        <v>3</v>
      </c>
      <c r="J486" t="s">
        <v>16</v>
      </c>
      <c r="K486" s="59" t="s">
        <v>16</v>
      </c>
    </row>
    <row r="487" spans="1:11" x14ac:dyDescent="0.2">
      <c r="A487" t="s">
        <v>526</v>
      </c>
      <c r="B487">
        <v>2021</v>
      </c>
      <c r="C487" t="s">
        <v>33</v>
      </c>
      <c r="D487">
        <v>302</v>
      </c>
      <c r="E487" t="s">
        <v>38</v>
      </c>
      <c r="F487" t="s">
        <v>39</v>
      </c>
      <c r="G487" t="s">
        <v>15</v>
      </c>
      <c r="H487">
        <v>0.47731986561307171</v>
      </c>
      <c r="I487">
        <v>3</v>
      </c>
      <c r="J487" t="s">
        <v>23</v>
      </c>
      <c r="K487" s="59" t="s">
        <v>23</v>
      </c>
    </row>
    <row r="488" spans="1:11" x14ac:dyDescent="0.2">
      <c r="A488" t="s">
        <v>527</v>
      </c>
      <c r="B488">
        <v>2018</v>
      </c>
      <c r="C488" t="s">
        <v>19</v>
      </c>
      <c r="D488">
        <v>68</v>
      </c>
      <c r="E488" t="s">
        <v>29</v>
      </c>
      <c r="F488" t="s">
        <v>30</v>
      </c>
      <c r="G488" t="s">
        <v>15</v>
      </c>
      <c r="H488">
        <v>0.51548005419774312</v>
      </c>
      <c r="I488">
        <v>4</v>
      </c>
      <c r="J488" t="s">
        <v>16</v>
      </c>
      <c r="K488" s="59" t="s">
        <v>4376</v>
      </c>
    </row>
    <row r="489" spans="1:11" x14ac:dyDescent="0.2">
      <c r="A489" t="s">
        <v>528</v>
      </c>
      <c r="B489">
        <v>2019</v>
      </c>
      <c r="C489" t="s">
        <v>33</v>
      </c>
      <c r="D489">
        <v>86</v>
      </c>
      <c r="E489" t="s">
        <v>13</v>
      </c>
      <c r="F489" t="s">
        <v>14</v>
      </c>
      <c r="G489" t="s">
        <v>15</v>
      </c>
      <c r="H489">
        <v>-0.79812527474649353</v>
      </c>
      <c r="I489">
        <v>4</v>
      </c>
      <c r="J489" t="s">
        <v>17</v>
      </c>
      <c r="K489" s="59" t="s">
        <v>4376</v>
      </c>
    </row>
    <row r="490" spans="1:11" x14ac:dyDescent="0.2">
      <c r="A490" t="s">
        <v>529</v>
      </c>
      <c r="B490">
        <v>2019</v>
      </c>
      <c r="C490" t="s">
        <v>19</v>
      </c>
      <c r="D490">
        <v>45</v>
      </c>
      <c r="E490" t="s">
        <v>20</v>
      </c>
      <c r="F490" t="s">
        <v>21</v>
      </c>
      <c r="G490" t="s">
        <v>22</v>
      </c>
      <c r="H490">
        <v>0.16196830717030089</v>
      </c>
      <c r="I490">
        <v>3</v>
      </c>
      <c r="J490" t="s">
        <v>23</v>
      </c>
      <c r="K490" s="59" t="s">
        <v>23</v>
      </c>
    </row>
    <row r="491" spans="1:11" x14ac:dyDescent="0.2">
      <c r="A491" t="s">
        <v>530</v>
      </c>
      <c r="B491">
        <v>2018</v>
      </c>
      <c r="C491" t="s">
        <v>19</v>
      </c>
      <c r="D491">
        <v>218</v>
      </c>
      <c r="E491" t="s">
        <v>20</v>
      </c>
      <c r="F491" t="s">
        <v>21</v>
      </c>
      <c r="G491" t="s">
        <v>15</v>
      </c>
      <c r="H491">
        <v>0.31972908681175177</v>
      </c>
      <c r="I491">
        <v>3</v>
      </c>
      <c r="J491" t="s">
        <v>23</v>
      </c>
      <c r="K491" s="59" t="s">
        <v>16</v>
      </c>
    </row>
    <row r="492" spans="1:11" x14ac:dyDescent="0.2">
      <c r="A492" t="s">
        <v>531</v>
      </c>
      <c r="B492">
        <v>2018</v>
      </c>
      <c r="C492" t="s">
        <v>19</v>
      </c>
      <c r="D492">
        <v>283</v>
      </c>
      <c r="E492" t="s">
        <v>25</v>
      </c>
      <c r="F492" t="s">
        <v>26</v>
      </c>
      <c r="G492" t="s">
        <v>15</v>
      </c>
      <c r="H492">
        <v>-0.69656022132491557</v>
      </c>
      <c r="I492">
        <v>2</v>
      </c>
      <c r="J492" t="s">
        <v>23</v>
      </c>
      <c r="K492" s="59" t="s">
        <v>16</v>
      </c>
    </row>
    <row r="493" spans="1:11" x14ac:dyDescent="0.2">
      <c r="A493" t="s">
        <v>532</v>
      </c>
      <c r="B493">
        <v>2018</v>
      </c>
      <c r="C493" t="s">
        <v>12</v>
      </c>
      <c r="D493">
        <v>51</v>
      </c>
      <c r="E493" t="s">
        <v>38</v>
      </c>
      <c r="F493" t="s">
        <v>39</v>
      </c>
      <c r="G493" t="s">
        <v>15</v>
      </c>
      <c r="H493">
        <v>0.2064434205798589</v>
      </c>
      <c r="I493">
        <v>3</v>
      </c>
      <c r="J493" t="s">
        <v>23</v>
      </c>
      <c r="K493" s="59" t="s">
        <v>16</v>
      </c>
    </row>
    <row r="494" spans="1:11" x14ac:dyDescent="0.2">
      <c r="A494" t="s">
        <v>533</v>
      </c>
      <c r="B494">
        <v>2022</v>
      </c>
      <c r="C494" t="s">
        <v>19</v>
      </c>
      <c r="D494">
        <v>187</v>
      </c>
      <c r="E494" t="s">
        <v>25</v>
      </c>
      <c r="F494" t="s">
        <v>26</v>
      </c>
      <c r="G494" t="s">
        <v>15</v>
      </c>
      <c r="H494">
        <v>6.8545722578156915E-2</v>
      </c>
      <c r="I494">
        <v>2</v>
      </c>
      <c r="J494" t="s">
        <v>23</v>
      </c>
      <c r="K494" s="59" t="s">
        <v>17</v>
      </c>
    </row>
    <row r="495" spans="1:11" x14ac:dyDescent="0.2">
      <c r="A495" t="s">
        <v>534</v>
      </c>
      <c r="B495">
        <v>2023</v>
      </c>
      <c r="C495" t="s">
        <v>33</v>
      </c>
      <c r="D495">
        <v>385</v>
      </c>
      <c r="E495" t="s">
        <v>29</v>
      </c>
      <c r="F495" t="s">
        <v>30</v>
      </c>
      <c r="G495" t="s">
        <v>15</v>
      </c>
      <c r="H495">
        <v>0.21957583595669691</v>
      </c>
      <c r="I495">
        <v>4</v>
      </c>
      <c r="J495" t="s">
        <v>16</v>
      </c>
      <c r="K495" s="59" t="s">
        <v>4376</v>
      </c>
    </row>
    <row r="496" spans="1:11" x14ac:dyDescent="0.2">
      <c r="A496" t="s">
        <v>535</v>
      </c>
      <c r="B496">
        <v>2017</v>
      </c>
      <c r="C496" t="s">
        <v>19</v>
      </c>
      <c r="D496">
        <v>35</v>
      </c>
      <c r="E496" t="s">
        <v>20</v>
      </c>
      <c r="F496" t="s">
        <v>21</v>
      </c>
      <c r="G496" t="s">
        <v>15</v>
      </c>
      <c r="H496">
        <v>-1.4804340951683741</v>
      </c>
      <c r="I496">
        <v>3</v>
      </c>
      <c r="J496" t="s">
        <v>23</v>
      </c>
      <c r="K496" s="59" t="s">
        <v>17</v>
      </c>
    </row>
    <row r="497" spans="1:11" x14ac:dyDescent="0.2">
      <c r="A497" t="s">
        <v>536</v>
      </c>
      <c r="B497">
        <v>2018</v>
      </c>
      <c r="C497" t="s">
        <v>19</v>
      </c>
      <c r="D497">
        <v>318</v>
      </c>
      <c r="E497" t="s">
        <v>25</v>
      </c>
      <c r="F497" t="s">
        <v>26</v>
      </c>
      <c r="G497" t="s">
        <v>15</v>
      </c>
      <c r="H497">
        <v>0.43862967440916872</v>
      </c>
      <c r="I497">
        <v>2</v>
      </c>
      <c r="J497" t="s">
        <v>23</v>
      </c>
      <c r="K497" s="59" t="s">
        <v>17</v>
      </c>
    </row>
    <row r="498" spans="1:11" x14ac:dyDescent="0.2">
      <c r="A498" t="s">
        <v>537</v>
      </c>
      <c r="B498">
        <v>2018</v>
      </c>
      <c r="C498" t="s">
        <v>19</v>
      </c>
      <c r="D498">
        <v>39</v>
      </c>
      <c r="E498" t="s">
        <v>13</v>
      </c>
      <c r="F498" t="s">
        <v>14</v>
      </c>
      <c r="G498" t="s">
        <v>15</v>
      </c>
      <c r="H498">
        <v>-3.056211798423274E-2</v>
      </c>
      <c r="I498">
        <v>4</v>
      </c>
      <c r="J498" t="s">
        <v>23</v>
      </c>
      <c r="K498" s="59" t="s">
        <v>23</v>
      </c>
    </row>
    <row r="499" spans="1:11" x14ac:dyDescent="0.2">
      <c r="A499" t="s">
        <v>538</v>
      </c>
      <c r="B499">
        <v>2018</v>
      </c>
      <c r="C499" t="s">
        <v>19</v>
      </c>
      <c r="D499">
        <v>52</v>
      </c>
      <c r="E499" t="s">
        <v>20</v>
      </c>
      <c r="F499" t="s">
        <v>21</v>
      </c>
      <c r="G499" t="s">
        <v>48</v>
      </c>
      <c r="H499">
        <v>1.207133472294913</v>
      </c>
      <c r="I499">
        <v>3</v>
      </c>
      <c r="J499" t="s">
        <v>16</v>
      </c>
      <c r="K499" s="59" t="s">
        <v>17</v>
      </c>
    </row>
    <row r="500" spans="1:11" x14ac:dyDescent="0.2">
      <c r="A500" t="s">
        <v>539</v>
      </c>
      <c r="B500">
        <v>2016</v>
      </c>
      <c r="C500" t="s">
        <v>33</v>
      </c>
      <c r="D500">
        <v>111</v>
      </c>
      <c r="E500" t="s">
        <v>25</v>
      </c>
      <c r="F500" t="s">
        <v>26</v>
      </c>
      <c r="G500" t="s">
        <v>15</v>
      </c>
      <c r="H500">
        <v>-9.9322984110851928E-2</v>
      </c>
      <c r="I500">
        <v>2</v>
      </c>
      <c r="J500" t="s">
        <v>23</v>
      </c>
      <c r="K500" s="59" t="s">
        <v>4376</v>
      </c>
    </row>
    <row r="501" spans="1:11" x14ac:dyDescent="0.2">
      <c r="A501" t="s">
        <v>540</v>
      </c>
      <c r="B501">
        <v>2018</v>
      </c>
      <c r="C501" t="s">
        <v>19</v>
      </c>
      <c r="D501">
        <v>142</v>
      </c>
      <c r="E501" t="s">
        <v>20</v>
      </c>
      <c r="F501" t="s">
        <v>21</v>
      </c>
      <c r="G501" t="s">
        <v>34</v>
      </c>
      <c r="H501">
        <v>-0.44893809216309888</v>
      </c>
      <c r="I501">
        <v>3</v>
      </c>
      <c r="J501" t="s">
        <v>16</v>
      </c>
      <c r="K501" s="59" t="s">
        <v>4376</v>
      </c>
    </row>
    <row r="502" spans="1:11" x14ac:dyDescent="0.2">
      <c r="A502" t="s">
        <v>541</v>
      </c>
      <c r="B502">
        <v>2019</v>
      </c>
      <c r="C502" t="s">
        <v>19</v>
      </c>
      <c r="D502">
        <v>38</v>
      </c>
      <c r="E502" t="s">
        <v>20</v>
      </c>
      <c r="F502" t="s">
        <v>21</v>
      </c>
      <c r="G502" t="s">
        <v>15</v>
      </c>
      <c r="H502">
        <v>-6.4013350153939511E-2</v>
      </c>
      <c r="I502">
        <v>3</v>
      </c>
      <c r="J502" t="s">
        <v>23</v>
      </c>
      <c r="K502" s="59" t="s">
        <v>23</v>
      </c>
    </row>
    <row r="503" spans="1:11" x14ac:dyDescent="0.2">
      <c r="A503" t="s">
        <v>542</v>
      </c>
      <c r="B503">
        <v>2018</v>
      </c>
      <c r="C503" t="s">
        <v>19</v>
      </c>
      <c r="D503">
        <v>320</v>
      </c>
      <c r="E503" t="s">
        <v>13</v>
      </c>
      <c r="F503" t="s">
        <v>14</v>
      </c>
      <c r="G503" t="s">
        <v>15</v>
      </c>
      <c r="H503">
        <v>0.44361995881102417</v>
      </c>
      <c r="I503">
        <v>4</v>
      </c>
      <c r="J503" t="s">
        <v>23</v>
      </c>
      <c r="K503" s="59" t="s">
        <v>17</v>
      </c>
    </row>
    <row r="504" spans="1:11" x14ac:dyDescent="0.2">
      <c r="A504" t="s">
        <v>543</v>
      </c>
      <c r="B504">
        <v>2018</v>
      </c>
      <c r="C504" t="s">
        <v>19</v>
      </c>
      <c r="D504">
        <v>60</v>
      </c>
      <c r="E504" t="s">
        <v>20</v>
      </c>
      <c r="F504" t="s">
        <v>21</v>
      </c>
      <c r="G504" t="s">
        <v>15</v>
      </c>
      <c r="H504">
        <v>-1.2047861395311139</v>
      </c>
      <c r="I504">
        <v>3</v>
      </c>
      <c r="J504" t="s">
        <v>23</v>
      </c>
      <c r="K504" s="59" t="s">
        <v>23</v>
      </c>
    </row>
    <row r="505" spans="1:11" x14ac:dyDescent="0.2">
      <c r="A505" t="s">
        <v>544</v>
      </c>
      <c r="B505">
        <v>2019</v>
      </c>
      <c r="C505" t="s">
        <v>19</v>
      </c>
      <c r="D505">
        <v>378</v>
      </c>
      <c r="E505" t="s">
        <v>20</v>
      </c>
      <c r="F505" t="s">
        <v>21</v>
      </c>
      <c r="G505" t="s">
        <v>41</v>
      </c>
      <c r="H505">
        <v>-0.53480846957944006</v>
      </c>
      <c r="I505">
        <v>3</v>
      </c>
      <c r="J505" t="s">
        <v>23</v>
      </c>
      <c r="K505" s="59" t="s">
        <v>23</v>
      </c>
    </row>
    <row r="506" spans="1:11" x14ac:dyDescent="0.2">
      <c r="A506" t="s">
        <v>545</v>
      </c>
      <c r="B506">
        <v>2019</v>
      </c>
      <c r="C506" t="s">
        <v>19</v>
      </c>
      <c r="D506">
        <v>33</v>
      </c>
      <c r="E506" t="s">
        <v>25</v>
      </c>
      <c r="F506" t="s">
        <v>26</v>
      </c>
      <c r="G506" t="s">
        <v>15</v>
      </c>
      <c r="H506">
        <v>-3.068542203214863</v>
      </c>
      <c r="I506">
        <v>2</v>
      </c>
      <c r="J506" t="s">
        <v>23</v>
      </c>
      <c r="K506" s="59" t="s">
        <v>23</v>
      </c>
    </row>
    <row r="507" spans="1:11" x14ac:dyDescent="0.2">
      <c r="A507" t="s">
        <v>546</v>
      </c>
      <c r="B507">
        <v>2019</v>
      </c>
      <c r="C507" t="s">
        <v>33</v>
      </c>
      <c r="D507">
        <v>70</v>
      </c>
      <c r="E507" t="s">
        <v>25</v>
      </c>
      <c r="F507" t="s">
        <v>26</v>
      </c>
      <c r="G507" t="s">
        <v>15</v>
      </c>
      <c r="H507">
        <v>-1.4804340951683741</v>
      </c>
      <c r="I507">
        <v>2</v>
      </c>
      <c r="J507" t="s">
        <v>16</v>
      </c>
      <c r="K507" s="59" t="s">
        <v>23</v>
      </c>
    </row>
    <row r="508" spans="1:11" x14ac:dyDescent="0.2">
      <c r="A508" t="s">
        <v>547</v>
      </c>
      <c r="B508">
        <v>2019</v>
      </c>
      <c r="C508" t="s">
        <v>19</v>
      </c>
      <c r="D508">
        <v>54</v>
      </c>
      <c r="E508" t="s">
        <v>25</v>
      </c>
      <c r="F508" t="s">
        <v>26</v>
      </c>
      <c r="G508" t="s">
        <v>15</v>
      </c>
      <c r="H508">
        <v>-2.2767504114537931</v>
      </c>
      <c r="I508">
        <v>2</v>
      </c>
      <c r="J508" t="s">
        <v>23</v>
      </c>
      <c r="K508" s="59" t="s">
        <v>17</v>
      </c>
    </row>
    <row r="509" spans="1:11" x14ac:dyDescent="0.2">
      <c r="A509" t="s">
        <v>548</v>
      </c>
      <c r="B509">
        <v>2021</v>
      </c>
      <c r="C509" t="s">
        <v>12</v>
      </c>
      <c r="D509">
        <v>293</v>
      </c>
      <c r="E509" t="s">
        <v>29</v>
      </c>
      <c r="F509" t="s">
        <v>30</v>
      </c>
      <c r="G509" t="s">
        <v>15</v>
      </c>
      <c r="H509">
        <v>0.68121170390153774</v>
      </c>
      <c r="I509">
        <v>4</v>
      </c>
      <c r="J509" t="s">
        <v>23</v>
      </c>
      <c r="K509" s="59" t="s">
        <v>16</v>
      </c>
    </row>
    <row r="510" spans="1:11" x14ac:dyDescent="0.2">
      <c r="A510" t="s">
        <v>549</v>
      </c>
      <c r="B510">
        <v>2021</v>
      </c>
      <c r="C510" t="s">
        <v>33</v>
      </c>
      <c r="D510">
        <v>396</v>
      </c>
      <c r="E510" t="s">
        <v>38</v>
      </c>
      <c r="F510" t="s">
        <v>39</v>
      </c>
      <c r="G510" t="s">
        <v>15</v>
      </c>
      <c r="H510">
        <v>0.10695961426900551</v>
      </c>
      <c r="I510">
        <v>3</v>
      </c>
      <c r="J510" t="s">
        <v>17</v>
      </c>
      <c r="K510" s="59" t="s">
        <v>4376</v>
      </c>
    </row>
    <row r="511" spans="1:11" x14ac:dyDescent="0.2">
      <c r="A511" t="s">
        <v>550</v>
      </c>
      <c r="B511">
        <v>2022</v>
      </c>
      <c r="C511" t="s">
        <v>19</v>
      </c>
      <c r="D511">
        <v>161</v>
      </c>
      <c r="E511" t="s">
        <v>25</v>
      </c>
      <c r="F511" t="s">
        <v>26</v>
      </c>
      <c r="G511" t="s">
        <v>15</v>
      </c>
      <c r="H511">
        <v>-0.76625530101729133</v>
      </c>
      <c r="I511">
        <v>2</v>
      </c>
      <c r="J511" t="s">
        <v>23</v>
      </c>
      <c r="K511" s="59" t="s">
        <v>17</v>
      </c>
    </row>
    <row r="512" spans="1:11" x14ac:dyDescent="0.2">
      <c r="A512" t="s">
        <v>551</v>
      </c>
      <c r="B512">
        <v>2023</v>
      </c>
      <c r="C512" t="s">
        <v>33</v>
      </c>
      <c r="D512">
        <v>393</v>
      </c>
      <c r="E512" t="s">
        <v>38</v>
      </c>
      <c r="F512" t="s">
        <v>39</v>
      </c>
      <c r="G512" t="s">
        <v>15</v>
      </c>
      <c r="H512">
        <v>-0.1262602306346822</v>
      </c>
      <c r="I512">
        <v>3</v>
      </c>
      <c r="J512" t="s">
        <v>16</v>
      </c>
      <c r="K512" s="59" t="s">
        <v>16</v>
      </c>
    </row>
    <row r="513" spans="1:11" x14ac:dyDescent="0.2">
      <c r="A513" t="s">
        <v>552</v>
      </c>
      <c r="B513">
        <v>2016</v>
      </c>
      <c r="C513" t="s">
        <v>33</v>
      </c>
      <c r="D513">
        <v>88</v>
      </c>
      <c r="E513" t="s">
        <v>38</v>
      </c>
      <c r="F513" t="s">
        <v>39</v>
      </c>
      <c r="G513" t="s">
        <v>15</v>
      </c>
      <c r="H513">
        <v>0.1382145534174688</v>
      </c>
      <c r="I513">
        <v>3</v>
      </c>
      <c r="J513" t="s">
        <v>23</v>
      </c>
      <c r="K513" s="59" t="s">
        <v>17</v>
      </c>
    </row>
    <row r="514" spans="1:11" x14ac:dyDescent="0.2">
      <c r="A514" t="s">
        <v>553</v>
      </c>
      <c r="B514">
        <v>2019</v>
      </c>
      <c r="C514" t="s">
        <v>33</v>
      </c>
      <c r="D514">
        <v>47</v>
      </c>
      <c r="E514" t="s">
        <v>25</v>
      </c>
      <c r="F514" t="s">
        <v>26</v>
      </c>
      <c r="G514" t="s">
        <v>15</v>
      </c>
      <c r="H514">
        <v>0.18468928902083601</v>
      </c>
      <c r="I514">
        <v>2</v>
      </c>
      <c r="J514" t="s">
        <v>23</v>
      </c>
      <c r="K514" s="59" t="s">
        <v>16</v>
      </c>
    </row>
    <row r="515" spans="1:11" x14ac:dyDescent="0.2">
      <c r="A515" t="s">
        <v>554</v>
      </c>
      <c r="B515">
        <v>2019</v>
      </c>
      <c r="C515" t="s">
        <v>33</v>
      </c>
      <c r="D515">
        <v>40</v>
      </c>
      <c r="E515" t="s">
        <v>20</v>
      </c>
      <c r="F515" t="s">
        <v>21</v>
      </c>
      <c r="G515" t="s">
        <v>15</v>
      </c>
      <c r="H515">
        <v>-1.1444881492354639</v>
      </c>
      <c r="I515">
        <v>3</v>
      </c>
      <c r="J515" t="s">
        <v>16</v>
      </c>
      <c r="K515" s="59" t="s">
        <v>4376</v>
      </c>
    </row>
    <row r="516" spans="1:11" x14ac:dyDescent="0.2">
      <c r="A516" t="s">
        <v>555</v>
      </c>
      <c r="B516">
        <v>2017</v>
      </c>
      <c r="C516" t="s">
        <v>19</v>
      </c>
      <c r="D516">
        <v>123</v>
      </c>
      <c r="E516" t="s">
        <v>38</v>
      </c>
      <c r="F516" t="s">
        <v>39</v>
      </c>
      <c r="G516" t="s">
        <v>15</v>
      </c>
      <c r="H516">
        <v>0.43610998982593668</v>
      </c>
      <c r="I516">
        <v>3</v>
      </c>
      <c r="J516" t="s">
        <v>23</v>
      </c>
      <c r="K516" s="59" t="s">
        <v>17</v>
      </c>
    </row>
    <row r="517" spans="1:11" x14ac:dyDescent="0.2">
      <c r="A517" t="s">
        <v>556</v>
      </c>
      <c r="B517">
        <v>2019</v>
      </c>
      <c r="C517" t="s">
        <v>33</v>
      </c>
      <c r="D517">
        <v>112</v>
      </c>
      <c r="E517" t="s">
        <v>20</v>
      </c>
      <c r="F517" t="s">
        <v>21</v>
      </c>
      <c r="G517" t="s">
        <v>15</v>
      </c>
      <c r="H517">
        <v>-0.50313679790899735</v>
      </c>
      <c r="I517">
        <v>3</v>
      </c>
      <c r="J517" t="s">
        <v>23</v>
      </c>
      <c r="K517" s="59" t="s">
        <v>4376</v>
      </c>
    </row>
    <row r="518" spans="1:11" x14ac:dyDescent="0.2">
      <c r="A518" t="s">
        <v>557</v>
      </c>
      <c r="B518">
        <v>2016</v>
      </c>
      <c r="C518" t="s">
        <v>19</v>
      </c>
      <c r="D518">
        <v>89</v>
      </c>
      <c r="E518" t="s">
        <v>38</v>
      </c>
      <c r="F518" t="s">
        <v>39</v>
      </c>
      <c r="G518" t="s">
        <v>15</v>
      </c>
      <c r="H518">
        <v>0.15022487834867609</v>
      </c>
      <c r="I518">
        <v>3</v>
      </c>
      <c r="J518" t="s">
        <v>23</v>
      </c>
      <c r="K518" s="59" t="s">
        <v>23</v>
      </c>
    </row>
    <row r="519" spans="1:11" x14ac:dyDescent="0.2">
      <c r="A519" t="s">
        <v>558</v>
      </c>
      <c r="B519">
        <v>2019</v>
      </c>
      <c r="C519" t="s">
        <v>33</v>
      </c>
      <c r="D519">
        <v>36</v>
      </c>
      <c r="E519" t="s">
        <v>20</v>
      </c>
      <c r="F519" t="s">
        <v>21</v>
      </c>
      <c r="G519" t="s">
        <v>15</v>
      </c>
      <c r="H519">
        <v>-9.9322984110851928E-2</v>
      </c>
      <c r="I519">
        <v>3</v>
      </c>
      <c r="J519" t="s">
        <v>16</v>
      </c>
      <c r="K519" s="59" t="s">
        <v>4376</v>
      </c>
    </row>
    <row r="520" spans="1:11" x14ac:dyDescent="0.2">
      <c r="A520" t="s">
        <v>559</v>
      </c>
      <c r="B520">
        <v>2019</v>
      </c>
      <c r="C520" t="s">
        <v>12</v>
      </c>
      <c r="D520">
        <v>86</v>
      </c>
      <c r="E520" t="s">
        <v>25</v>
      </c>
      <c r="F520" t="s">
        <v>26</v>
      </c>
      <c r="G520" t="s">
        <v>15</v>
      </c>
      <c r="H520">
        <v>0.11335597390869109</v>
      </c>
      <c r="I520">
        <v>2</v>
      </c>
      <c r="J520" t="s">
        <v>23</v>
      </c>
      <c r="K520" s="59" t="s">
        <v>17</v>
      </c>
    </row>
    <row r="521" spans="1:11" x14ac:dyDescent="0.2">
      <c r="A521" t="s">
        <v>560</v>
      </c>
      <c r="B521">
        <v>2018</v>
      </c>
      <c r="C521" t="s">
        <v>33</v>
      </c>
      <c r="D521">
        <v>137</v>
      </c>
      <c r="E521" t="s">
        <v>13</v>
      </c>
      <c r="F521" t="s">
        <v>14</v>
      </c>
      <c r="G521" t="s">
        <v>15</v>
      </c>
      <c r="H521">
        <v>1.7877807862530299</v>
      </c>
      <c r="I521">
        <v>4</v>
      </c>
      <c r="J521" t="s">
        <v>23</v>
      </c>
      <c r="K521" s="59" t="s">
        <v>4376</v>
      </c>
    </row>
    <row r="522" spans="1:11" x14ac:dyDescent="0.2">
      <c r="A522" t="s">
        <v>561</v>
      </c>
      <c r="B522">
        <v>2018</v>
      </c>
      <c r="C522" t="s">
        <v>33</v>
      </c>
      <c r="D522">
        <v>133</v>
      </c>
      <c r="E522" t="s">
        <v>13</v>
      </c>
      <c r="F522" t="s">
        <v>14</v>
      </c>
      <c r="G522" t="s">
        <v>15</v>
      </c>
      <c r="H522">
        <v>1.087458071708125</v>
      </c>
      <c r="I522">
        <v>4</v>
      </c>
      <c r="J522" t="s">
        <v>16</v>
      </c>
      <c r="K522" s="59" t="s">
        <v>16</v>
      </c>
    </row>
    <row r="523" spans="1:11" x14ac:dyDescent="0.2">
      <c r="A523" t="s">
        <v>562</v>
      </c>
      <c r="B523">
        <v>2018</v>
      </c>
      <c r="C523" t="s">
        <v>33</v>
      </c>
      <c r="D523">
        <v>320</v>
      </c>
      <c r="E523" t="s">
        <v>13</v>
      </c>
      <c r="F523" t="s">
        <v>14</v>
      </c>
      <c r="G523" t="s">
        <v>15</v>
      </c>
      <c r="H523">
        <v>0.44361995881102417</v>
      </c>
      <c r="I523">
        <v>4</v>
      </c>
      <c r="J523" t="s">
        <v>23</v>
      </c>
      <c r="K523" s="59" t="s">
        <v>4376</v>
      </c>
    </row>
    <row r="524" spans="1:11" x14ac:dyDescent="0.2">
      <c r="A524" t="s">
        <v>563</v>
      </c>
      <c r="B524">
        <v>2018</v>
      </c>
      <c r="C524" t="s">
        <v>33</v>
      </c>
      <c r="D524">
        <v>320</v>
      </c>
      <c r="E524" t="s">
        <v>13</v>
      </c>
      <c r="F524" t="s">
        <v>14</v>
      </c>
      <c r="G524" t="s">
        <v>15</v>
      </c>
      <c r="H524">
        <v>0.44361995881102417</v>
      </c>
      <c r="I524">
        <v>4</v>
      </c>
      <c r="J524" t="s">
        <v>23</v>
      </c>
      <c r="K524" s="59" t="s">
        <v>4376</v>
      </c>
    </row>
    <row r="525" spans="1:11" x14ac:dyDescent="0.2">
      <c r="A525" t="s">
        <v>564</v>
      </c>
      <c r="B525">
        <v>2018</v>
      </c>
      <c r="C525" t="s">
        <v>33</v>
      </c>
      <c r="D525">
        <v>74</v>
      </c>
      <c r="E525" t="s">
        <v>20</v>
      </c>
      <c r="F525" t="s">
        <v>21</v>
      </c>
      <c r="G525" t="s">
        <v>41</v>
      </c>
      <c r="H525">
        <v>1.207133472294913</v>
      </c>
      <c r="I525">
        <v>3</v>
      </c>
      <c r="J525" t="s">
        <v>17</v>
      </c>
      <c r="K525" s="59" t="s">
        <v>4376</v>
      </c>
    </row>
    <row r="526" spans="1:11" x14ac:dyDescent="0.2">
      <c r="A526" t="s">
        <v>565</v>
      </c>
      <c r="B526">
        <v>2018</v>
      </c>
      <c r="C526" t="s">
        <v>19</v>
      </c>
      <c r="D526">
        <v>320</v>
      </c>
      <c r="E526" t="s">
        <v>13</v>
      </c>
      <c r="F526" t="s">
        <v>14</v>
      </c>
      <c r="G526" t="s">
        <v>15</v>
      </c>
      <c r="H526">
        <v>0.44361995881102417</v>
      </c>
      <c r="I526">
        <v>4</v>
      </c>
      <c r="J526" t="s">
        <v>23</v>
      </c>
      <c r="K526" s="59" t="s">
        <v>23</v>
      </c>
    </row>
    <row r="527" spans="1:11" x14ac:dyDescent="0.2">
      <c r="A527" t="s">
        <v>566</v>
      </c>
      <c r="B527">
        <v>2018</v>
      </c>
      <c r="C527" t="s">
        <v>33</v>
      </c>
      <c r="D527">
        <v>77</v>
      </c>
      <c r="E527" t="s">
        <v>29</v>
      </c>
      <c r="F527" t="s">
        <v>30</v>
      </c>
      <c r="G527" t="s">
        <v>15</v>
      </c>
      <c r="H527">
        <v>-2.457731392427752</v>
      </c>
      <c r="I527">
        <v>4</v>
      </c>
      <c r="J527" t="s">
        <v>23</v>
      </c>
      <c r="K527" s="59" t="s">
        <v>4376</v>
      </c>
    </row>
    <row r="528" spans="1:11" x14ac:dyDescent="0.2">
      <c r="A528" t="s">
        <v>567</v>
      </c>
      <c r="B528">
        <v>2018</v>
      </c>
      <c r="C528" t="s">
        <v>33</v>
      </c>
      <c r="D528">
        <v>148</v>
      </c>
      <c r="E528" t="s">
        <v>38</v>
      </c>
      <c r="F528" t="s">
        <v>39</v>
      </c>
      <c r="G528" t="s">
        <v>15</v>
      </c>
      <c r="H528">
        <v>1.421893437731476</v>
      </c>
      <c r="I528">
        <v>3</v>
      </c>
      <c r="J528" t="s">
        <v>17</v>
      </c>
      <c r="K528" s="59" t="s">
        <v>4376</v>
      </c>
    </row>
    <row r="529" spans="1:11" x14ac:dyDescent="0.2">
      <c r="A529" t="s">
        <v>568</v>
      </c>
      <c r="B529">
        <v>2018</v>
      </c>
      <c r="C529" t="s">
        <v>33</v>
      </c>
      <c r="D529">
        <v>138</v>
      </c>
      <c r="E529" t="s">
        <v>13</v>
      </c>
      <c r="F529" t="s">
        <v>14</v>
      </c>
      <c r="G529" t="s">
        <v>15</v>
      </c>
      <c r="H529">
        <v>1.783511320709221</v>
      </c>
      <c r="I529">
        <v>4</v>
      </c>
      <c r="J529" t="s">
        <v>17</v>
      </c>
      <c r="K529" s="59" t="s">
        <v>4376</v>
      </c>
    </row>
    <row r="530" spans="1:11" x14ac:dyDescent="0.2">
      <c r="A530" t="s">
        <v>569</v>
      </c>
      <c r="B530">
        <v>2018</v>
      </c>
      <c r="C530" t="s">
        <v>33</v>
      </c>
      <c r="D530">
        <v>83</v>
      </c>
      <c r="E530" t="s">
        <v>25</v>
      </c>
      <c r="F530" t="s">
        <v>26</v>
      </c>
      <c r="G530" t="s">
        <v>41</v>
      </c>
      <c r="H530">
        <v>3.1322661529724391E-2</v>
      </c>
      <c r="I530">
        <v>2</v>
      </c>
      <c r="J530" t="s">
        <v>17</v>
      </c>
      <c r="K530" s="59" t="s">
        <v>17</v>
      </c>
    </row>
    <row r="531" spans="1:11" x14ac:dyDescent="0.2">
      <c r="A531" t="s">
        <v>570</v>
      </c>
      <c r="B531">
        <v>2018</v>
      </c>
      <c r="C531" t="s">
        <v>19</v>
      </c>
      <c r="D531">
        <v>78</v>
      </c>
      <c r="E531" t="s">
        <v>20</v>
      </c>
      <c r="F531" t="s">
        <v>21</v>
      </c>
      <c r="G531" t="s">
        <v>15</v>
      </c>
      <c r="H531">
        <v>-0.60180623657460774</v>
      </c>
      <c r="I531">
        <v>3</v>
      </c>
      <c r="J531" t="s">
        <v>23</v>
      </c>
      <c r="K531" s="59" t="s">
        <v>17</v>
      </c>
    </row>
    <row r="532" spans="1:11" x14ac:dyDescent="0.2">
      <c r="A532" t="s">
        <v>571</v>
      </c>
      <c r="B532">
        <v>2024</v>
      </c>
      <c r="C532" t="s">
        <v>19</v>
      </c>
      <c r="D532">
        <v>70</v>
      </c>
      <c r="E532" t="s">
        <v>25</v>
      </c>
      <c r="F532" t="s">
        <v>26</v>
      </c>
      <c r="G532" t="s">
        <v>15</v>
      </c>
      <c r="H532">
        <v>1.207133472294913</v>
      </c>
      <c r="I532">
        <v>2</v>
      </c>
      <c r="J532" t="s">
        <v>16</v>
      </c>
      <c r="K532" s="59" t="s">
        <v>16</v>
      </c>
    </row>
    <row r="533" spans="1:11" x14ac:dyDescent="0.2">
      <c r="A533" t="s">
        <v>572</v>
      </c>
      <c r="B533">
        <v>2018</v>
      </c>
      <c r="C533" t="s">
        <v>19</v>
      </c>
      <c r="D533">
        <v>127</v>
      </c>
      <c r="E533" t="s">
        <v>13</v>
      </c>
      <c r="F533" t="s">
        <v>14</v>
      </c>
      <c r="G533" t="s">
        <v>15</v>
      </c>
      <c r="H533">
        <v>1.4579731119248189</v>
      </c>
      <c r="I533">
        <v>4</v>
      </c>
      <c r="J533" t="s">
        <v>23</v>
      </c>
      <c r="K533" s="59" t="s">
        <v>16</v>
      </c>
    </row>
    <row r="534" spans="1:11" x14ac:dyDescent="0.2">
      <c r="A534" t="s">
        <v>573</v>
      </c>
      <c r="B534">
        <v>2018</v>
      </c>
      <c r="C534" t="s">
        <v>19</v>
      </c>
      <c r="D534">
        <v>135</v>
      </c>
      <c r="E534" t="s">
        <v>13</v>
      </c>
      <c r="F534" t="s">
        <v>14</v>
      </c>
      <c r="G534" t="s">
        <v>15</v>
      </c>
      <c r="H534">
        <v>1.796512324808792</v>
      </c>
      <c r="I534">
        <v>4</v>
      </c>
      <c r="J534" t="s">
        <v>17</v>
      </c>
      <c r="K534" s="59" t="s">
        <v>23</v>
      </c>
    </row>
    <row r="535" spans="1:11" x14ac:dyDescent="0.2">
      <c r="A535" t="s">
        <v>574</v>
      </c>
      <c r="B535">
        <v>2018</v>
      </c>
      <c r="C535" t="s">
        <v>19</v>
      </c>
      <c r="D535">
        <v>128</v>
      </c>
      <c r="E535" t="s">
        <v>20</v>
      </c>
      <c r="F535" t="s">
        <v>21</v>
      </c>
      <c r="G535" t="s">
        <v>15</v>
      </c>
      <c r="H535">
        <v>-1.426682743819109</v>
      </c>
      <c r="I535">
        <v>3</v>
      </c>
      <c r="J535" t="s">
        <v>16</v>
      </c>
      <c r="K535" s="59" t="s">
        <v>17</v>
      </c>
    </row>
    <row r="536" spans="1:11" x14ac:dyDescent="0.2">
      <c r="A536" t="s">
        <v>575</v>
      </c>
      <c r="B536">
        <v>2019</v>
      </c>
      <c r="C536" t="s">
        <v>19</v>
      </c>
      <c r="D536">
        <v>59</v>
      </c>
      <c r="E536" t="s">
        <v>20</v>
      </c>
      <c r="F536" t="s">
        <v>21</v>
      </c>
      <c r="G536" t="s">
        <v>36</v>
      </c>
      <c r="H536">
        <v>-3.832055716698751</v>
      </c>
      <c r="I536">
        <v>3</v>
      </c>
      <c r="J536" t="s">
        <v>23</v>
      </c>
      <c r="K536" s="59" t="s">
        <v>16</v>
      </c>
    </row>
    <row r="537" spans="1:11" x14ac:dyDescent="0.2">
      <c r="A537" t="s">
        <v>576</v>
      </c>
      <c r="B537">
        <v>2021</v>
      </c>
      <c r="C537" t="s">
        <v>33</v>
      </c>
      <c r="D537">
        <v>440</v>
      </c>
      <c r="E537" t="s">
        <v>38</v>
      </c>
      <c r="F537" t="s">
        <v>39</v>
      </c>
      <c r="G537" t="s">
        <v>15</v>
      </c>
      <c r="H537">
        <v>0.51117068710679503</v>
      </c>
      <c r="I537">
        <v>3</v>
      </c>
      <c r="J537" t="s">
        <v>23</v>
      </c>
      <c r="K537" s="59" t="s">
        <v>16</v>
      </c>
    </row>
    <row r="538" spans="1:11" x14ac:dyDescent="0.2">
      <c r="A538" t="s">
        <v>577</v>
      </c>
      <c r="B538">
        <v>2019</v>
      </c>
      <c r="C538" t="s">
        <v>33</v>
      </c>
      <c r="D538">
        <v>83</v>
      </c>
      <c r="E538" t="s">
        <v>20</v>
      </c>
      <c r="F538" t="s">
        <v>21</v>
      </c>
      <c r="G538" t="s">
        <v>15</v>
      </c>
      <c r="H538">
        <v>-0.49283396495596171</v>
      </c>
      <c r="I538">
        <v>3</v>
      </c>
      <c r="J538" t="s">
        <v>23</v>
      </c>
      <c r="K538" s="59" t="s">
        <v>4376</v>
      </c>
    </row>
    <row r="539" spans="1:11" x14ac:dyDescent="0.2">
      <c r="A539" t="s">
        <v>578</v>
      </c>
      <c r="B539">
        <v>2019</v>
      </c>
      <c r="C539" t="s">
        <v>19</v>
      </c>
      <c r="D539">
        <v>120</v>
      </c>
      <c r="E539" t="s">
        <v>20</v>
      </c>
      <c r="F539" t="s">
        <v>21</v>
      </c>
      <c r="G539" t="s">
        <v>15</v>
      </c>
      <c r="H539">
        <v>1.207133472294913</v>
      </c>
      <c r="I539">
        <v>3</v>
      </c>
      <c r="J539" t="s">
        <v>17</v>
      </c>
      <c r="K539" s="59" t="s">
        <v>17</v>
      </c>
    </row>
    <row r="540" spans="1:11" x14ac:dyDescent="0.2">
      <c r="A540" t="s">
        <v>579</v>
      </c>
      <c r="B540">
        <v>2018</v>
      </c>
      <c r="C540" t="s">
        <v>33</v>
      </c>
      <c r="D540">
        <v>113</v>
      </c>
      <c r="E540" t="s">
        <v>20</v>
      </c>
      <c r="F540" t="s">
        <v>21</v>
      </c>
      <c r="G540" t="s">
        <v>44</v>
      </c>
      <c r="H540">
        <v>0.73680914798883734</v>
      </c>
      <c r="I540">
        <v>3</v>
      </c>
      <c r="J540" t="s">
        <v>17</v>
      </c>
      <c r="K540" s="59" t="s">
        <v>4376</v>
      </c>
    </row>
    <row r="541" spans="1:11" x14ac:dyDescent="0.2">
      <c r="A541" t="s">
        <v>580</v>
      </c>
      <c r="B541">
        <v>2018</v>
      </c>
      <c r="C541" t="s">
        <v>33</v>
      </c>
      <c r="D541">
        <v>136</v>
      </c>
      <c r="E541" t="s">
        <v>13</v>
      </c>
      <c r="F541" t="s">
        <v>14</v>
      </c>
      <c r="G541" t="s">
        <v>15</v>
      </c>
      <c r="H541">
        <v>1.792113975163165</v>
      </c>
      <c r="I541">
        <v>4</v>
      </c>
      <c r="J541" t="s">
        <v>17</v>
      </c>
      <c r="K541" s="59" t="s">
        <v>4376</v>
      </c>
    </row>
    <row r="542" spans="1:11" x14ac:dyDescent="0.2">
      <c r="A542" t="s">
        <v>581</v>
      </c>
      <c r="B542">
        <v>2019</v>
      </c>
      <c r="C542" t="s">
        <v>19</v>
      </c>
      <c r="D542">
        <v>36</v>
      </c>
      <c r="E542" t="s">
        <v>25</v>
      </c>
      <c r="F542" t="s">
        <v>26</v>
      </c>
      <c r="G542" t="s">
        <v>15</v>
      </c>
      <c r="H542">
        <v>-2.0590076687194991</v>
      </c>
      <c r="I542">
        <v>2</v>
      </c>
      <c r="J542" t="s">
        <v>23</v>
      </c>
      <c r="K542" s="59" t="s">
        <v>17</v>
      </c>
    </row>
    <row r="543" spans="1:11" x14ac:dyDescent="0.2">
      <c r="A543" t="s">
        <v>582</v>
      </c>
      <c r="B543">
        <v>2018</v>
      </c>
      <c r="C543" t="s">
        <v>33</v>
      </c>
      <c r="D543">
        <v>96</v>
      </c>
      <c r="E543" t="s">
        <v>20</v>
      </c>
      <c r="F543" t="s">
        <v>21</v>
      </c>
      <c r="G543" t="s">
        <v>15</v>
      </c>
      <c r="H543">
        <v>-1.763335944375036</v>
      </c>
      <c r="I543">
        <v>3</v>
      </c>
      <c r="J543" t="s">
        <v>23</v>
      </c>
      <c r="K543" s="59" t="s">
        <v>17</v>
      </c>
    </row>
    <row r="544" spans="1:11" x14ac:dyDescent="0.2">
      <c r="A544" t="s">
        <v>583</v>
      </c>
      <c r="B544">
        <v>2018</v>
      </c>
      <c r="C544" t="s">
        <v>19</v>
      </c>
      <c r="D544">
        <v>65</v>
      </c>
      <c r="E544" t="s">
        <v>20</v>
      </c>
      <c r="F544" t="s">
        <v>21</v>
      </c>
      <c r="G544" t="s">
        <v>15</v>
      </c>
      <c r="H544">
        <v>0.48355758874710453</v>
      </c>
      <c r="I544">
        <v>3</v>
      </c>
      <c r="J544" t="s">
        <v>23</v>
      </c>
      <c r="K544" s="59" t="s">
        <v>4376</v>
      </c>
    </row>
    <row r="545" spans="1:11" x14ac:dyDescent="0.2">
      <c r="A545" t="s">
        <v>584</v>
      </c>
      <c r="B545">
        <v>2018</v>
      </c>
      <c r="C545" t="s">
        <v>19</v>
      </c>
      <c r="D545">
        <v>136</v>
      </c>
      <c r="E545" t="s">
        <v>13</v>
      </c>
      <c r="F545" t="s">
        <v>14</v>
      </c>
      <c r="G545" t="s">
        <v>15</v>
      </c>
      <c r="H545">
        <v>1.792113975163165</v>
      </c>
      <c r="I545">
        <v>4</v>
      </c>
      <c r="J545" t="s">
        <v>17</v>
      </c>
      <c r="K545" s="59" t="s">
        <v>23</v>
      </c>
    </row>
    <row r="546" spans="1:11" x14ac:dyDescent="0.2">
      <c r="A546" t="s">
        <v>585</v>
      </c>
      <c r="B546">
        <v>2018</v>
      </c>
      <c r="C546" t="s">
        <v>19</v>
      </c>
      <c r="D546">
        <v>23</v>
      </c>
      <c r="E546" t="s">
        <v>13</v>
      </c>
      <c r="F546" t="s">
        <v>14</v>
      </c>
      <c r="G546" t="s">
        <v>15</v>
      </c>
      <c r="H546">
        <v>3.446773111847651</v>
      </c>
      <c r="I546">
        <v>4</v>
      </c>
      <c r="J546" t="s">
        <v>17</v>
      </c>
      <c r="K546" s="59" t="s">
        <v>23</v>
      </c>
    </row>
    <row r="547" spans="1:11" x14ac:dyDescent="0.2">
      <c r="A547" t="s">
        <v>586</v>
      </c>
      <c r="B547">
        <v>2018</v>
      </c>
      <c r="C547" t="s">
        <v>33</v>
      </c>
      <c r="D547">
        <v>55</v>
      </c>
      <c r="E547" t="s">
        <v>29</v>
      </c>
      <c r="F547" t="s">
        <v>30</v>
      </c>
      <c r="G547" t="s">
        <v>36</v>
      </c>
      <c r="H547">
        <v>-0.67416382492938842</v>
      </c>
      <c r="I547">
        <v>4</v>
      </c>
      <c r="J547" t="s">
        <v>23</v>
      </c>
      <c r="K547" s="59" t="s">
        <v>4376</v>
      </c>
    </row>
    <row r="548" spans="1:11" x14ac:dyDescent="0.2">
      <c r="A548" t="s">
        <v>587</v>
      </c>
      <c r="B548">
        <v>2018</v>
      </c>
      <c r="C548" t="s">
        <v>33</v>
      </c>
      <c r="D548">
        <v>140</v>
      </c>
      <c r="E548" t="s">
        <v>38</v>
      </c>
      <c r="F548" t="s">
        <v>39</v>
      </c>
      <c r="G548" t="s">
        <v>15</v>
      </c>
      <c r="H548">
        <v>1.4343432908002629</v>
      </c>
      <c r="I548">
        <v>3</v>
      </c>
      <c r="J548" t="s">
        <v>23</v>
      </c>
      <c r="K548" s="59" t="s">
        <v>23</v>
      </c>
    </row>
    <row r="549" spans="1:11" x14ac:dyDescent="0.2">
      <c r="A549" t="s">
        <v>588</v>
      </c>
      <c r="B549">
        <v>2025</v>
      </c>
      <c r="C549" t="s">
        <v>19</v>
      </c>
      <c r="D549">
        <v>88</v>
      </c>
      <c r="E549" t="s">
        <v>20</v>
      </c>
      <c r="F549" t="s">
        <v>21</v>
      </c>
      <c r="G549" t="s">
        <v>48</v>
      </c>
      <c r="H549">
        <v>1.207133472294913</v>
      </c>
      <c r="I549">
        <v>3</v>
      </c>
      <c r="J549" t="s">
        <v>23</v>
      </c>
      <c r="K549" s="59" t="s">
        <v>17</v>
      </c>
    </row>
    <row r="550" spans="1:11" x14ac:dyDescent="0.2">
      <c r="A550" t="s">
        <v>589</v>
      </c>
      <c r="B550">
        <v>2022</v>
      </c>
      <c r="C550" t="s">
        <v>19</v>
      </c>
      <c r="D550">
        <v>353</v>
      </c>
      <c r="E550" t="s">
        <v>53</v>
      </c>
      <c r="F550" t="s">
        <v>54</v>
      </c>
      <c r="G550" t="s">
        <v>15</v>
      </c>
      <c r="H550">
        <v>0.46058692577733279</v>
      </c>
      <c r="I550">
        <v>3</v>
      </c>
      <c r="J550" t="s">
        <v>16</v>
      </c>
      <c r="K550" s="59" t="s">
        <v>16</v>
      </c>
    </row>
    <row r="551" spans="1:11" x14ac:dyDescent="0.2">
      <c r="A551" t="s">
        <v>590</v>
      </c>
      <c r="B551">
        <v>2019</v>
      </c>
      <c r="C551" t="s">
        <v>33</v>
      </c>
      <c r="D551">
        <v>933</v>
      </c>
      <c r="E551" t="s">
        <v>25</v>
      </c>
      <c r="F551" t="s">
        <v>26</v>
      </c>
      <c r="G551" t="s">
        <v>15</v>
      </c>
      <c r="H551">
        <v>0.5450778356028021</v>
      </c>
      <c r="I551">
        <v>2</v>
      </c>
      <c r="J551" t="s">
        <v>23</v>
      </c>
      <c r="K551" s="59" t="s">
        <v>4376</v>
      </c>
    </row>
    <row r="552" spans="1:11" x14ac:dyDescent="0.2">
      <c r="A552" t="s">
        <v>591</v>
      </c>
      <c r="B552">
        <v>2018</v>
      </c>
      <c r="C552" t="s">
        <v>19</v>
      </c>
      <c r="D552">
        <v>34</v>
      </c>
      <c r="E552" t="s">
        <v>20</v>
      </c>
      <c r="F552" t="s">
        <v>21</v>
      </c>
      <c r="G552" t="s">
        <v>15</v>
      </c>
      <c r="H552">
        <v>-3.068542203214863</v>
      </c>
      <c r="I552">
        <v>3</v>
      </c>
      <c r="J552" t="s">
        <v>17</v>
      </c>
      <c r="K552" s="59" t="s">
        <v>23</v>
      </c>
    </row>
    <row r="553" spans="1:11" x14ac:dyDescent="0.2">
      <c r="A553" t="s">
        <v>592</v>
      </c>
      <c r="B553">
        <v>2018</v>
      </c>
      <c r="C553" t="s">
        <v>19</v>
      </c>
      <c r="D553">
        <v>122</v>
      </c>
      <c r="E553" t="s">
        <v>20</v>
      </c>
      <c r="F553" t="s">
        <v>21</v>
      </c>
      <c r="G553" t="s">
        <v>48</v>
      </c>
      <c r="H553">
        <v>-0.80279953756010991</v>
      </c>
      <c r="I553">
        <v>3</v>
      </c>
      <c r="J553" t="s">
        <v>23</v>
      </c>
      <c r="K553" s="59" t="s">
        <v>17</v>
      </c>
    </row>
    <row r="554" spans="1:11" x14ac:dyDescent="0.2">
      <c r="A554" t="s">
        <v>593</v>
      </c>
      <c r="B554">
        <v>2018</v>
      </c>
      <c r="C554" t="s">
        <v>19</v>
      </c>
      <c r="D554">
        <v>74</v>
      </c>
      <c r="E554" t="s">
        <v>20</v>
      </c>
      <c r="F554" t="s">
        <v>21</v>
      </c>
      <c r="G554" t="s">
        <v>15</v>
      </c>
      <c r="H554">
        <v>0.52550401677886149</v>
      </c>
      <c r="I554">
        <v>3</v>
      </c>
      <c r="J554" t="s">
        <v>23</v>
      </c>
      <c r="K554" s="59" t="s">
        <v>23</v>
      </c>
    </row>
    <row r="555" spans="1:11" x14ac:dyDescent="0.2">
      <c r="A555" t="s">
        <v>594</v>
      </c>
      <c r="B555">
        <v>2018</v>
      </c>
      <c r="C555" t="s">
        <v>33</v>
      </c>
      <c r="D555">
        <v>506</v>
      </c>
      <c r="E555" t="s">
        <v>25</v>
      </c>
      <c r="F555" t="s">
        <v>26</v>
      </c>
      <c r="G555" t="s">
        <v>22</v>
      </c>
      <c r="H555">
        <v>0.54336930492746771</v>
      </c>
      <c r="I555">
        <v>2</v>
      </c>
      <c r="J555" t="s">
        <v>17</v>
      </c>
      <c r="K555" s="59" t="s">
        <v>4376</v>
      </c>
    </row>
    <row r="556" spans="1:11" x14ac:dyDescent="0.2">
      <c r="A556" t="s">
        <v>595</v>
      </c>
      <c r="B556">
        <v>2019</v>
      </c>
      <c r="C556" t="s">
        <v>19</v>
      </c>
      <c r="D556">
        <v>368</v>
      </c>
      <c r="E556" t="s">
        <v>20</v>
      </c>
      <c r="F556" t="s">
        <v>21</v>
      </c>
      <c r="G556" t="s">
        <v>48</v>
      </c>
      <c r="H556">
        <v>-0.70994937134398106</v>
      </c>
      <c r="I556">
        <v>3</v>
      </c>
      <c r="J556" t="s">
        <v>23</v>
      </c>
      <c r="K556" s="59" t="s">
        <v>4376</v>
      </c>
    </row>
    <row r="557" spans="1:11" x14ac:dyDescent="0.2">
      <c r="A557" t="s">
        <v>596</v>
      </c>
      <c r="B557">
        <v>2018</v>
      </c>
      <c r="C557" t="s">
        <v>19</v>
      </c>
      <c r="D557">
        <v>86</v>
      </c>
      <c r="E557" t="s">
        <v>20</v>
      </c>
      <c r="F557" t="s">
        <v>21</v>
      </c>
      <c r="G557" t="s">
        <v>48</v>
      </c>
      <c r="H557">
        <v>0.64722356240672774</v>
      </c>
      <c r="I557">
        <v>3</v>
      </c>
      <c r="J557" t="s">
        <v>16</v>
      </c>
      <c r="K557" s="59" t="s">
        <v>16</v>
      </c>
    </row>
    <row r="558" spans="1:11" x14ac:dyDescent="0.2">
      <c r="A558" t="s">
        <v>597</v>
      </c>
      <c r="B558">
        <v>2018</v>
      </c>
      <c r="C558" t="s">
        <v>33</v>
      </c>
      <c r="D558">
        <v>58</v>
      </c>
      <c r="E558" t="s">
        <v>29</v>
      </c>
      <c r="F558" t="s">
        <v>30</v>
      </c>
      <c r="G558" t="s">
        <v>36</v>
      </c>
      <c r="H558">
        <v>-0.56767529867140909</v>
      </c>
      <c r="I558">
        <v>4</v>
      </c>
      <c r="J558" t="s">
        <v>23</v>
      </c>
      <c r="K558" s="59" t="s">
        <v>4376</v>
      </c>
    </row>
    <row r="559" spans="1:11" x14ac:dyDescent="0.2">
      <c r="A559" t="s">
        <v>598</v>
      </c>
      <c r="B559">
        <v>2017</v>
      </c>
      <c r="C559" t="s">
        <v>19</v>
      </c>
      <c r="D559">
        <v>153</v>
      </c>
      <c r="E559" t="s">
        <v>20</v>
      </c>
      <c r="F559" t="s">
        <v>21</v>
      </c>
      <c r="G559" t="s">
        <v>15</v>
      </c>
      <c r="H559">
        <v>-0.38180005576615261</v>
      </c>
      <c r="I559">
        <v>3</v>
      </c>
      <c r="J559" t="s">
        <v>16</v>
      </c>
      <c r="K559" s="59" t="s">
        <v>17</v>
      </c>
    </row>
    <row r="560" spans="1:11" x14ac:dyDescent="0.2">
      <c r="A560" t="s">
        <v>599</v>
      </c>
      <c r="B560">
        <v>2025</v>
      </c>
      <c r="C560" t="s">
        <v>33</v>
      </c>
      <c r="D560">
        <v>235</v>
      </c>
      <c r="E560" t="s">
        <v>13</v>
      </c>
      <c r="F560" t="s">
        <v>14</v>
      </c>
      <c r="G560" t="s">
        <v>15</v>
      </c>
      <c r="H560">
        <v>1.1066368218021609</v>
      </c>
      <c r="I560">
        <v>4</v>
      </c>
      <c r="J560" t="s">
        <v>17</v>
      </c>
      <c r="K560" s="59" t="s">
        <v>23</v>
      </c>
    </row>
    <row r="561" spans="1:11" x14ac:dyDescent="0.2">
      <c r="A561" t="s">
        <v>600</v>
      </c>
      <c r="B561">
        <v>2018</v>
      </c>
      <c r="C561" t="s">
        <v>19</v>
      </c>
      <c r="D561">
        <v>293</v>
      </c>
      <c r="E561" t="s">
        <v>25</v>
      </c>
      <c r="F561" t="s">
        <v>26</v>
      </c>
      <c r="G561" t="s">
        <v>15</v>
      </c>
      <c r="H561">
        <v>-0.34949549703961541</v>
      </c>
      <c r="I561">
        <v>2</v>
      </c>
      <c r="J561" t="s">
        <v>23</v>
      </c>
      <c r="K561" s="59" t="s">
        <v>17</v>
      </c>
    </row>
    <row r="562" spans="1:11" x14ac:dyDescent="0.2">
      <c r="A562" t="s">
        <v>601</v>
      </c>
      <c r="B562">
        <v>2018</v>
      </c>
      <c r="C562" t="s">
        <v>33</v>
      </c>
      <c r="D562">
        <v>170</v>
      </c>
      <c r="E562" t="s">
        <v>20</v>
      </c>
      <c r="F562" t="s">
        <v>21</v>
      </c>
      <c r="G562" t="s">
        <v>15</v>
      </c>
      <c r="H562">
        <v>0.88277186932520546</v>
      </c>
      <c r="I562">
        <v>3</v>
      </c>
      <c r="J562" t="s">
        <v>23</v>
      </c>
      <c r="K562" s="59" t="s">
        <v>16</v>
      </c>
    </row>
    <row r="563" spans="1:11" x14ac:dyDescent="0.2">
      <c r="A563" t="s">
        <v>602</v>
      </c>
      <c r="B563">
        <v>2018</v>
      </c>
      <c r="C563" t="s">
        <v>12</v>
      </c>
      <c r="D563">
        <v>70</v>
      </c>
      <c r="E563" t="s">
        <v>25</v>
      </c>
      <c r="F563" t="s">
        <v>26</v>
      </c>
      <c r="G563" t="s">
        <v>15</v>
      </c>
      <c r="H563">
        <v>1.207133472294913</v>
      </c>
      <c r="I563">
        <v>2</v>
      </c>
      <c r="J563" t="s">
        <v>23</v>
      </c>
      <c r="K563" s="59" t="s">
        <v>23</v>
      </c>
    </row>
    <row r="564" spans="1:11" x14ac:dyDescent="0.2">
      <c r="A564" t="s">
        <v>603</v>
      </c>
      <c r="B564">
        <v>2018</v>
      </c>
      <c r="C564" t="s">
        <v>33</v>
      </c>
      <c r="D564">
        <v>120</v>
      </c>
      <c r="E564" t="s">
        <v>13</v>
      </c>
      <c r="F564" t="s">
        <v>14</v>
      </c>
      <c r="G564" t="s">
        <v>15</v>
      </c>
      <c r="H564">
        <v>3.2343934908555818</v>
      </c>
      <c r="I564">
        <v>4</v>
      </c>
      <c r="J564" t="s">
        <v>17</v>
      </c>
      <c r="K564" s="59" t="s">
        <v>4376</v>
      </c>
    </row>
    <row r="565" spans="1:11" x14ac:dyDescent="0.2">
      <c r="A565" t="s">
        <v>604</v>
      </c>
      <c r="B565">
        <v>2021</v>
      </c>
      <c r="C565" t="s">
        <v>19</v>
      </c>
      <c r="D565">
        <v>195</v>
      </c>
      <c r="E565" t="s">
        <v>25</v>
      </c>
      <c r="F565" t="s">
        <v>26</v>
      </c>
      <c r="G565" t="s">
        <v>15</v>
      </c>
      <c r="H565">
        <v>1.723973389114775</v>
      </c>
      <c r="I565">
        <v>2</v>
      </c>
      <c r="J565" t="s">
        <v>23</v>
      </c>
      <c r="K565" s="59" t="s">
        <v>16</v>
      </c>
    </row>
    <row r="566" spans="1:11" x14ac:dyDescent="0.2">
      <c r="A566" t="s">
        <v>605</v>
      </c>
      <c r="B566">
        <v>2019</v>
      </c>
      <c r="C566" t="s">
        <v>12</v>
      </c>
      <c r="D566">
        <v>33</v>
      </c>
      <c r="E566" t="s">
        <v>25</v>
      </c>
      <c r="F566" t="s">
        <v>26</v>
      </c>
      <c r="G566" t="s">
        <v>15</v>
      </c>
      <c r="H566">
        <v>-3.068542203214863</v>
      </c>
      <c r="I566">
        <v>2</v>
      </c>
      <c r="J566" t="s">
        <v>23</v>
      </c>
      <c r="K566" s="59" t="s">
        <v>17</v>
      </c>
    </row>
    <row r="567" spans="1:11" x14ac:dyDescent="0.2">
      <c r="A567" t="s">
        <v>606</v>
      </c>
      <c r="B567">
        <v>2018</v>
      </c>
      <c r="C567" t="s">
        <v>19</v>
      </c>
      <c r="D567">
        <v>224</v>
      </c>
      <c r="E567" t="s">
        <v>20</v>
      </c>
      <c r="F567" t="s">
        <v>21</v>
      </c>
      <c r="G567" t="s">
        <v>15</v>
      </c>
      <c r="H567">
        <v>0.47794847337076501</v>
      </c>
      <c r="I567">
        <v>3</v>
      </c>
      <c r="J567" t="s">
        <v>23</v>
      </c>
      <c r="K567" s="59" t="s">
        <v>16</v>
      </c>
    </row>
    <row r="568" spans="1:11" x14ac:dyDescent="0.2">
      <c r="A568" t="s">
        <v>607</v>
      </c>
      <c r="B568">
        <v>2016</v>
      </c>
      <c r="C568" t="s">
        <v>12</v>
      </c>
      <c r="D568">
        <v>109</v>
      </c>
      <c r="E568" t="s">
        <v>53</v>
      </c>
      <c r="F568" t="s">
        <v>54</v>
      </c>
      <c r="G568" t="s">
        <v>15</v>
      </c>
      <c r="H568">
        <v>-2.8201084483687291</v>
      </c>
      <c r="I568">
        <v>3</v>
      </c>
      <c r="J568" t="s">
        <v>23</v>
      </c>
      <c r="K568" s="59" t="s">
        <v>17</v>
      </c>
    </row>
    <row r="569" spans="1:11" x14ac:dyDescent="0.2">
      <c r="A569" t="s">
        <v>608</v>
      </c>
      <c r="B569">
        <v>2017</v>
      </c>
      <c r="C569" t="s">
        <v>12</v>
      </c>
      <c r="D569">
        <v>302</v>
      </c>
      <c r="E569" t="s">
        <v>25</v>
      </c>
      <c r="F569" t="s">
        <v>26</v>
      </c>
      <c r="G569" t="s">
        <v>22</v>
      </c>
      <c r="H569">
        <v>0.565052483481158</v>
      </c>
      <c r="I569">
        <v>2</v>
      </c>
      <c r="J569" t="s">
        <v>16</v>
      </c>
      <c r="K569" s="59" t="s">
        <v>23</v>
      </c>
    </row>
    <row r="570" spans="1:11" x14ac:dyDescent="0.2">
      <c r="A570" t="s">
        <v>609</v>
      </c>
      <c r="B570">
        <v>2019</v>
      </c>
      <c r="C570" t="s">
        <v>19</v>
      </c>
      <c r="D570">
        <v>60</v>
      </c>
      <c r="E570" t="s">
        <v>20</v>
      </c>
      <c r="F570" t="s">
        <v>21</v>
      </c>
      <c r="G570" t="s">
        <v>15</v>
      </c>
      <c r="H570">
        <v>-0.44312731474394779</v>
      </c>
      <c r="I570">
        <v>3</v>
      </c>
      <c r="J570" t="s">
        <v>23</v>
      </c>
      <c r="K570" s="59" t="s">
        <v>23</v>
      </c>
    </row>
    <row r="571" spans="1:11" x14ac:dyDescent="0.2">
      <c r="A571" t="s">
        <v>610</v>
      </c>
      <c r="B571">
        <v>2017</v>
      </c>
      <c r="C571" t="s">
        <v>19</v>
      </c>
      <c r="D571">
        <v>124</v>
      </c>
      <c r="E571" t="s">
        <v>38</v>
      </c>
      <c r="F571" t="s">
        <v>39</v>
      </c>
      <c r="G571" t="s">
        <v>15</v>
      </c>
      <c r="H571">
        <v>0.44237847342324538</v>
      </c>
      <c r="I571">
        <v>3</v>
      </c>
      <c r="J571" t="s">
        <v>23</v>
      </c>
      <c r="K571" s="59" t="s">
        <v>16</v>
      </c>
    </row>
    <row r="572" spans="1:11" x14ac:dyDescent="0.2">
      <c r="A572" t="s">
        <v>611</v>
      </c>
      <c r="B572">
        <v>2017</v>
      </c>
      <c r="C572" t="s">
        <v>12</v>
      </c>
      <c r="D572">
        <v>319</v>
      </c>
      <c r="E572" t="s">
        <v>25</v>
      </c>
      <c r="F572" t="s">
        <v>26</v>
      </c>
      <c r="G572" t="s">
        <v>48</v>
      </c>
      <c r="H572">
        <v>0.90369842435550918</v>
      </c>
      <c r="I572">
        <v>2</v>
      </c>
      <c r="J572" t="s">
        <v>16</v>
      </c>
      <c r="K572" s="59" t="s">
        <v>16</v>
      </c>
    </row>
    <row r="573" spans="1:11" x14ac:dyDescent="0.2">
      <c r="A573" t="s">
        <v>612</v>
      </c>
      <c r="B573">
        <v>2019</v>
      </c>
      <c r="C573" t="s">
        <v>19</v>
      </c>
      <c r="D573">
        <v>115</v>
      </c>
      <c r="E573" t="s">
        <v>20</v>
      </c>
      <c r="F573" t="s">
        <v>21</v>
      </c>
      <c r="G573" t="s">
        <v>15</v>
      </c>
      <c r="H573">
        <v>0.79456827553519749</v>
      </c>
      <c r="I573">
        <v>3</v>
      </c>
      <c r="J573" t="s">
        <v>23</v>
      </c>
      <c r="K573" s="59" t="s">
        <v>23</v>
      </c>
    </row>
    <row r="574" spans="1:11" x14ac:dyDescent="0.2">
      <c r="A574" t="s">
        <v>613</v>
      </c>
      <c r="B574">
        <v>2018</v>
      </c>
      <c r="C574" t="s">
        <v>19</v>
      </c>
      <c r="D574">
        <v>38</v>
      </c>
      <c r="E574" t="s">
        <v>38</v>
      </c>
      <c r="F574" t="s">
        <v>39</v>
      </c>
      <c r="G574" t="s">
        <v>15</v>
      </c>
      <c r="H574">
        <v>-2.6063069950516442</v>
      </c>
      <c r="I574">
        <v>3</v>
      </c>
      <c r="J574" t="s">
        <v>23</v>
      </c>
      <c r="K574" s="59" t="s">
        <v>17</v>
      </c>
    </row>
    <row r="575" spans="1:11" x14ac:dyDescent="0.2">
      <c r="A575" t="s">
        <v>614</v>
      </c>
      <c r="B575">
        <v>2021</v>
      </c>
      <c r="C575" t="s">
        <v>33</v>
      </c>
      <c r="D575">
        <v>347</v>
      </c>
      <c r="E575" t="s">
        <v>38</v>
      </c>
      <c r="F575" t="s">
        <v>39</v>
      </c>
      <c r="G575" t="s">
        <v>15</v>
      </c>
      <c r="H575">
        <v>0.51548005419774312</v>
      </c>
      <c r="I575">
        <v>3</v>
      </c>
      <c r="J575" t="s">
        <v>17</v>
      </c>
      <c r="K575" s="59" t="s">
        <v>4376</v>
      </c>
    </row>
    <row r="576" spans="1:11" x14ac:dyDescent="0.2">
      <c r="A576" t="s">
        <v>615</v>
      </c>
      <c r="B576">
        <v>2019</v>
      </c>
      <c r="C576" t="s">
        <v>19</v>
      </c>
      <c r="D576">
        <v>172</v>
      </c>
      <c r="E576" t="s">
        <v>25</v>
      </c>
      <c r="F576" t="s">
        <v>26</v>
      </c>
      <c r="G576" t="s">
        <v>80</v>
      </c>
      <c r="H576">
        <v>-0.48265451922392061</v>
      </c>
      <c r="I576">
        <v>2</v>
      </c>
      <c r="J576" t="s">
        <v>16</v>
      </c>
      <c r="K576" s="59" t="s">
        <v>23</v>
      </c>
    </row>
    <row r="577" spans="1:11" x14ac:dyDescent="0.2">
      <c r="A577" t="s">
        <v>616</v>
      </c>
      <c r="B577">
        <v>2019</v>
      </c>
      <c r="C577" t="s">
        <v>19</v>
      </c>
      <c r="D577">
        <v>39</v>
      </c>
      <c r="E577" t="s">
        <v>20</v>
      </c>
      <c r="F577" t="s">
        <v>21</v>
      </c>
      <c r="G577" t="s">
        <v>48</v>
      </c>
      <c r="H577">
        <v>1.173666381899163E-3</v>
      </c>
      <c r="I577">
        <v>3</v>
      </c>
      <c r="J577" t="s">
        <v>16</v>
      </c>
      <c r="K577" s="59" t="s">
        <v>17</v>
      </c>
    </row>
    <row r="578" spans="1:11" x14ac:dyDescent="0.2">
      <c r="A578" t="s">
        <v>617</v>
      </c>
      <c r="B578">
        <v>2018</v>
      </c>
      <c r="C578" t="s">
        <v>33</v>
      </c>
      <c r="D578">
        <v>154</v>
      </c>
      <c r="E578" t="s">
        <v>20</v>
      </c>
      <c r="F578" t="s">
        <v>21</v>
      </c>
      <c r="G578" t="s">
        <v>15</v>
      </c>
      <c r="H578">
        <v>-0.73903614552332975</v>
      </c>
      <c r="I578">
        <v>3</v>
      </c>
      <c r="J578" t="s">
        <v>16</v>
      </c>
      <c r="K578" s="59" t="s">
        <v>16</v>
      </c>
    </row>
    <row r="579" spans="1:11" x14ac:dyDescent="0.2">
      <c r="A579" t="s">
        <v>618</v>
      </c>
      <c r="B579">
        <v>2023</v>
      </c>
      <c r="C579" t="s">
        <v>12</v>
      </c>
      <c r="D579">
        <v>383</v>
      </c>
      <c r="E579" t="s">
        <v>29</v>
      </c>
      <c r="F579" t="s">
        <v>30</v>
      </c>
      <c r="G579" t="s">
        <v>15</v>
      </c>
      <c r="H579">
        <v>0.21436445001295959</v>
      </c>
      <c r="I579">
        <v>4</v>
      </c>
      <c r="J579" t="s">
        <v>16</v>
      </c>
      <c r="K579" s="59" t="s">
        <v>17</v>
      </c>
    </row>
    <row r="580" spans="1:11" x14ac:dyDescent="0.2">
      <c r="A580" t="s">
        <v>619</v>
      </c>
      <c r="B580">
        <v>2018</v>
      </c>
      <c r="C580" t="s">
        <v>12</v>
      </c>
      <c r="D580">
        <v>122</v>
      </c>
      <c r="E580" t="s">
        <v>20</v>
      </c>
      <c r="F580" t="s">
        <v>21</v>
      </c>
      <c r="G580" t="s">
        <v>48</v>
      </c>
      <c r="H580">
        <v>-0.80279953756010991</v>
      </c>
      <c r="I580">
        <v>3</v>
      </c>
      <c r="J580" t="s">
        <v>23</v>
      </c>
      <c r="K580" s="59" t="s">
        <v>17</v>
      </c>
    </row>
    <row r="581" spans="1:11" x14ac:dyDescent="0.2">
      <c r="A581" t="s">
        <v>620</v>
      </c>
      <c r="B581">
        <v>2021</v>
      </c>
      <c r="C581" t="s">
        <v>33</v>
      </c>
      <c r="D581">
        <v>443</v>
      </c>
      <c r="E581" t="s">
        <v>38</v>
      </c>
      <c r="F581" t="s">
        <v>39</v>
      </c>
      <c r="G581" t="s">
        <v>15</v>
      </c>
      <c r="H581">
        <v>0.55086697326317979</v>
      </c>
      <c r="I581">
        <v>3</v>
      </c>
      <c r="J581" t="s">
        <v>23</v>
      </c>
      <c r="K581" s="59" t="s">
        <v>4376</v>
      </c>
    </row>
    <row r="582" spans="1:11" x14ac:dyDescent="0.2">
      <c r="A582" t="s">
        <v>621</v>
      </c>
      <c r="B582">
        <v>2022</v>
      </c>
      <c r="C582" t="s">
        <v>33</v>
      </c>
      <c r="D582">
        <v>353</v>
      </c>
      <c r="E582" t="s">
        <v>53</v>
      </c>
      <c r="F582" t="s">
        <v>54</v>
      </c>
      <c r="G582" t="s">
        <v>15</v>
      </c>
      <c r="H582">
        <v>0.46058692577733279</v>
      </c>
      <c r="I582">
        <v>3</v>
      </c>
      <c r="J582" t="s">
        <v>16</v>
      </c>
      <c r="K582" s="59" t="s">
        <v>23</v>
      </c>
    </row>
    <row r="583" spans="1:11" x14ac:dyDescent="0.2">
      <c r="A583" t="s">
        <v>622</v>
      </c>
      <c r="B583">
        <v>2025</v>
      </c>
      <c r="C583" t="s">
        <v>33</v>
      </c>
      <c r="D583">
        <v>457</v>
      </c>
      <c r="E583" t="s">
        <v>20</v>
      </c>
      <c r="F583" t="s">
        <v>21</v>
      </c>
      <c r="G583" t="s">
        <v>48</v>
      </c>
      <c r="H583">
        <v>0.7706375796674646</v>
      </c>
      <c r="I583">
        <v>3</v>
      </c>
      <c r="J583" t="s">
        <v>16</v>
      </c>
      <c r="K583" s="59" t="s">
        <v>17</v>
      </c>
    </row>
    <row r="584" spans="1:11" x14ac:dyDescent="0.2">
      <c r="A584" t="s">
        <v>623</v>
      </c>
      <c r="B584">
        <v>2021</v>
      </c>
      <c r="C584" t="s">
        <v>19</v>
      </c>
      <c r="D584">
        <v>70</v>
      </c>
      <c r="E584" t="s">
        <v>53</v>
      </c>
      <c r="F584" t="s">
        <v>54</v>
      </c>
      <c r="G584" t="s">
        <v>15</v>
      </c>
      <c r="H584">
        <v>0.51548005419774312</v>
      </c>
      <c r="I584">
        <v>3</v>
      </c>
      <c r="J584" t="s">
        <v>16</v>
      </c>
      <c r="K584" s="59" t="s">
        <v>17</v>
      </c>
    </row>
    <row r="585" spans="1:11" x14ac:dyDescent="0.2">
      <c r="A585" t="s">
        <v>624</v>
      </c>
      <c r="B585">
        <v>2017</v>
      </c>
      <c r="C585" t="s">
        <v>19</v>
      </c>
      <c r="D585">
        <v>82</v>
      </c>
      <c r="E585" t="s">
        <v>20</v>
      </c>
      <c r="F585" t="s">
        <v>21</v>
      </c>
      <c r="G585" t="s">
        <v>15</v>
      </c>
      <c r="H585">
        <v>2.2809332994777329</v>
      </c>
      <c r="I585">
        <v>3</v>
      </c>
      <c r="J585" t="s">
        <v>23</v>
      </c>
      <c r="K585" s="59" t="s">
        <v>23</v>
      </c>
    </row>
    <row r="586" spans="1:11" x14ac:dyDescent="0.2">
      <c r="A586" t="s">
        <v>625</v>
      </c>
      <c r="B586">
        <v>2017</v>
      </c>
      <c r="C586" t="s">
        <v>19</v>
      </c>
      <c r="D586">
        <v>104</v>
      </c>
      <c r="E586" t="s">
        <v>20</v>
      </c>
      <c r="F586" t="s">
        <v>21</v>
      </c>
      <c r="G586" t="s">
        <v>80</v>
      </c>
      <c r="H586">
        <v>-0.69316682793165418</v>
      </c>
      <c r="I586">
        <v>3</v>
      </c>
      <c r="J586" t="s">
        <v>23</v>
      </c>
      <c r="K586" s="59" t="s">
        <v>17</v>
      </c>
    </row>
    <row r="587" spans="1:11" x14ac:dyDescent="0.2">
      <c r="A587" t="s">
        <v>626</v>
      </c>
      <c r="B587">
        <v>2017</v>
      </c>
      <c r="C587" t="s">
        <v>19</v>
      </c>
      <c r="D587">
        <v>188</v>
      </c>
      <c r="E587" t="s">
        <v>20</v>
      </c>
      <c r="F587" t="s">
        <v>21</v>
      </c>
      <c r="G587" t="s">
        <v>41</v>
      </c>
      <c r="H587">
        <v>0.63464131724070127</v>
      </c>
      <c r="I587">
        <v>3</v>
      </c>
      <c r="J587" t="s">
        <v>23</v>
      </c>
      <c r="K587" s="59" t="s">
        <v>23</v>
      </c>
    </row>
    <row r="588" spans="1:11" x14ac:dyDescent="0.2">
      <c r="A588" t="s">
        <v>627</v>
      </c>
      <c r="B588">
        <v>2018</v>
      </c>
      <c r="C588" t="s">
        <v>19</v>
      </c>
      <c r="D588">
        <v>122</v>
      </c>
      <c r="E588" t="s">
        <v>20</v>
      </c>
      <c r="F588" t="s">
        <v>21</v>
      </c>
      <c r="G588" t="s">
        <v>48</v>
      </c>
      <c r="H588">
        <v>-0.80279953756010991</v>
      </c>
      <c r="I588">
        <v>3</v>
      </c>
      <c r="J588" t="s">
        <v>16</v>
      </c>
      <c r="K588" s="59" t="s">
        <v>4376</v>
      </c>
    </row>
    <row r="589" spans="1:11" x14ac:dyDescent="0.2">
      <c r="A589" t="s">
        <v>628</v>
      </c>
      <c r="B589">
        <v>2018</v>
      </c>
      <c r="C589" t="s">
        <v>19</v>
      </c>
      <c r="D589">
        <v>83</v>
      </c>
      <c r="E589" t="s">
        <v>20</v>
      </c>
      <c r="F589" t="s">
        <v>21</v>
      </c>
      <c r="G589" t="s">
        <v>48</v>
      </c>
      <c r="H589">
        <v>1.207133472294913</v>
      </c>
      <c r="I589">
        <v>3</v>
      </c>
      <c r="J589" t="s">
        <v>23</v>
      </c>
      <c r="K589" s="59" t="s">
        <v>17</v>
      </c>
    </row>
    <row r="590" spans="1:11" x14ac:dyDescent="0.2">
      <c r="A590" t="s">
        <v>629</v>
      </c>
      <c r="B590">
        <v>2018</v>
      </c>
      <c r="C590" t="s">
        <v>33</v>
      </c>
      <c r="D590">
        <v>50</v>
      </c>
      <c r="E590" t="s">
        <v>20</v>
      </c>
      <c r="F590" t="s">
        <v>21</v>
      </c>
      <c r="G590" t="s">
        <v>48</v>
      </c>
      <c r="H590">
        <v>-1.614812473541539</v>
      </c>
      <c r="I590">
        <v>3</v>
      </c>
      <c r="J590" t="s">
        <v>23</v>
      </c>
      <c r="K590" s="59" t="s">
        <v>4376</v>
      </c>
    </row>
    <row r="591" spans="1:11" x14ac:dyDescent="0.2">
      <c r="A591" t="s">
        <v>630</v>
      </c>
      <c r="B591">
        <v>2019</v>
      </c>
      <c r="C591" t="s">
        <v>33</v>
      </c>
      <c r="D591">
        <v>229</v>
      </c>
      <c r="E591" t="s">
        <v>20</v>
      </c>
      <c r="F591" t="s">
        <v>21</v>
      </c>
      <c r="G591" t="s">
        <v>15</v>
      </c>
      <c r="H591">
        <v>-2.254127788832049</v>
      </c>
      <c r="I591">
        <v>3</v>
      </c>
      <c r="J591" t="s">
        <v>23</v>
      </c>
      <c r="K591" s="59" t="s">
        <v>4376</v>
      </c>
    </row>
    <row r="592" spans="1:11" x14ac:dyDescent="0.2">
      <c r="A592" t="s">
        <v>631</v>
      </c>
      <c r="B592">
        <v>2022</v>
      </c>
      <c r="C592" t="s">
        <v>19</v>
      </c>
      <c r="D592">
        <v>97</v>
      </c>
      <c r="E592" t="s">
        <v>25</v>
      </c>
      <c r="F592" t="s">
        <v>26</v>
      </c>
      <c r="G592" t="s">
        <v>15</v>
      </c>
      <c r="H592">
        <v>-0.37822941862444209</v>
      </c>
      <c r="I592">
        <v>2</v>
      </c>
      <c r="J592" t="s">
        <v>23</v>
      </c>
      <c r="K592" s="59" t="s">
        <v>17</v>
      </c>
    </row>
    <row r="593" spans="1:11" x14ac:dyDescent="0.2">
      <c r="A593" t="s">
        <v>632</v>
      </c>
      <c r="B593">
        <v>2019</v>
      </c>
      <c r="C593" t="s">
        <v>33</v>
      </c>
      <c r="D593">
        <v>716</v>
      </c>
      <c r="E593" t="s">
        <v>25</v>
      </c>
      <c r="F593" t="s">
        <v>26</v>
      </c>
      <c r="G593" t="s">
        <v>15</v>
      </c>
      <c r="H593">
        <v>-0.91446248255205542</v>
      </c>
      <c r="I593">
        <v>2</v>
      </c>
      <c r="J593" t="s">
        <v>23</v>
      </c>
      <c r="K593" s="59" t="s">
        <v>4376</v>
      </c>
    </row>
    <row r="594" spans="1:11" x14ac:dyDescent="0.2">
      <c r="A594" t="s">
        <v>633</v>
      </c>
      <c r="B594">
        <v>2019</v>
      </c>
      <c r="C594" t="s">
        <v>12</v>
      </c>
      <c r="D594">
        <v>60</v>
      </c>
      <c r="E594" t="s">
        <v>13</v>
      </c>
      <c r="F594" t="s">
        <v>14</v>
      </c>
      <c r="G594" t="s">
        <v>147</v>
      </c>
      <c r="H594">
        <v>-0.36061427539200491</v>
      </c>
      <c r="I594">
        <v>4</v>
      </c>
      <c r="J594" t="s">
        <v>23</v>
      </c>
      <c r="K594" s="59" t="s">
        <v>4376</v>
      </c>
    </row>
    <row r="595" spans="1:11" x14ac:dyDescent="0.2">
      <c r="A595" t="s">
        <v>634</v>
      </c>
      <c r="B595">
        <v>2018</v>
      </c>
      <c r="C595" t="s">
        <v>33</v>
      </c>
      <c r="D595">
        <v>50</v>
      </c>
      <c r="E595" t="s">
        <v>20</v>
      </c>
      <c r="F595" t="s">
        <v>21</v>
      </c>
      <c r="G595" t="s">
        <v>48</v>
      </c>
      <c r="H595">
        <v>-1.614812473541539</v>
      </c>
      <c r="I595">
        <v>3</v>
      </c>
      <c r="J595" t="s">
        <v>23</v>
      </c>
      <c r="K595" s="59" t="s">
        <v>4376</v>
      </c>
    </row>
    <row r="596" spans="1:11" x14ac:dyDescent="0.2">
      <c r="A596" t="s">
        <v>635</v>
      </c>
      <c r="B596">
        <v>2018</v>
      </c>
      <c r="C596" t="s">
        <v>12</v>
      </c>
      <c r="D596">
        <v>379</v>
      </c>
      <c r="E596" t="s">
        <v>25</v>
      </c>
      <c r="F596" t="s">
        <v>26</v>
      </c>
      <c r="G596" t="s">
        <v>15</v>
      </c>
      <c r="H596">
        <v>0.52052861929334293</v>
      </c>
      <c r="I596">
        <v>2</v>
      </c>
      <c r="J596" t="s">
        <v>23</v>
      </c>
      <c r="K596" s="59" t="s">
        <v>16</v>
      </c>
    </row>
    <row r="597" spans="1:11" x14ac:dyDescent="0.2">
      <c r="A597" t="s">
        <v>636</v>
      </c>
      <c r="B597">
        <v>2018</v>
      </c>
      <c r="C597" t="s">
        <v>19</v>
      </c>
      <c r="D597">
        <v>67</v>
      </c>
      <c r="E597" t="s">
        <v>20</v>
      </c>
      <c r="F597" t="s">
        <v>21</v>
      </c>
      <c r="G597" t="s">
        <v>15</v>
      </c>
      <c r="H597">
        <v>0.46058692577733279</v>
      </c>
      <c r="I597">
        <v>3</v>
      </c>
      <c r="J597" t="s">
        <v>23</v>
      </c>
      <c r="K597" s="59" t="s">
        <v>16</v>
      </c>
    </row>
    <row r="598" spans="1:11" x14ac:dyDescent="0.2">
      <c r="A598" t="s">
        <v>637</v>
      </c>
      <c r="B598">
        <v>2018</v>
      </c>
      <c r="C598" t="s">
        <v>33</v>
      </c>
      <c r="D598">
        <v>303</v>
      </c>
      <c r="E598" t="s">
        <v>25</v>
      </c>
      <c r="F598" t="s">
        <v>26</v>
      </c>
      <c r="G598" t="s">
        <v>15</v>
      </c>
      <c r="H598">
        <v>0.39622946487064492</v>
      </c>
      <c r="I598">
        <v>2</v>
      </c>
      <c r="J598" t="s">
        <v>23</v>
      </c>
      <c r="K598" s="59" t="s">
        <v>23</v>
      </c>
    </row>
    <row r="599" spans="1:11" x14ac:dyDescent="0.2">
      <c r="A599" t="s">
        <v>638</v>
      </c>
      <c r="B599">
        <v>2017</v>
      </c>
      <c r="C599" t="s">
        <v>19</v>
      </c>
      <c r="D599">
        <v>107</v>
      </c>
      <c r="E599" t="s">
        <v>29</v>
      </c>
      <c r="F599" t="s">
        <v>30</v>
      </c>
      <c r="G599" t="s">
        <v>34</v>
      </c>
      <c r="H599">
        <v>0.30266361786015239</v>
      </c>
      <c r="I599">
        <v>4</v>
      </c>
      <c r="J599" t="s">
        <v>16</v>
      </c>
      <c r="K599" s="59" t="s">
        <v>17</v>
      </c>
    </row>
    <row r="600" spans="1:11" x14ac:dyDescent="0.2">
      <c r="A600" t="s">
        <v>639</v>
      </c>
      <c r="B600">
        <v>2018</v>
      </c>
      <c r="C600" t="s">
        <v>19</v>
      </c>
      <c r="D600">
        <v>50</v>
      </c>
      <c r="E600" t="s">
        <v>20</v>
      </c>
      <c r="F600" t="s">
        <v>21</v>
      </c>
      <c r="G600" t="s">
        <v>15</v>
      </c>
      <c r="H600">
        <v>-1.614812473541539</v>
      </c>
      <c r="I600">
        <v>3</v>
      </c>
      <c r="J600" t="s">
        <v>23</v>
      </c>
      <c r="K600" s="59" t="s">
        <v>17</v>
      </c>
    </row>
    <row r="601" spans="1:11" x14ac:dyDescent="0.2">
      <c r="A601" t="s">
        <v>640</v>
      </c>
      <c r="B601">
        <v>2019</v>
      </c>
      <c r="C601" t="s">
        <v>33</v>
      </c>
      <c r="D601">
        <v>225</v>
      </c>
      <c r="E601" t="s">
        <v>20</v>
      </c>
      <c r="F601" t="s">
        <v>21</v>
      </c>
      <c r="G601" t="s">
        <v>147</v>
      </c>
      <c r="H601">
        <v>0.34809361054865651</v>
      </c>
      <c r="I601">
        <v>3</v>
      </c>
      <c r="J601" t="s">
        <v>17</v>
      </c>
      <c r="K601" s="59" t="s">
        <v>23</v>
      </c>
    </row>
    <row r="602" spans="1:11" x14ac:dyDescent="0.2">
      <c r="A602" t="s">
        <v>641</v>
      </c>
      <c r="B602">
        <v>2018</v>
      </c>
      <c r="C602" t="s">
        <v>12</v>
      </c>
      <c r="D602">
        <v>123</v>
      </c>
      <c r="E602" t="s">
        <v>20</v>
      </c>
      <c r="F602" t="s">
        <v>21</v>
      </c>
      <c r="G602" t="s">
        <v>15</v>
      </c>
      <c r="H602">
        <v>0.81190294766795856</v>
      </c>
      <c r="I602">
        <v>3</v>
      </c>
      <c r="J602" t="s">
        <v>16</v>
      </c>
      <c r="K602" s="59" t="s">
        <v>4376</v>
      </c>
    </row>
    <row r="603" spans="1:11" x14ac:dyDescent="0.2">
      <c r="A603" t="s">
        <v>642</v>
      </c>
      <c r="B603">
        <v>2019</v>
      </c>
      <c r="C603" t="s">
        <v>19</v>
      </c>
      <c r="D603">
        <v>142</v>
      </c>
      <c r="E603" t="s">
        <v>20</v>
      </c>
      <c r="F603" t="s">
        <v>21</v>
      </c>
      <c r="G603" t="s">
        <v>36</v>
      </c>
      <c r="H603">
        <v>2.8375767267155131E-2</v>
      </c>
      <c r="I603">
        <v>3</v>
      </c>
      <c r="J603" t="s">
        <v>23</v>
      </c>
      <c r="K603" s="59" t="s">
        <v>4376</v>
      </c>
    </row>
    <row r="604" spans="1:11" x14ac:dyDescent="0.2">
      <c r="A604" t="s">
        <v>643</v>
      </c>
      <c r="B604">
        <v>2018</v>
      </c>
      <c r="C604" t="s">
        <v>33</v>
      </c>
      <c r="D604">
        <v>304</v>
      </c>
      <c r="E604" t="s">
        <v>25</v>
      </c>
      <c r="F604" t="s">
        <v>26</v>
      </c>
      <c r="G604" t="s">
        <v>15</v>
      </c>
      <c r="H604">
        <v>0.56285357598522046</v>
      </c>
      <c r="I604">
        <v>2</v>
      </c>
      <c r="J604" t="s">
        <v>23</v>
      </c>
      <c r="K604" s="59" t="s">
        <v>23</v>
      </c>
    </row>
    <row r="605" spans="1:11" x14ac:dyDescent="0.2">
      <c r="A605" t="s">
        <v>644</v>
      </c>
      <c r="B605">
        <v>2018</v>
      </c>
      <c r="C605" t="s">
        <v>19</v>
      </c>
      <c r="D605">
        <v>96</v>
      </c>
      <c r="E605" t="s">
        <v>38</v>
      </c>
      <c r="F605" t="s">
        <v>39</v>
      </c>
      <c r="G605" t="s">
        <v>15</v>
      </c>
      <c r="H605">
        <v>1.207133472294913</v>
      </c>
      <c r="I605">
        <v>3</v>
      </c>
      <c r="J605" t="s">
        <v>23</v>
      </c>
      <c r="K605" s="59" t="s">
        <v>17</v>
      </c>
    </row>
    <row r="606" spans="1:11" x14ac:dyDescent="0.2">
      <c r="A606" t="s">
        <v>645</v>
      </c>
      <c r="B606">
        <v>2018</v>
      </c>
      <c r="C606" t="s">
        <v>19</v>
      </c>
      <c r="D606">
        <v>96</v>
      </c>
      <c r="E606" t="s">
        <v>38</v>
      </c>
      <c r="F606" t="s">
        <v>39</v>
      </c>
      <c r="G606" t="s">
        <v>15</v>
      </c>
      <c r="H606">
        <v>1.207133472294913</v>
      </c>
      <c r="I606">
        <v>3</v>
      </c>
      <c r="J606" t="s">
        <v>23</v>
      </c>
      <c r="K606" s="59" t="s">
        <v>23</v>
      </c>
    </row>
    <row r="607" spans="1:11" x14ac:dyDescent="0.2">
      <c r="A607" t="s">
        <v>646</v>
      </c>
      <c r="B607">
        <v>2018</v>
      </c>
      <c r="C607" t="s">
        <v>12</v>
      </c>
      <c r="D607">
        <v>128</v>
      </c>
      <c r="E607" t="s">
        <v>20</v>
      </c>
      <c r="F607" t="s">
        <v>21</v>
      </c>
      <c r="G607" t="s">
        <v>48</v>
      </c>
      <c r="H607">
        <v>1.207133472294913</v>
      </c>
      <c r="I607">
        <v>3</v>
      </c>
      <c r="J607" t="s">
        <v>16</v>
      </c>
      <c r="K607" s="59" t="s">
        <v>23</v>
      </c>
    </row>
    <row r="608" spans="1:11" x14ac:dyDescent="0.2">
      <c r="A608" t="s">
        <v>647</v>
      </c>
      <c r="B608">
        <v>2019</v>
      </c>
      <c r="C608" t="s">
        <v>12</v>
      </c>
      <c r="D608">
        <v>92</v>
      </c>
      <c r="E608" t="s">
        <v>38</v>
      </c>
      <c r="F608" t="s">
        <v>39</v>
      </c>
      <c r="G608" t="s">
        <v>15</v>
      </c>
      <c r="H608">
        <v>1.207133472294913</v>
      </c>
      <c r="I608">
        <v>3</v>
      </c>
      <c r="J608" t="s">
        <v>23</v>
      </c>
      <c r="K608" s="59" t="s">
        <v>4376</v>
      </c>
    </row>
    <row r="609" spans="1:11" x14ac:dyDescent="0.2">
      <c r="A609" t="s">
        <v>648</v>
      </c>
      <c r="B609">
        <v>2019</v>
      </c>
      <c r="C609" t="s">
        <v>12</v>
      </c>
      <c r="D609">
        <v>176</v>
      </c>
      <c r="E609" t="s">
        <v>25</v>
      </c>
      <c r="F609" t="s">
        <v>26</v>
      </c>
      <c r="G609" t="s">
        <v>22</v>
      </c>
      <c r="H609">
        <v>-0.35144615990845562</v>
      </c>
      <c r="I609">
        <v>2</v>
      </c>
      <c r="J609" t="s">
        <v>16</v>
      </c>
      <c r="K609" s="59" t="s">
        <v>23</v>
      </c>
    </row>
    <row r="610" spans="1:11" x14ac:dyDescent="0.2">
      <c r="A610" t="s">
        <v>649</v>
      </c>
      <c r="B610">
        <v>2021</v>
      </c>
      <c r="C610" t="s">
        <v>19</v>
      </c>
      <c r="D610">
        <v>323</v>
      </c>
      <c r="E610" t="s">
        <v>38</v>
      </c>
      <c r="F610" t="s">
        <v>39</v>
      </c>
      <c r="G610" t="s">
        <v>15</v>
      </c>
      <c r="H610">
        <v>0.62105954792597151</v>
      </c>
      <c r="I610">
        <v>3</v>
      </c>
      <c r="J610" t="s">
        <v>16</v>
      </c>
      <c r="K610" s="59" t="s">
        <v>16</v>
      </c>
    </row>
    <row r="611" spans="1:11" x14ac:dyDescent="0.2">
      <c r="A611" t="s">
        <v>650</v>
      </c>
      <c r="B611">
        <v>2018</v>
      </c>
      <c r="C611" t="s">
        <v>33</v>
      </c>
      <c r="D611">
        <v>303</v>
      </c>
      <c r="E611" t="s">
        <v>25</v>
      </c>
      <c r="F611" t="s">
        <v>26</v>
      </c>
      <c r="G611" t="s">
        <v>15</v>
      </c>
      <c r="H611">
        <v>0.39622946487064492</v>
      </c>
      <c r="I611">
        <v>2</v>
      </c>
      <c r="J611" t="s">
        <v>23</v>
      </c>
      <c r="K611" s="59" t="s">
        <v>17</v>
      </c>
    </row>
    <row r="612" spans="1:11" ht="16" customHeight="1" x14ac:dyDescent="0.2">
      <c r="A612" t="s">
        <v>651</v>
      </c>
      <c r="B612">
        <v>2018</v>
      </c>
      <c r="C612" t="s">
        <v>33</v>
      </c>
      <c r="D612">
        <v>50</v>
      </c>
      <c r="E612" t="s">
        <v>20</v>
      </c>
      <c r="F612" t="s">
        <v>21</v>
      </c>
      <c r="G612" t="s">
        <v>15</v>
      </c>
      <c r="H612">
        <v>-1.614812473541539</v>
      </c>
      <c r="I612">
        <v>3</v>
      </c>
      <c r="J612" t="s">
        <v>23</v>
      </c>
      <c r="K612" s="59" t="s">
        <v>4376</v>
      </c>
    </row>
    <row r="613" spans="1:11" x14ac:dyDescent="0.2">
      <c r="A613" t="s">
        <v>652</v>
      </c>
      <c r="B613">
        <v>2018</v>
      </c>
      <c r="C613" t="s">
        <v>33</v>
      </c>
      <c r="D613">
        <v>38</v>
      </c>
      <c r="E613" t="s">
        <v>38</v>
      </c>
      <c r="F613" t="s">
        <v>39</v>
      </c>
      <c r="G613" t="s">
        <v>15</v>
      </c>
      <c r="H613">
        <v>-2.6063069950516442</v>
      </c>
      <c r="I613">
        <v>3</v>
      </c>
      <c r="J613" t="s">
        <v>23</v>
      </c>
      <c r="K613" s="59" t="s">
        <v>4376</v>
      </c>
    </row>
    <row r="614" spans="1:11" x14ac:dyDescent="0.2">
      <c r="A614" t="s">
        <v>653</v>
      </c>
      <c r="B614">
        <v>2018</v>
      </c>
      <c r="C614" t="s">
        <v>33</v>
      </c>
      <c r="D614">
        <v>320</v>
      </c>
      <c r="E614" t="s">
        <v>13</v>
      </c>
      <c r="F614" t="s">
        <v>14</v>
      </c>
      <c r="G614" t="s">
        <v>15</v>
      </c>
      <c r="H614">
        <v>0.44361995881102417</v>
      </c>
      <c r="I614">
        <v>4</v>
      </c>
      <c r="J614" t="s">
        <v>23</v>
      </c>
      <c r="K614" s="59" t="s">
        <v>16</v>
      </c>
    </row>
    <row r="615" spans="1:11" x14ac:dyDescent="0.2">
      <c r="A615" t="s">
        <v>654</v>
      </c>
      <c r="B615">
        <v>2017</v>
      </c>
      <c r="C615" t="s">
        <v>33</v>
      </c>
      <c r="D615">
        <v>84</v>
      </c>
      <c r="E615" t="s">
        <v>13</v>
      </c>
      <c r="F615" t="s">
        <v>14</v>
      </c>
      <c r="G615" t="s">
        <v>15</v>
      </c>
      <c r="H615">
        <v>2.3542659706024129</v>
      </c>
      <c r="I615">
        <v>4</v>
      </c>
      <c r="J615" t="s">
        <v>16</v>
      </c>
      <c r="K615" s="59" t="s">
        <v>4376</v>
      </c>
    </row>
    <row r="616" spans="1:11" x14ac:dyDescent="0.2">
      <c r="A616" t="s">
        <v>655</v>
      </c>
      <c r="B616">
        <v>2017</v>
      </c>
      <c r="C616" t="s">
        <v>33</v>
      </c>
      <c r="D616">
        <v>21</v>
      </c>
      <c r="E616" t="s">
        <v>20</v>
      </c>
      <c r="F616" t="s">
        <v>21</v>
      </c>
      <c r="G616" t="s">
        <v>15</v>
      </c>
      <c r="H616">
        <v>6.1579158334114936</v>
      </c>
      <c r="I616">
        <v>3</v>
      </c>
      <c r="J616" t="s">
        <v>16</v>
      </c>
      <c r="K616" s="59" t="s">
        <v>4376</v>
      </c>
    </row>
    <row r="617" spans="1:11" x14ac:dyDescent="0.2">
      <c r="A617" t="s">
        <v>656</v>
      </c>
      <c r="B617">
        <v>2018</v>
      </c>
      <c r="C617" t="s">
        <v>33</v>
      </c>
      <c r="D617">
        <v>320</v>
      </c>
      <c r="E617" t="s">
        <v>13</v>
      </c>
      <c r="F617" t="s">
        <v>14</v>
      </c>
      <c r="G617" t="s">
        <v>15</v>
      </c>
      <c r="H617">
        <v>0.44361995881102417</v>
      </c>
      <c r="I617">
        <v>4</v>
      </c>
      <c r="J617" t="s">
        <v>23</v>
      </c>
      <c r="K617" s="59" t="s">
        <v>16</v>
      </c>
    </row>
    <row r="618" spans="1:11" x14ac:dyDescent="0.2">
      <c r="A618" t="s">
        <v>657</v>
      </c>
      <c r="B618">
        <v>2018</v>
      </c>
      <c r="C618" t="s">
        <v>33</v>
      </c>
      <c r="D618">
        <v>137</v>
      </c>
      <c r="E618" t="s">
        <v>13</v>
      </c>
      <c r="F618" t="s">
        <v>14</v>
      </c>
      <c r="G618" t="s">
        <v>15</v>
      </c>
      <c r="H618">
        <v>1.7877807862530299</v>
      </c>
      <c r="I618">
        <v>4</v>
      </c>
      <c r="J618" t="s">
        <v>23</v>
      </c>
      <c r="K618" s="59" t="s">
        <v>23</v>
      </c>
    </row>
    <row r="619" spans="1:11" x14ac:dyDescent="0.2">
      <c r="A619" t="s">
        <v>658</v>
      </c>
      <c r="B619">
        <v>2024</v>
      </c>
      <c r="C619" t="s">
        <v>33</v>
      </c>
      <c r="D619">
        <v>74</v>
      </c>
      <c r="E619" t="s">
        <v>38</v>
      </c>
      <c r="F619" t="s">
        <v>39</v>
      </c>
      <c r="G619" t="s">
        <v>15</v>
      </c>
      <c r="H619">
        <v>-6.4013350153939511E-2</v>
      </c>
      <c r="I619">
        <v>3</v>
      </c>
      <c r="J619" t="s">
        <v>23</v>
      </c>
      <c r="K619" s="59" t="s">
        <v>4376</v>
      </c>
    </row>
    <row r="620" spans="1:11" x14ac:dyDescent="0.2">
      <c r="A620" t="s">
        <v>659</v>
      </c>
      <c r="B620">
        <v>2018</v>
      </c>
      <c r="C620" t="s">
        <v>33</v>
      </c>
      <c r="D620">
        <v>320</v>
      </c>
      <c r="E620" t="s">
        <v>13</v>
      </c>
      <c r="F620" t="s">
        <v>14</v>
      </c>
      <c r="G620" t="s">
        <v>15</v>
      </c>
      <c r="H620">
        <v>0.44361995881102417</v>
      </c>
      <c r="I620">
        <v>4</v>
      </c>
      <c r="J620" t="s">
        <v>23</v>
      </c>
      <c r="K620" s="59" t="s">
        <v>17</v>
      </c>
    </row>
    <row r="621" spans="1:11" x14ac:dyDescent="0.2">
      <c r="A621" t="s">
        <v>660</v>
      </c>
      <c r="B621">
        <v>2018</v>
      </c>
      <c r="C621" t="s">
        <v>33</v>
      </c>
      <c r="D621">
        <v>322</v>
      </c>
      <c r="E621" t="s">
        <v>13</v>
      </c>
      <c r="F621" t="s">
        <v>14</v>
      </c>
      <c r="G621" t="s">
        <v>15</v>
      </c>
      <c r="H621">
        <v>0.4485458524464041</v>
      </c>
      <c r="I621">
        <v>4</v>
      </c>
      <c r="J621" t="s">
        <v>23</v>
      </c>
      <c r="K621" s="59" t="s">
        <v>23</v>
      </c>
    </row>
    <row r="622" spans="1:11" x14ac:dyDescent="0.2">
      <c r="A622" t="s">
        <v>661</v>
      </c>
      <c r="B622">
        <v>2018</v>
      </c>
      <c r="C622" t="s">
        <v>33</v>
      </c>
      <c r="D622">
        <v>320</v>
      </c>
      <c r="E622" t="s">
        <v>13</v>
      </c>
      <c r="F622" t="s">
        <v>14</v>
      </c>
      <c r="G622" t="s">
        <v>15</v>
      </c>
      <c r="H622">
        <v>0.44361995881102417</v>
      </c>
      <c r="I622">
        <v>4</v>
      </c>
      <c r="J622" t="s">
        <v>23</v>
      </c>
      <c r="K622" s="59" t="s">
        <v>4376</v>
      </c>
    </row>
    <row r="623" spans="1:11" x14ac:dyDescent="0.2">
      <c r="A623" t="s">
        <v>662</v>
      </c>
      <c r="B623">
        <v>2018</v>
      </c>
      <c r="C623" t="s">
        <v>33</v>
      </c>
      <c r="D623">
        <v>56</v>
      </c>
      <c r="E623" t="s">
        <v>13</v>
      </c>
      <c r="F623" t="s">
        <v>14</v>
      </c>
      <c r="G623" t="s">
        <v>15</v>
      </c>
      <c r="H623">
        <v>-1.4550796841545699</v>
      </c>
      <c r="I623">
        <v>4</v>
      </c>
      <c r="J623" t="s">
        <v>23</v>
      </c>
      <c r="K623" s="59" t="s">
        <v>4376</v>
      </c>
    </row>
    <row r="624" spans="1:11" x14ac:dyDescent="0.2">
      <c r="A624" t="s">
        <v>663</v>
      </c>
      <c r="B624">
        <v>2017</v>
      </c>
      <c r="C624" t="s">
        <v>19</v>
      </c>
      <c r="D624">
        <v>151</v>
      </c>
      <c r="E624" t="s">
        <v>20</v>
      </c>
      <c r="F624" t="s">
        <v>21</v>
      </c>
      <c r="G624" t="s">
        <v>15</v>
      </c>
      <c r="H624">
        <v>-8.1426320324471585E-2</v>
      </c>
      <c r="I624">
        <v>3</v>
      </c>
      <c r="J624" t="s">
        <v>16</v>
      </c>
      <c r="K624" s="59" t="s">
        <v>16</v>
      </c>
    </row>
    <row r="625" spans="1:11" x14ac:dyDescent="0.2">
      <c r="A625" t="s">
        <v>664</v>
      </c>
      <c r="B625">
        <v>2018</v>
      </c>
      <c r="C625" t="s">
        <v>33</v>
      </c>
      <c r="D625">
        <v>320</v>
      </c>
      <c r="E625" t="s">
        <v>13</v>
      </c>
      <c r="F625" t="s">
        <v>14</v>
      </c>
      <c r="G625" t="s">
        <v>15</v>
      </c>
      <c r="H625">
        <v>0.44361995881102417</v>
      </c>
      <c r="I625">
        <v>4</v>
      </c>
      <c r="J625" t="s">
        <v>23</v>
      </c>
      <c r="K625" s="59" t="s">
        <v>23</v>
      </c>
    </row>
    <row r="626" spans="1:11" x14ac:dyDescent="0.2">
      <c r="A626" t="s">
        <v>665</v>
      </c>
      <c r="B626">
        <v>2018</v>
      </c>
      <c r="C626" t="s">
        <v>33</v>
      </c>
      <c r="D626">
        <v>319</v>
      </c>
      <c r="E626" t="s">
        <v>25</v>
      </c>
      <c r="F626" t="s">
        <v>26</v>
      </c>
      <c r="G626" t="s">
        <v>15</v>
      </c>
      <c r="H626">
        <v>0.59433304974628032</v>
      </c>
      <c r="I626">
        <v>2</v>
      </c>
      <c r="J626" t="s">
        <v>23</v>
      </c>
      <c r="K626" s="59" t="s">
        <v>17</v>
      </c>
    </row>
    <row r="627" spans="1:11" x14ac:dyDescent="0.2">
      <c r="A627" t="s">
        <v>666</v>
      </c>
      <c r="B627">
        <v>2018</v>
      </c>
      <c r="C627" t="s">
        <v>33</v>
      </c>
      <c r="D627">
        <v>318</v>
      </c>
      <c r="E627" t="s">
        <v>25</v>
      </c>
      <c r="F627" t="s">
        <v>26</v>
      </c>
      <c r="G627" t="s">
        <v>15</v>
      </c>
      <c r="H627">
        <v>0.43862967440916872</v>
      </c>
      <c r="I627">
        <v>2</v>
      </c>
      <c r="J627" t="s">
        <v>23</v>
      </c>
      <c r="K627" s="59" t="s">
        <v>4376</v>
      </c>
    </row>
    <row r="628" spans="1:11" x14ac:dyDescent="0.2">
      <c r="A628" t="s">
        <v>667</v>
      </c>
      <c r="B628">
        <v>2019</v>
      </c>
      <c r="C628" t="s">
        <v>12</v>
      </c>
      <c r="D628">
        <v>257</v>
      </c>
      <c r="E628" t="s">
        <v>25</v>
      </c>
      <c r="F628" t="s">
        <v>26</v>
      </c>
      <c r="G628" t="s">
        <v>80</v>
      </c>
      <c r="H628">
        <v>-0.52792332356412619</v>
      </c>
      <c r="I628">
        <v>2</v>
      </c>
      <c r="J628" t="s">
        <v>16</v>
      </c>
      <c r="K628" s="59" t="s">
        <v>23</v>
      </c>
    </row>
    <row r="629" spans="1:11" x14ac:dyDescent="0.2">
      <c r="A629" t="s">
        <v>668</v>
      </c>
      <c r="B629">
        <v>2018</v>
      </c>
      <c r="C629" t="s">
        <v>33</v>
      </c>
      <c r="D629">
        <v>50</v>
      </c>
      <c r="E629" t="s">
        <v>20</v>
      </c>
      <c r="F629" t="s">
        <v>21</v>
      </c>
      <c r="G629" t="s">
        <v>48</v>
      </c>
      <c r="H629">
        <v>-1.614812473541539</v>
      </c>
      <c r="I629">
        <v>3</v>
      </c>
      <c r="J629" t="s">
        <v>23</v>
      </c>
      <c r="K629" s="59" t="s">
        <v>23</v>
      </c>
    </row>
    <row r="630" spans="1:11" x14ac:dyDescent="0.2">
      <c r="A630" t="s">
        <v>669</v>
      </c>
      <c r="B630">
        <v>2018</v>
      </c>
      <c r="C630" t="s">
        <v>33</v>
      </c>
      <c r="D630">
        <v>41</v>
      </c>
      <c r="E630" t="s">
        <v>20</v>
      </c>
      <c r="F630" t="s">
        <v>21</v>
      </c>
      <c r="G630" t="s">
        <v>15</v>
      </c>
      <c r="H630">
        <v>3.1322661529724391E-2</v>
      </c>
      <c r="I630">
        <v>3</v>
      </c>
      <c r="J630" t="s">
        <v>17</v>
      </c>
      <c r="K630" s="59" t="s">
        <v>4376</v>
      </c>
    </row>
    <row r="631" spans="1:11" x14ac:dyDescent="0.2">
      <c r="A631" t="s">
        <v>670</v>
      </c>
      <c r="B631">
        <v>2018</v>
      </c>
      <c r="C631" t="s">
        <v>33</v>
      </c>
      <c r="D631">
        <v>43</v>
      </c>
      <c r="E631" t="s">
        <v>20</v>
      </c>
      <c r="F631" t="s">
        <v>21</v>
      </c>
      <c r="G631" t="s">
        <v>15</v>
      </c>
      <c r="H631">
        <v>-0.98042152447753039</v>
      </c>
      <c r="I631">
        <v>3</v>
      </c>
      <c r="J631" t="s">
        <v>17</v>
      </c>
      <c r="K631" s="59" t="s">
        <v>4376</v>
      </c>
    </row>
    <row r="632" spans="1:11" x14ac:dyDescent="0.2">
      <c r="A632" t="s">
        <v>671</v>
      </c>
      <c r="B632">
        <v>2018</v>
      </c>
      <c r="C632" t="s">
        <v>33</v>
      </c>
      <c r="D632">
        <v>320</v>
      </c>
      <c r="E632" t="s">
        <v>13</v>
      </c>
      <c r="F632" t="s">
        <v>14</v>
      </c>
      <c r="G632" t="s">
        <v>15</v>
      </c>
      <c r="H632">
        <v>0.44361995881102417</v>
      </c>
      <c r="I632">
        <v>4</v>
      </c>
      <c r="J632" t="s">
        <v>23</v>
      </c>
      <c r="K632" s="59" t="s">
        <v>17</v>
      </c>
    </row>
    <row r="633" spans="1:11" x14ac:dyDescent="0.2">
      <c r="A633" t="s">
        <v>672</v>
      </c>
      <c r="B633">
        <v>2018</v>
      </c>
      <c r="C633" t="s">
        <v>33</v>
      </c>
      <c r="D633">
        <v>321</v>
      </c>
      <c r="E633" t="s">
        <v>13</v>
      </c>
      <c r="F633" t="s">
        <v>14</v>
      </c>
      <c r="G633" t="s">
        <v>15</v>
      </c>
      <c r="H633">
        <v>0.59829939552329414</v>
      </c>
      <c r="I633">
        <v>4</v>
      </c>
      <c r="J633" t="s">
        <v>23</v>
      </c>
      <c r="K633" s="59" t="s">
        <v>4376</v>
      </c>
    </row>
    <row r="634" spans="1:11" x14ac:dyDescent="0.2">
      <c r="A634" t="s">
        <v>673</v>
      </c>
      <c r="B634">
        <v>2018</v>
      </c>
      <c r="C634" t="s">
        <v>33</v>
      </c>
      <c r="D634">
        <v>323</v>
      </c>
      <c r="E634" t="s">
        <v>13</v>
      </c>
      <c r="F634" t="s">
        <v>14</v>
      </c>
      <c r="G634" t="s">
        <v>15</v>
      </c>
      <c r="H634">
        <v>0.45098504093466302</v>
      </c>
      <c r="I634">
        <v>4</v>
      </c>
      <c r="J634" t="s">
        <v>23</v>
      </c>
      <c r="K634" s="59" t="s">
        <v>17</v>
      </c>
    </row>
    <row r="635" spans="1:11" x14ac:dyDescent="0.2">
      <c r="A635" t="s">
        <v>674</v>
      </c>
      <c r="B635">
        <v>2018</v>
      </c>
      <c r="C635" t="s">
        <v>33</v>
      </c>
      <c r="D635">
        <v>320</v>
      </c>
      <c r="E635" t="s">
        <v>13</v>
      </c>
      <c r="F635" t="s">
        <v>14</v>
      </c>
      <c r="G635" t="s">
        <v>15</v>
      </c>
      <c r="H635">
        <v>0.44361995881102417</v>
      </c>
      <c r="I635">
        <v>4</v>
      </c>
      <c r="J635" t="s">
        <v>23</v>
      </c>
      <c r="K635" s="59" t="s">
        <v>4376</v>
      </c>
    </row>
    <row r="636" spans="1:11" x14ac:dyDescent="0.2">
      <c r="A636" t="s">
        <v>675</v>
      </c>
      <c r="B636">
        <v>2018</v>
      </c>
      <c r="C636" t="s">
        <v>33</v>
      </c>
      <c r="D636">
        <v>320</v>
      </c>
      <c r="E636" t="s">
        <v>13</v>
      </c>
      <c r="F636" t="s">
        <v>14</v>
      </c>
      <c r="G636" t="s">
        <v>15</v>
      </c>
      <c r="H636">
        <v>0.44361995881102417</v>
      </c>
      <c r="I636">
        <v>4</v>
      </c>
      <c r="J636" t="s">
        <v>23</v>
      </c>
      <c r="K636" s="59" t="s">
        <v>4376</v>
      </c>
    </row>
    <row r="637" spans="1:11" x14ac:dyDescent="0.2">
      <c r="A637" t="s">
        <v>676</v>
      </c>
      <c r="B637">
        <v>2018</v>
      </c>
      <c r="C637" t="s">
        <v>33</v>
      </c>
      <c r="D637">
        <v>322</v>
      </c>
      <c r="E637" t="s">
        <v>13</v>
      </c>
      <c r="F637" t="s">
        <v>14</v>
      </c>
      <c r="G637" t="s">
        <v>15</v>
      </c>
      <c r="H637">
        <v>0.4485458524464041</v>
      </c>
      <c r="I637">
        <v>4</v>
      </c>
      <c r="J637" t="s">
        <v>23</v>
      </c>
      <c r="K637" s="59" t="s">
        <v>16</v>
      </c>
    </row>
    <row r="638" spans="1:11" x14ac:dyDescent="0.2">
      <c r="A638" t="s">
        <v>677</v>
      </c>
      <c r="B638">
        <v>2018</v>
      </c>
      <c r="C638" t="s">
        <v>33</v>
      </c>
      <c r="D638">
        <v>321</v>
      </c>
      <c r="E638" t="s">
        <v>13</v>
      </c>
      <c r="F638" t="s">
        <v>14</v>
      </c>
      <c r="G638" t="s">
        <v>15</v>
      </c>
      <c r="H638">
        <v>0.44361995881102417</v>
      </c>
      <c r="I638">
        <v>4</v>
      </c>
      <c r="J638" t="s">
        <v>23</v>
      </c>
      <c r="K638" s="59" t="s">
        <v>23</v>
      </c>
    </row>
    <row r="639" spans="1:11" x14ac:dyDescent="0.2">
      <c r="A639" t="s">
        <v>678</v>
      </c>
      <c r="B639">
        <v>2018</v>
      </c>
      <c r="C639" t="s">
        <v>33</v>
      </c>
      <c r="D639">
        <v>320</v>
      </c>
      <c r="E639" t="s">
        <v>13</v>
      </c>
      <c r="F639" t="s">
        <v>14</v>
      </c>
      <c r="G639" t="s">
        <v>15</v>
      </c>
      <c r="H639">
        <v>0.44361995881102417</v>
      </c>
      <c r="I639">
        <v>4</v>
      </c>
      <c r="J639" t="s">
        <v>23</v>
      </c>
      <c r="K639" s="59" t="s">
        <v>23</v>
      </c>
    </row>
    <row r="640" spans="1:11" x14ac:dyDescent="0.2">
      <c r="A640" t="s">
        <v>679</v>
      </c>
      <c r="B640">
        <v>2018</v>
      </c>
      <c r="C640" t="s">
        <v>33</v>
      </c>
      <c r="D640">
        <v>321</v>
      </c>
      <c r="E640" t="s">
        <v>13</v>
      </c>
      <c r="F640" t="s">
        <v>14</v>
      </c>
      <c r="G640" t="s">
        <v>15</v>
      </c>
      <c r="H640">
        <v>0.59829939552329414</v>
      </c>
      <c r="I640">
        <v>4</v>
      </c>
      <c r="J640" t="s">
        <v>23</v>
      </c>
      <c r="K640" s="59" t="s">
        <v>23</v>
      </c>
    </row>
    <row r="641" spans="1:11" x14ac:dyDescent="0.2">
      <c r="A641" t="s">
        <v>680</v>
      </c>
      <c r="B641">
        <v>2018</v>
      </c>
      <c r="C641" t="s">
        <v>33</v>
      </c>
      <c r="D641">
        <v>320</v>
      </c>
      <c r="E641" t="s">
        <v>13</v>
      </c>
      <c r="F641" t="s">
        <v>14</v>
      </c>
      <c r="G641" t="s">
        <v>15</v>
      </c>
      <c r="H641">
        <v>0.44361995881102417</v>
      </c>
      <c r="I641">
        <v>4</v>
      </c>
      <c r="J641" t="s">
        <v>23</v>
      </c>
      <c r="K641" s="59" t="s">
        <v>23</v>
      </c>
    </row>
    <row r="642" spans="1:11" x14ac:dyDescent="0.2">
      <c r="A642" t="s">
        <v>681</v>
      </c>
      <c r="B642">
        <v>2018</v>
      </c>
      <c r="C642" t="s">
        <v>33</v>
      </c>
      <c r="D642">
        <v>320</v>
      </c>
      <c r="E642" t="s">
        <v>13</v>
      </c>
      <c r="F642" t="s">
        <v>14</v>
      </c>
      <c r="G642" t="s">
        <v>15</v>
      </c>
      <c r="H642">
        <v>0.44361995881102417</v>
      </c>
      <c r="I642">
        <v>4</v>
      </c>
      <c r="J642" t="s">
        <v>23</v>
      </c>
      <c r="K642" s="59" t="s">
        <v>17</v>
      </c>
    </row>
    <row r="643" spans="1:11" x14ac:dyDescent="0.2">
      <c r="A643" t="s">
        <v>682</v>
      </c>
      <c r="B643">
        <v>2018</v>
      </c>
      <c r="C643" t="s">
        <v>33</v>
      </c>
      <c r="D643">
        <v>320</v>
      </c>
      <c r="E643" t="s">
        <v>13</v>
      </c>
      <c r="F643" t="s">
        <v>14</v>
      </c>
      <c r="G643" t="s">
        <v>15</v>
      </c>
      <c r="H643">
        <v>0.44361995881102417</v>
      </c>
      <c r="I643">
        <v>4</v>
      </c>
      <c r="J643" t="s">
        <v>23</v>
      </c>
      <c r="K643" s="59" t="s">
        <v>17</v>
      </c>
    </row>
    <row r="644" spans="1:11" x14ac:dyDescent="0.2">
      <c r="A644" t="s">
        <v>683</v>
      </c>
      <c r="B644">
        <v>2019</v>
      </c>
      <c r="C644" t="s">
        <v>33</v>
      </c>
      <c r="D644">
        <v>56</v>
      </c>
      <c r="E644" t="s">
        <v>20</v>
      </c>
      <c r="F644" t="s">
        <v>21</v>
      </c>
      <c r="G644" t="s">
        <v>41</v>
      </c>
      <c r="H644">
        <v>0.3672686074626354</v>
      </c>
      <c r="I644">
        <v>3</v>
      </c>
      <c r="J644" t="s">
        <v>16</v>
      </c>
      <c r="K644" s="59" t="s">
        <v>17</v>
      </c>
    </row>
    <row r="645" spans="1:11" x14ac:dyDescent="0.2">
      <c r="A645" t="s">
        <v>684</v>
      </c>
      <c r="B645">
        <v>2020</v>
      </c>
      <c r="C645" t="s">
        <v>12</v>
      </c>
      <c r="D645">
        <v>80</v>
      </c>
      <c r="E645" t="s">
        <v>20</v>
      </c>
      <c r="F645" t="s">
        <v>21</v>
      </c>
      <c r="G645" t="s">
        <v>48</v>
      </c>
      <c r="H645">
        <v>-1.174255511533316</v>
      </c>
      <c r="I645">
        <v>3</v>
      </c>
      <c r="J645" t="s">
        <v>23</v>
      </c>
      <c r="K645" s="59" t="s">
        <v>23</v>
      </c>
    </row>
    <row r="646" spans="1:11" x14ac:dyDescent="0.2">
      <c r="A646" t="s">
        <v>685</v>
      </c>
      <c r="B646">
        <v>2022</v>
      </c>
      <c r="C646" t="s">
        <v>19</v>
      </c>
      <c r="D646">
        <v>353</v>
      </c>
      <c r="E646" t="s">
        <v>53</v>
      </c>
      <c r="F646" t="s">
        <v>54</v>
      </c>
      <c r="G646" t="s">
        <v>15</v>
      </c>
      <c r="H646">
        <v>0.46058692577733279</v>
      </c>
      <c r="I646">
        <v>3</v>
      </c>
      <c r="J646" t="s">
        <v>16</v>
      </c>
      <c r="K646" s="59" t="s">
        <v>17</v>
      </c>
    </row>
    <row r="647" spans="1:11" x14ac:dyDescent="0.2">
      <c r="A647" t="s">
        <v>686</v>
      </c>
      <c r="B647">
        <v>2018</v>
      </c>
      <c r="C647" t="s">
        <v>19</v>
      </c>
      <c r="D647">
        <v>121</v>
      </c>
      <c r="E647" t="s">
        <v>20</v>
      </c>
      <c r="F647" t="s">
        <v>21</v>
      </c>
      <c r="G647" t="s">
        <v>15</v>
      </c>
      <c r="H647">
        <v>0.40997360058970028</v>
      </c>
      <c r="I647">
        <v>3</v>
      </c>
      <c r="J647" t="s">
        <v>23</v>
      </c>
      <c r="K647" s="59" t="s">
        <v>23</v>
      </c>
    </row>
    <row r="648" spans="1:11" x14ac:dyDescent="0.2">
      <c r="A648" t="s">
        <v>687</v>
      </c>
      <c r="B648">
        <v>2020</v>
      </c>
      <c r="C648" t="s">
        <v>33</v>
      </c>
      <c r="D648">
        <v>52</v>
      </c>
      <c r="E648" t="s">
        <v>25</v>
      </c>
      <c r="F648" t="s">
        <v>26</v>
      </c>
      <c r="G648" t="s">
        <v>15</v>
      </c>
      <c r="H648">
        <v>-1.559480200093766</v>
      </c>
      <c r="I648">
        <v>2</v>
      </c>
      <c r="J648" t="s">
        <v>16</v>
      </c>
      <c r="K648" s="59" t="s">
        <v>4376</v>
      </c>
    </row>
    <row r="649" spans="1:11" x14ac:dyDescent="0.2">
      <c r="A649" t="s">
        <v>688</v>
      </c>
      <c r="B649">
        <v>2019</v>
      </c>
      <c r="C649" t="s">
        <v>12</v>
      </c>
      <c r="D649">
        <v>166</v>
      </c>
      <c r="E649" t="s">
        <v>25</v>
      </c>
      <c r="F649" t="s">
        <v>26</v>
      </c>
      <c r="G649" t="s">
        <v>22</v>
      </c>
      <c r="H649">
        <v>-0.63158302190579285</v>
      </c>
      <c r="I649">
        <v>2</v>
      </c>
      <c r="J649" t="s">
        <v>16</v>
      </c>
      <c r="K649" s="59" t="s">
        <v>23</v>
      </c>
    </row>
    <row r="650" spans="1:11" x14ac:dyDescent="0.2">
      <c r="A650" t="s">
        <v>689</v>
      </c>
      <c r="B650">
        <v>2019</v>
      </c>
      <c r="C650" t="s">
        <v>12</v>
      </c>
      <c r="D650">
        <v>64</v>
      </c>
      <c r="E650" t="s">
        <v>13</v>
      </c>
      <c r="F650" t="s">
        <v>14</v>
      </c>
      <c r="G650" t="s">
        <v>147</v>
      </c>
      <c r="H650">
        <v>-0.26263004116157262</v>
      </c>
      <c r="I650">
        <v>4</v>
      </c>
      <c r="J650" t="s">
        <v>23</v>
      </c>
      <c r="K650" s="59" t="s">
        <v>4376</v>
      </c>
    </row>
    <row r="651" spans="1:11" x14ac:dyDescent="0.2">
      <c r="A651" t="s">
        <v>690</v>
      </c>
      <c r="B651">
        <v>2018</v>
      </c>
      <c r="C651" t="s">
        <v>19</v>
      </c>
      <c r="D651">
        <v>83</v>
      </c>
      <c r="E651" t="s">
        <v>20</v>
      </c>
      <c r="F651" t="s">
        <v>21</v>
      </c>
      <c r="G651" t="s">
        <v>15</v>
      </c>
      <c r="H651">
        <v>1.773789284711871</v>
      </c>
      <c r="I651">
        <v>3</v>
      </c>
      <c r="J651" t="s">
        <v>16</v>
      </c>
      <c r="K651" s="59" t="s">
        <v>4376</v>
      </c>
    </row>
    <row r="652" spans="1:11" x14ac:dyDescent="0.2">
      <c r="A652" t="s">
        <v>691</v>
      </c>
      <c r="B652">
        <v>2018</v>
      </c>
      <c r="C652" t="s">
        <v>12</v>
      </c>
      <c r="D652">
        <v>80</v>
      </c>
      <c r="E652" t="s">
        <v>25</v>
      </c>
      <c r="F652" t="s">
        <v>26</v>
      </c>
      <c r="G652" t="s">
        <v>15</v>
      </c>
      <c r="H652">
        <v>3.1322661529724391E-2</v>
      </c>
      <c r="I652">
        <v>2</v>
      </c>
      <c r="J652" t="s">
        <v>23</v>
      </c>
      <c r="K652" s="59" t="s">
        <v>16</v>
      </c>
    </row>
    <row r="653" spans="1:11" x14ac:dyDescent="0.2">
      <c r="A653" t="s">
        <v>692</v>
      </c>
      <c r="B653">
        <v>2018</v>
      </c>
      <c r="C653" t="s">
        <v>33</v>
      </c>
      <c r="D653">
        <v>320</v>
      </c>
      <c r="E653" t="s">
        <v>13</v>
      </c>
      <c r="F653" t="s">
        <v>14</v>
      </c>
      <c r="G653" t="s">
        <v>15</v>
      </c>
      <c r="H653">
        <v>0.44361995881102417</v>
      </c>
      <c r="I653">
        <v>4</v>
      </c>
      <c r="J653" t="s">
        <v>23</v>
      </c>
      <c r="K653" s="59" t="s">
        <v>4376</v>
      </c>
    </row>
    <row r="654" spans="1:11" x14ac:dyDescent="0.2">
      <c r="A654" t="s">
        <v>693</v>
      </c>
      <c r="B654">
        <v>2017</v>
      </c>
      <c r="C654" t="s">
        <v>19</v>
      </c>
      <c r="D654">
        <v>102</v>
      </c>
      <c r="E654" t="s">
        <v>20</v>
      </c>
      <c r="F654" t="s">
        <v>21</v>
      </c>
      <c r="G654" t="s">
        <v>22</v>
      </c>
      <c r="H654">
        <v>0.2064434205798589</v>
      </c>
      <c r="I654">
        <v>3</v>
      </c>
      <c r="J654" t="s">
        <v>23</v>
      </c>
      <c r="K654" s="59" t="s">
        <v>16</v>
      </c>
    </row>
    <row r="655" spans="1:11" x14ac:dyDescent="0.2">
      <c r="A655" t="s">
        <v>694</v>
      </c>
      <c r="B655">
        <v>2018</v>
      </c>
      <c r="C655" t="s">
        <v>33</v>
      </c>
      <c r="D655">
        <v>57</v>
      </c>
      <c r="E655" t="s">
        <v>20</v>
      </c>
      <c r="F655" t="s">
        <v>21</v>
      </c>
      <c r="G655" t="s">
        <v>80</v>
      </c>
      <c r="H655">
        <v>-2.020582478825212</v>
      </c>
      <c r="I655">
        <v>3</v>
      </c>
      <c r="J655" t="s">
        <v>23</v>
      </c>
      <c r="K655" s="59" t="s">
        <v>4376</v>
      </c>
    </row>
    <row r="656" spans="1:11" x14ac:dyDescent="0.2">
      <c r="A656" t="s">
        <v>695</v>
      </c>
      <c r="B656">
        <v>2018</v>
      </c>
      <c r="C656" t="s">
        <v>12</v>
      </c>
      <c r="D656">
        <v>51</v>
      </c>
      <c r="E656" t="s">
        <v>20</v>
      </c>
      <c r="F656" t="s">
        <v>21</v>
      </c>
      <c r="G656" t="s">
        <v>48</v>
      </c>
      <c r="H656">
        <v>-1.559480200093766</v>
      </c>
      <c r="I656">
        <v>3</v>
      </c>
      <c r="J656" t="s">
        <v>23</v>
      </c>
      <c r="K656" s="59" t="s">
        <v>23</v>
      </c>
    </row>
    <row r="657" spans="1:11" x14ac:dyDescent="0.2">
      <c r="A657" t="s">
        <v>696</v>
      </c>
      <c r="B657">
        <v>2018</v>
      </c>
      <c r="C657" t="s">
        <v>33</v>
      </c>
      <c r="D657">
        <v>320</v>
      </c>
      <c r="E657" t="s">
        <v>13</v>
      </c>
      <c r="F657" t="s">
        <v>14</v>
      </c>
      <c r="G657" t="s">
        <v>15</v>
      </c>
      <c r="H657">
        <v>0.44361995881102417</v>
      </c>
      <c r="I657">
        <v>4</v>
      </c>
      <c r="J657" t="s">
        <v>23</v>
      </c>
      <c r="K657" s="59" t="s">
        <v>4376</v>
      </c>
    </row>
    <row r="658" spans="1:11" x14ac:dyDescent="0.2">
      <c r="A658" t="s">
        <v>697</v>
      </c>
      <c r="B658">
        <v>2019</v>
      </c>
      <c r="C658" t="s">
        <v>19</v>
      </c>
      <c r="D658">
        <v>91</v>
      </c>
      <c r="E658" t="s">
        <v>20</v>
      </c>
      <c r="F658" t="s">
        <v>21</v>
      </c>
      <c r="G658" t="s">
        <v>15</v>
      </c>
      <c r="H658">
        <v>0.67267401285619066</v>
      </c>
      <c r="I658">
        <v>3</v>
      </c>
      <c r="J658" t="s">
        <v>23</v>
      </c>
      <c r="K658" s="59" t="s">
        <v>16</v>
      </c>
    </row>
    <row r="659" spans="1:11" x14ac:dyDescent="0.2">
      <c r="A659" t="s">
        <v>698</v>
      </c>
      <c r="B659">
        <v>2017</v>
      </c>
      <c r="C659" t="s">
        <v>12</v>
      </c>
      <c r="D659">
        <v>115</v>
      </c>
      <c r="E659" t="s">
        <v>20</v>
      </c>
      <c r="F659" t="s">
        <v>21</v>
      </c>
      <c r="G659" t="s">
        <v>15</v>
      </c>
      <c r="H659">
        <v>1.207133472294913</v>
      </c>
      <c r="I659">
        <v>3</v>
      </c>
      <c r="J659" t="s">
        <v>16</v>
      </c>
      <c r="K659" s="59" t="s">
        <v>4376</v>
      </c>
    </row>
    <row r="660" spans="1:11" x14ac:dyDescent="0.2">
      <c r="A660" t="s">
        <v>699</v>
      </c>
      <c r="B660">
        <v>2017</v>
      </c>
      <c r="C660" t="s">
        <v>19</v>
      </c>
      <c r="D660">
        <v>149</v>
      </c>
      <c r="E660" t="s">
        <v>29</v>
      </c>
      <c r="F660" t="s">
        <v>30</v>
      </c>
      <c r="G660" t="s">
        <v>15</v>
      </c>
      <c r="H660">
        <v>0.5584102663554984</v>
      </c>
      <c r="I660">
        <v>4</v>
      </c>
      <c r="J660" t="s">
        <v>16</v>
      </c>
      <c r="K660" s="59" t="s">
        <v>17</v>
      </c>
    </row>
    <row r="661" spans="1:11" x14ac:dyDescent="0.2">
      <c r="A661" t="s">
        <v>700</v>
      </c>
      <c r="B661">
        <v>2018</v>
      </c>
      <c r="C661" t="s">
        <v>33</v>
      </c>
      <c r="D661">
        <v>320</v>
      </c>
      <c r="E661" t="s">
        <v>13</v>
      </c>
      <c r="F661" t="s">
        <v>14</v>
      </c>
      <c r="G661" t="s">
        <v>15</v>
      </c>
      <c r="H661">
        <v>0.44361995881102417</v>
      </c>
      <c r="I661">
        <v>4</v>
      </c>
      <c r="J661" t="s">
        <v>23</v>
      </c>
      <c r="K661" s="59" t="s">
        <v>4376</v>
      </c>
    </row>
    <row r="662" spans="1:11" x14ac:dyDescent="0.2">
      <c r="A662" t="s">
        <v>701</v>
      </c>
      <c r="B662">
        <v>2018</v>
      </c>
      <c r="C662" t="s">
        <v>19</v>
      </c>
      <c r="D662">
        <v>113</v>
      </c>
      <c r="E662" t="s">
        <v>13</v>
      </c>
      <c r="F662" t="s">
        <v>14</v>
      </c>
      <c r="G662" t="s">
        <v>48</v>
      </c>
      <c r="H662">
        <v>1.207133472294913</v>
      </c>
      <c r="I662">
        <v>4</v>
      </c>
      <c r="J662" t="s">
        <v>23</v>
      </c>
      <c r="K662" s="59" t="s">
        <v>16</v>
      </c>
    </row>
    <row r="663" spans="1:11" x14ac:dyDescent="0.2">
      <c r="A663" t="s">
        <v>702</v>
      </c>
      <c r="B663">
        <v>2017</v>
      </c>
      <c r="C663" t="s">
        <v>19</v>
      </c>
      <c r="D663">
        <v>65</v>
      </c>
      <c r="E663" t="s">
        <v>13</v>
      </c>
      <c r="F663" t="s">
        <v>14</v>
      </c>
      <c r="G663" t="s">
        <v>15</v>
      </c>
      <c r="H663">
        <v>1.207133472294913</v>
      </c>
      <c r="I663">
        <v>4</v>
      </c>
      <c r="J663" t="s">
        <v>23</v>
      </c>
      <c r="K663" s="59" t="s">
        <v>17</v>
      </c>
    </row>
    <row r="664" spans="1:11" x14ac:dyDescent="0.2">
      <c r="A664" t="s">
        <v>703</v>
      </c>
      <c r="B664">
        <v>2018</v>
      </c>
      <c r="C664" t="s">
        <v>19</v>
      </c>
      <c r="D664">
        <v>61</v>
      </c>
      <c r="E664" t="s">
        <v>29</v>
      </c>
      <c r="F664" t="s">
        <v>30</v>
      </c>
      <c r="G664" t="s">
        <v>48</v>
      </c>
      <c r="H664">
        <v>0.40997360058970028</v>
      </c>
      <c r="I664">
        <v>4</v>
      </c>
      <c r="J664" t="s">
        <v>23</v>
      </c>
      <c r="K664" s="59" t="s">
        <v>17</v>
      </c>
    </row>
    <row r="665" spans="1:11" x14ac:dyDescent="0.2">
      <c r="A665" t="s">
        <v>704</v>
      </c>
      <c r="B665">
        <v>2018</v>
      </c>
      <c r="C665" t="s">
        <v>33</v>
      </c>
      <c r="D665">
        <v>519</v>
      </c>
      <c r="E665" t="s">
        <v>25</v>
      </c>
      <c r="F665" t="s">
        <v>26</v>
      </c>
      <c r="G665" t="s">
        <v>22</v>
      </c>
      <c r="H665">
        <v>0.56032202432977962</v>
      </c>
      <c r="I665">
        <v>2</v>
      </c>
      <c r="J665" t="s">
        <v>17</v>
      </c>
      <c r="K665" s="59" t="s">
        <v>4376</v>
      </c>
    </row>
    <row r="666" spans="1:11" x14ac:dyDescent="0.2">
      <c r="A666" t="s">
        <v>705</v>
      </c>
      <c r="B666">
        <v>2017</v>
      </c>
      <c r="C666" t="s">
        <v>19</v>
      </c>
      <c r="D666">
        <v>153</v>
      </c>
      <c r="E666" t="s">
        <v>20</v>
      </c>
      <c r="F666" t="s">
        <v>21</v>
      </c>
      <c r="G666" t="s">
        <v>15</v>
      </c>
      <c r="H666">
        <v>0.25377335545827351</v>
      </c>
      <c r="I666">
        <v>3</v>
      </c>
      <c r="J666" t="s">
        <v>16</v>
      </c>
      <c r="K666" s="59" t="s">
        <v>16</v>
      </c>
    </row>
    <row r="667" spans="1:11" x14ac:dyDescent="0.2">
      <c r="A667" t="s">
        <v>706</v>
      </c>
      <c r="B667">
        <v>2018</v>
      </c>
      <c r="C667" t="s">
        <v>19</v>
      </c>
      <c r="D667">
        <v>154</v>
      </c>
      <c r="E667" t="s">
        <v>13</v>
      </c>
      <c r="F667" t="s">
        <v>14</v>
      </c>
      <c r="G667" t="s">
        <v>15</v>
      </c>
      <c r="H667">
        <v>1.3649604267600379</v>
      </c>
      <c r="I667">
        <v>4</v>
      </c>
      <c r="J667" t="s">
        <v>16</v>
      </c>
      <c r="K667" s="59" t="s">
        <v>4376</v>
      </c>
    </row>
    <row r="668" spans="1:11" x14ac:dyDescent="0.2">
      <c r="A668" t="s">
        <v>707</v>
      </c>
      <c r="B668">
        <v>2018</v>
      </c>
      <c r="C668" t="s">
        <v>19</v>
      </c>
      <c r="D668">
        <v>222</v>
      </c>
      <c r="E668" t="s">
        <v>29</v>
      </c>
      <c r="F668" t="s">
        <v>30</v>
      </c>
      <c r="G668" t="s">
        <v>15</v>
      </c>
      <c r="H668">
        <v>0.54780030737985386</v>
      </c>
      <c r="I668">
        <v>4</v>
      </c>
      <c r="J668" t="s">
        <v>23</v>
      </c>
      <c r="K668" s="59" t="s">
        <v>17</v>
      </c>
    </row>
    <row r="669" spans="1:11" x14ac:dyDescent="0.2">
      <c r="A669" t="s">
        <v>708</v>
      </c>
      <c r="B669">
        <v>2019</v>
      </c>
      <c r="C669" t="s">
        <v>33</v>
      </c>
      <c r="D669">
        <v>187</v>
      </c>
      <c r="E669" t="s">
        <v>25</v>
      </c>
      <c r="F669" t="s">
        <v>26</v>
      </c>
      <c r="G669" t="s">
        <v>15</v>
      </c>
      <c r="H669">
        <v>0.50252774299742164</v>
      </c>
      <c r="I669">
        <v>2</v>
      </c>
      <c r="J669" t="s">
        <v>16</v>
      </c>
      <c r="K669" s="59" t="s">
        <v>4376</v>
      </c>
    </row>
    <row r="670" spans="1:11" x14ac:dyDescent="0.2">
      <c r="A670" t="s">
        <v>709</v>
      </c>
      <c r="B670">
        <v>2018</v>
      </c>
      <c r="C670" t="s">
        <v>19</v>
      </c>
      <c r="D670">
        <v>71</v>
      </c>
      <c r="E670" t="s">
        <v>20</v>
      </c>
      <c r="F670" t="s">
        <v>21</v>
      </c>
      <c r="G670" t="s">
        <v>147</v>
      </c>
      <c r="H670">
        <v>-0.1968197345888941</v>
      </c>
      <c r="I670">
        <v>3</v>
      </c>
      <c r="J670" t="s">
        <v>16</v>
      </c>
      <c r="K670" s="59" t="s">
        <v>23</v>
      </c>
    </row>
    <row r="671" spans="1:11" x14ac:dyDescent="0.2">
      <c r="A671" t="s">
        <v>710</v>
      </c>
      <c r="B671">
        <v>2018</v>
      </c>
      <c r="C671" t="s">
        <v>33</v>
      </c>
      <c r="D671">
        <v>320</v>
      </c>
      <c r="E671" t="s">
        <v>13</v>
      </c>
      <c r="F671" t="s">
        <v>14</v>
      </c>
      <c r="G671" t="s">
        <v>15</v>
      </c>
      <c r="H671">
        <v>0.44361995881102417</v>
      </c>
      <c r="I671">
        <v>4</v>
      </c>
      <c r="J671" t="s">
        <v>23</v>
      </c>
      <c r="K671" s="59" t="s">
        <v>4376</v>
      </c>
    </row>
    <row r="672" spans="1:11" x14ac:dyDescent="0.2">
      <c r="A672" t="s">
        <v>711</v>
      </c>
      <c r="B672">
        <v>2018</v>
      </c>
      <c r="C672" t="s">
        <v>33</v>
      </c>
      <c r="D672">
        <v>353</v>
      </c>
      <c r="E672" t="s">
        <v>25</v>
      </c>
      <c r="F672" t="s">
        <v>26</v>
      </c>
      <c r="G672" t="s">
        <v>22</v>
      </c>
      <c r="H672">
        <v>-0.42404915535621529</v>
      </c>
      <c r="I672">
        <v>2</v>
      </c>
      <c r="J672" t="s">
        <v>23</v>
      </c>
      <c r="K672" s="59" t="s">
        <v>4376</v>
      </c>
    </row>
    <row r="673" spans="1:11" x14ac:dyDescent="0.2">
      <c r="A673" t="s">
        <v>712</v>
      </c>
      <c r="B673">
        <v>2018</v>
      </c>
      <c r="C673" t="s">
        <v>33</v>
      </c>
      <c r="D673">
        <v>320</v>
      </c>
      <c r="E673" t="s">
        <v>13</v>
      </c>
      <c r="F673" t="s">
        <v>14</v>
      </c>
      <c r="G673" t="s">
        <v>15</v>
      </c>
      <c r="H673">
        <v>0.44361995881102417</v>
      </c>
      <c r="I673">
        <v>4</v>
      </c>
      <c r="J673" t="s">
        <v>23</v>
      </c>
      <c r="K673" s="59" t="s">
        <v>4376</v>
      </c>
    </row>
    <row r="674" spans="1:11" x14ac:dyDescent="0.2">
      <c r="A674" t="s">
        <v>713</v>
      </c>
      <c r="B674">
        <v>2017</v>
      </c>
      <c r="C674" t="s">
        <v>19</v>
      </c>
      <c r="D674">
        <v>175</v>
      </c>
      <c r="E674" t="s">
        <v>20</v>
      </c>
      <c r="F674" t="s">
        <v>21</v>
      </c>
      <c r="G674" t="s">
        <v>48</v>
      </c>
      <c r="H674">
        <v>-0.82171655412345124</v>
      </c>
      <c r="I674">
        <v>3</v>
      </c>
      <c r="J674" t="s">
        <v>23</v>
      </c>
      <c r="K674" s="59" t="s">
        <v>23</v>
      </c>
    </row>
    <row r="675" spans="1:11" x14ac:dyDescent="0.2">
      <c r="A675" t="s">
        <v>714</v>
      </c>
      <c r="B675">
        <v>2019</v>
      </c>
      <c r="C675" t="s">
        <v>33</v>
      </c>
      <c r="D675">
        <v>189</v>
      </c>
      <c r="E675" t="s">
        <v>25</v>
      </c>
      <c r="F675" t="s">
        <v>26</v>
      </c>
      <c r="G675" t="s">
        <v>15</v>
      </c>
      <c r="H675">
        <v>0.51035669554517149</v>
      </c>
      <c r="I675">
        <v>2</v>
      </c>
      <c r="J675" t="s">
        <v>16</v>
      </c>
      <c r="K675" s="59" t="s">
        <v>4376</v>
      </c>
    </row>
    <row r="676" spans="1:11" x14ac:dyDescent="0.2">
      <c r="A676" t="s">
        <v>715</v>
      </c>
      <c r="B676">
        <v>2018</v>
      </c>
      <c r="C676" t="s">
        <v>33</v>
      </c>
      <c r="D676">
        <v>67</v>
      </c>
      <c r="E676" t="s">
        <v>38</v>
      </c>
      <c r="F676" t="s">
        <v>39</v>
      </c>
      <c r="G676" t="s">
        <v>15</v>
      </c>
      <c r="H676">
        <v>0.50515686885300926</v>
      </c>
      <c r="I676">
        <v>3</v>
      </c>
      <c r="J676" t="s">
        <v>23</v>
      </c>
      <c r="K676" s="59" t="s">
        <v>4376</v>
      </c>
    </row>
    <row r="677" spans="1:11" x14ac:dyDescent="0.2">
      <c r="A677" t="s">
        <v>716</v>
      </c>
      <c r="B677">
        <v>2017</v>
      </c>
      <c r="C677" t="s">
        <v>33</v>
      </c>
      <c r="D677">
        <v>49</v>
      </c>
      <c r="E677" t="s">
        <v>25</v>
      </c>
      <c r="F677" t="s">
        <v>26</v>
      </c>
      <c r="G677" t="s">
        <v>15</v>
      </c>
      <c r="H677">
        <v>-1.732393554618058</v>
      </c>
      <c r="I677">
        <v>2</v>
      </c>
      <c r="J677" t="s">
        <v>23</v>
      </c>
      <c r="K677" s="59" t="s">
        <v>4376</v>
      </c>
    </row>
    <row r="678" spans="1:11" x14ac:dyDescent="0.2">
      <c r="A678" t="s">
        <v>717</v>
      </c>
      <c r="B678">
        <v>2018</v>
      </c>
      <c r="C678" t="s">
        <v>33</v>
      </c>
      <c r="D678">
        <v>320</v>
      </c>
      <c r="E678" t="s">
        <v>13</v>
      </c>
      <c r="F678" t="s">
        <v>14</v>
      </c>
      <c r="G678" t="s">
        <v>15</v>
      </c>
      <c r="H678">
        <v>0.44361995881102417</v>
      </c>
      <c r="I678">
        <v>4</v>
      </c>
      <c r="J678" t="s">
        <v>23</v>
      </c>
      <c r="K678" s="59" t="s">
        <v>4376</v>
      </c>
    </row>
    <row r="679" spans="1:11" x14ac:dyDescent="0.2">
      <c r="A679" t="s">
        <v>718</v>
      </c>
      <c r="B679">
        <v>2018</v>
      </c>
      <c r="C679" t="s">
        <v>33</v>
      </c>
      <c r="D679">
        <v>74</v>
      </c>
      <c r="E679" t="s">
        <v>29</v>
      </c>
      <c r="F679" t="s">
        <v>30</v>
      </c>
      <c r="G679" t="s">
        <v>36</v>
      </c>
      <c r="H679">
        <v>-1.519384349769292</v>
      </c>
      <c r="I679">
        <v>4</v>
      </c>
      <c r="J679" t="s">
        <v>23</v>
      </c>
      <c r="K679" s="59" t="s">
        <v>4376</v>
      </c>
    </row>
    <row r="680" spans="1:11" x14ac:dyDescent="0.2">
      <c r="A680" t="s">
        <v>719</v>
      </c>
      <c r="B680">
        <v>2019</v>
      </c>
      <c r="C680" t="s">
        <v>33</v>
      </c>
      <c r="D680">
        <v>97</v>
      </c>
      <c r="E680" t="s">
        <v>25</v>
      </c>
      <c r="F680" t="s">
        <v>26</v>
      </c>
      <c r="G680" t="s">
        <v>15</v>
      </c>
      <c r="H680">
        <v>0.51035669554517149</v>
      </c>
      <c r="I680">
        <v>2</v>
      </c>
      <c r="J680" t="s">
        <v>17</v>
      </c>
      <c r="K680" s="59" t="s">
        <v>4376</v>
      </c>
    </row>
    <row r="681" spans="1:11" x14ac:dyDescent="0.2">
      <c r="A681" t="s">
        <v>720</v>
      </c>
      <c r="B681">
        <v>2021</v>
      </c>
      <c r="C681" t="s">
        <v>19</v>
      </c>
      <c r="D681">
        <v>441</v>
      </c>
      <c r="E681" t="s">
        <v>38</v>
      </c>
      <c r="F681" t="s">
        <v>39</v>
      </c>
      <c r="G681" t="s">
        <v>15</v>
      </c>
      <c r="H681">
        <v>0.54780030737985386</v>
      </c>
      <c r="I681">
        <v>3</v>
      </c>
      <c r="J681" t="s">
        <v>23</v>
      </c>
      <c r="K681" s="59" t="s">
        <v>16</v>
      </c>
    </row>
    <row r="682" spans="1:11" x14ac:dyDescent="0.2">
      <c r="A682" t="s">
        <v>721</v>
      </c>
      <c r="B682">
        <v>2018</v>
      </c>
      <c r="C682" t="s">
        <v>33</v>
      </c>
      <c r="D682">
        <v>278</v>
      </c>
      <c r="E682" t="s">
        <v>20</v>
      </c>
      <c r="F682" t="s">
        <v>21</v>
      </c>
      <c r="G682" t="s">
        <v>15</v>
      </c>
      <c r="H682">
        <v>0.24236562756450181</v>
      </c>
      <c r="I682">
        <v>3</v>
      </c>
      <c r="J682" t="s">
        <v>16</v>
      </c>
      <c r="K682" s="59" t="s">
        <v>16</v>
      </c>
    </row>
    <row r="683" spans="1:11" x14ac:dyDescent="0.2">
      <c r="A683" t="s">
        <v>722</v>
      </c>
      <c r="B683">
        <v>2020</v>
      </c>
      <c r="C683" t="s">
        <v>33</v>
      </c>
      <c r="D683">
        <v>72</v>
      </c>
      <c r="E683" t="s">
        <v>29</v>
      </c>
      <c r="F683" t="s">
        <v>30</v>
      </c>
      <c r="G683" t="s">
        <v>36</v>
      </c>
      <c r="H683">
        <v>-0.83775489425324057</v>
      </c>
      <c r="I683">
        <v>4</v>
      </c>
      <c r="J683" t="s">
        <v>23</v>
      </c>
      <c r="K683" s="59" t="s">
        <v>4376</v>
      </c>
    </row>
    <row r="684" spans="1:11" x14ac:dyDescent="0.2">
      <c r="A684" t="s">
        <v>723</v>
      </c>
      <c r="B684">
        <v>2018</v>
      </c>
      <c r="C684" t="s">
        <v>33</v>
      </c>
      <c r="D684">
        <v>323</v>
      </c>
      <c r="E684" t="s">
        <v>13</v>
      </c>
      <c r="F684" t="s">
        <v>14</v>
      </c>
      <c r="G684" t="s">
        <v>15</v>
      </c>
      <c r="H684">
        <v>0.4485458524464041</v>
      </c>
      <c r="I684">
        <v>4</v>
      </c>
      <c r="J684" t="s">
        <v>23</v>
      </c>
      <c r="K684" s="59" t="s">
        <v>4376</v>
      </c>
    </row>
    <row r="685" spans="1:11" x14ac:dyDescent="0.2">
      <c r="A685" t="s">
        <v>724</v>
      </c>
      <c r="B685">
        <v>2019</v>
      </c>
      <c r="C685" t="s">
        <v>19</v>
      </c>
      <c r="D685">
        <v>145</v>
      </c>
      <c r="E685" t="s">
        <v>25</v>
      </c>
      <c r="F685" t="s">
        <v>26</v>
      </c>
      <c r="G685" t="s">
        <v>22</v>
      </c>
      <c r="H685">
        <v>-1.238997765230774</v>
      </c>
      <c r="I685">
        <v>2</v>
      </c>
      <c r="J685" t="s">
        <v>16</v>
      </c>
      <c r="K685" s="59" t="s">
        <v>23</v>
      </c>
    </row>
    <row r="686" spans="1:11" x14ac:dyDescent="0.2">
      <c r="A686" t="s">
        <v>725</v>
      </c>
      <c r="B686">
        <v>2018</v>
      </c>
      <c r="C686" t="s">
        <v>33</v>
      </c>
      <c r="D686">
        <v>96</v>
      </c>
      <c r="E686" t="s">
        <v>38</v>
      </c>
      <c r="F686" t="s">
        <v>39</v>
      </c>
      <c r="G686" t="s">
        <v>15</v>
      </c>
      <c r="H686">
        <v>1.207133472294913</v>
      </c>
      <c r="I686">
        <v>3</v>
      </c>
      <c r="J686" t="s">
        <v>23</v>
      </c>
      <c r="K686" s="59" t="s">
        <v>4376</v>
      </c>
    </row>
    <row r="687" spans="1:11" x14ac:dyDescent="0.2">
      <c r="A687" t="s">
        <v>726</v>
      </c>
      <c r="B687">
        <v>2018</v>
      </c>
      <c r="C687" t="s">
        <v>33</v>
      </c>
      <c r="D687">
        <v>320</v>
      </c>
      <c r="E687" t="s">
        <v>13</v>
      </c>
      <c r="F687" t="s">
        <v>14</v>
      </c>
      <c r="G687" t="s">
        <v>15</v>
      </c>
      <c r="H687">
        <v>0.44361995881102417</v>
      </c>
      <c r="I687">
        <v>4</v>
      </c>
      <c r="J687" t="s">
        <v>23</v>
      </c>
      <c r="K687" s="59" t="s">
        <v>4376</v>
      </c>
    </row>
    <row r="688" spans="1:11" x14ac:dyDescent="0.2">
      <c r="A688" t="s">
        <v>727</v>
      </c>
      <c r="B688">
        <v>2019</v>
      </c>
      <c r="C688" t="s">
        <v>19</v>
      </c>
      <c r="D688">
        <v>74</v>
      </c>
      <c r="E688" t="s">
        <v>29</v>
      </c>
      <c r="F688" t="s">
        <v>30</v>
      </c>
      <c r="G688" t="s">
        <v>15</v>
      </c>
      <c r="H688">
        <v>0.55390524409203035</v>
      </c>
      <c r="I688">
        <v>4</v>
      </c>
      <c r="J688" t="s">
        <v>23</v>
      </c>
      <c r="K688" s="59" t="s">
        <v>16</v>
      </c>
    </row>
    <row r="689" spans="1:11" x14ac:dyDescent="0.2">
      <c r="A689" t="s">
        <v>728</v>
      </c>
      <c r="B689">
        <v>2019</v>
      </c>
      <c r="C689" t="s">
        <v>33</v>
      </c>
      <c r="D689">
        <v>131</v>
      </c>
      <c r="E689" t="s">
        <v>20</v>
      </c>
      <c r="F689" t="s">
        <v>21</v>
      </c>
      <c r="G689" t="s">
        <v>15</v>
      </c>
      <c r="H689">
        <v>1.207133472294913</v>
      </c>
      <c r="I689">
        <v>3</v>
      </c>
      <c r="J689" t="s">
        <v>17</v>
      </c>
      <c r="K689" s="59" t="s">
        <v>4376</v>
      </c>
    </row>
    <row r="690" spans="1:11" x14ac:dyDescent="0.2">
      <c r="A690" t="s">
        <v>729</v>
      </c>
      <c r="B690">
        <v>2018</v>
      </c>
      <c r="C690" t="s">
        <v>33</v>
      </c>
      <c r="D690">
        <v>320</v>
      </c>
      <c r="E690" t="s">
        <v>13</v>
      </c>
      <c r="F690" t="s">
        <v>14</v>
      </c>
      <c r="G690" t="s">
        <v>15</v>
      </c>
      <c r="H690">
        <v>0.44361995881102417</v>
      </c>
      <c r="I690">
        <v>4</v>
      </c>
      <c r="J690" t="s">
        <v>23</v>
      </c>
      <c r="K690" s="59" t="s">
        <v>4376</v>
      </c>
    </row>
    <row r="691" spans="1:11" x14ac:dyDescent="0.2">
      <c r="A691" t="s">
        <v>730</v>
      </c>
      <c r="B691">
        <v>2018</v>
      </c>
      <c r="C691" t="s">
        <v>33</v>
      </c>
      <c r="D691">
        <v>108</v>
      </c>
      <c r="E691" t="s">
        <v>38</v>
      </c>
      <c r="F691" t="s">
        <v>39</v>
      </c>
      <c r="G691" t="s">
        <v>15</v>
      </c>
      <c r="H691">
        <v>1.207133472294913</v>
      </c>
      <c r="I691">
        <v>3</v>
      </c>
      <c r="J691" t="s">
        <v>23</v>
      </c>
      <c r="K691" s="59" t="s">
        <v>4376</v>
      </c>
    </row>
    <row r="692" spans="1:11" x14ac:dyDescent="0.2">
      <c r="A692" t="s">
        <v>731</v>
      </c>
      <c r="B692">
        <v>2018</v>
      </c>
      <c r="C692" t="s">
        <v>19</v>
      </c>
      <c r="D692">
        <v>135</v>
      </c>
      <c r="E692" t="s">
        <v>13</v>
      </c>
      <c r="F692" t="s">
        <v>14</v>
      </c>
      <c r="G692" t="s">
        <v>15</v>
      </c>
      <c r="H692">
        <v>1.796512324808792</v>
      </c>
      <c r="I692">
        <v>4</v>
      </c>
      <c r="J692" t="s">
        <v>17</v>
      </c>
      <c r="K692" s="59" t="s">
        <v>17</v>
      </c>
    </row>
    <row r="693" spans="1:11" x14ac:dyDescent="0.2">
      <c r="A693" t="s">
        <v>732</v>
      </c>
      <c r="B693">
        <v>2018</v>
      </c>
      <c r="C693" t="s">
        <v>33</v>
      </c>
      <c r="D693">
        <v>320</v>
      </c>
      <c r="E693" t="s">
        <v>13</v>
      </c>
      <c r="F693" t="s">
        <v>14</v>
      </c>
      <c r="G693" t="s">
        <v>15</v>
      </c>
      <c r="H693">
        <v>0.44361995881102417</v>
      </c>
      <c r="I693">
        <v>4</v>
      </c>
      <c r="J693" t="s">
        <v>23</v>
      </c>
      <c r="K693" s="59" t="s">
        <v>4376</v>
      </c>
    </row>
    <row r="694" spans="1:11" x14ac:dyDescent="0.2">
      <c r="A694" t="s">
        <v>733</v>
      </c>
      <c r="B694">
        <v>2018</v>
      </c>
      <c r="C694" t="s">
        <v>33</v>
      </c>
      <c r="D694">
        <v>96</v>
      </c>
      <c r="E694" t="s">
        <v>38</v>
      </c>
      <c r="F694" t="s">
        <v>39</v>
      </c>
      <c r="G694" t="s">
        <v>15</v>
      </c>
      <c r="H694">
        <v>1.207133472294913</v>
      </c>
      <c r="I694">
        <v>3</v>
      </c>
      <c r="J694" t="s">
        <v>23</v>
      </c>
      <c r="K694" s="59" t="s">
        <v>4376</v>
      </c>
    </row>
    <row r="695" spans="1:11" x14ac:dyDescent="0.2">
      <c r="A695" t="s">
        <v>734</v>
      </c>
      <c r="B695">
        <v>2022</v>
      </c>
      <c r="C695" t="s">
        <v>33</v>
      </c>
      <c r="D695">
        <v>353</v>
      </c>
      <c r="E695" t="s">
        <v>53</v>
      </c>
      <c r="F695" t="s">
        <v>54</v>
      </c>
      <c r="G695" t="s">
        <v>15</v>
      </c>
      <c r="H695">
        <v>0.46058692577733279</v>
      </c>
      <c r="I695">
        <v>3</v>
      </c>
      <c r="J695" t="s">
        <v>16</v>
      </c>
      <c r="K695" s="59" t="s">
        <v>16</v>
      </c>
    </row>
    <row r="696" spans="1:11" x14ac:dyDescent="0.2">
      <c r="A696" t="s">
        <v>735</v>
      </c>
      <c r="B696">
        <v>2018</v>
      </c>
      <c r="C696" t="s">
        <v>19</v>
      </c>
      <c r="D696">
        <v>67</v>
      </c>
      <c r="E696" t="s">
        <v>38</v>
      </c>
      <c r="F696" t="s">
        <v>39</v>
      </c>
      <c r="G696" t="s">
        <v>15</v>
      </c>
      <c r="H696">
        <v>-0.24001829480070361</v>
      </c>
      <c r="I696">
        <v>3</v>
      </c>
      <c r="J696" t="s">
        <v>23</v>
      </c>
      <c r="K696" s="59" t="s">
        <v>23</v>
      </c>
    </row>
    <row r="697" spans="1:11" x14ac:dyDescent="0.2">
      <c r="A697" t="s">
        <v>736</v>
      </c>
      <c r="B697">
        <v>2018</v>
      </c>
      <c r="C697" t="s">
        <v>19</v>
      </c>
      <c r="D697">
        <v>222</v>
      </c>
      <c r="E697" t="s">
        <v>29</v>
      </c>
      <c r="F697" t="s">
        <v>30</v>
      </c>
      <c r="G697" t="s">
        <v>15</v>
      </c>
      <c r="H697">
        <v>0.54780030737985386</v>
      </c>
      <c r="I697">
        <v>4</v>
      </c>
      <c r="J697" t="s">
        <v>23</v>
      </c>
      <c r="K697" s="59" t="s">
        <v>16</v>
      </c>
    </row>
    <row r="698" spans="1:11" x14ac:dyDescent="0.2">
      <c r="A698" t="s">
        <v>737</v>
      </c>
      <c r="B698">
        <v>2018</v>
      </c>
      <c r="C698" t="s">
        <v>33</v>
      </c>
      <c r="D698">
        <v>101</v>
      </c>
      <c r="E698" t="s">
        <v>20</v>
      </c>
      <c r="F698" t="s">
        <v>21</v>
      </c>
      <c r="G698" t="s">
        <v>22</v>
      </c>
      <c r="H698">
        <v>3.9661745294016677E-2</v>
      </c>
      <c r="I698">
        <v>3</v>
      </c>
      <c r="J698" t="s">
        <v>23</v>
      </c>
      <c r="K698" s="59" t="s">
        <v>17</v>
      </c>
    </row>
    <row r="699" spans="1:11" x14ac:dyDescent="0.2">
      <c r="A699" t="s">
        <v>738</v>
      </c>
      <c r="B699">
        <v>2019</v>
      </c>
      <c r="C699" t="s">
        <v>33</v>
      </c>
      <c r="D699">
        <v>179</v>
      </c>
      <c r="E699" t="s">
        <v>25</v>
      </c>
      <c r="F699" t="s">
        <v>26</v>
      </c>
      <c r="G699" t="s">
        <v>22</v>
      </c>
      <c r="H699">
        <v>-0.32457409728425962</v>
      </c>
      <c r="I699">
        <v>2</v>
      </c>
      <c r="J699" t="s">
        <v>16</v>
      </c>
      <c r="K699" s="59" t="s">
        <v>4376</v>
      </c>
    </row>
    <row r="700" spans="1:11" x14ac:dyDescent="0.2">
      <c r="A700" t="s">
        <v>739</v>
      </c>
      <c r="B700">
        <v>2018</v>
      </c>
      <c r="C700" t="s">
        <v>19</v>
      </c>
      <c r="D700">
        <v>222</v>
      </c>
      <c r="E700" t="s">
        <v>29</v>
      </c>
      <c r="F700" t="s">
        <v>30</v>
      </c>
      <c r="G700" t="s">
        <v>15</v>
      </c>
      <c r="H700">
        <v>0.54780030737985386</v>
      </c>
      <c r="I700">
        <v>4</v>
      </c>
      <c r="J700" t="s">
        <v>23</v>
      </c>
      <c r="K700" s="59" t="s">
        <v>23</v>
      </c>
    </row>
    <row r="701" spans="1:11" x14ac:dyDescent="0.2">
      <c r="A701" t="s">
        <v>740</v>
      </c>
      <c r="B701">
        <v>2021</v>
      </c>
      <c r="C701" t="s">
        <v>19</v>
      </c>
      <c r="D701">
        <v>166</v>
      </c>
      <c r="E701" t="s">
        <v>25</v>
      </c>
      <c r="F701" t="s">
        <v>26</v>
      </c>
      <c r="G701" t="s">
        <v>15</v>
      </c>
      <c r="H701">
        <v>6.0000973987411929E-2</v>
      </c>
      <c r="I701">
        <v>2</v>
      </c>
      <c r="J701" t="s">
        <v>23</v>
      </c>
      <c r="K701" s="59" t="s">
        <v>16</v>
      </c>
    </row>
    <row r="702" spans="1:11" x14ac:dyDescent="0.2">
      <c r="A702" t="s">
        <v>741</v>
      </c>
      <c r="B702">
        <v>2024</v>
      </c>
      <c r="C702" t="s">
        <v>33</v>
      </c>
      <c r="D702">
        <v>124</v>
      </c>
      <c r="E702" t="s">
        <v>38</v>
      </c>
      <c r="F702" t="s">
        <v>39</v>
      </c>
      <c r="G702" t="s">
        <v>15</v>
      </c>
      <c r="H702">
        <v>0.80168146858277878</v>
      </c>
      <c r="I702">
        <v>3</v>
      </c>
      <c r="J702" t="s">
        <v>17</v>
      </c>
      <c r="K702" s="59" t="s">
        <v>4376</v>
      </c>
    </row>
    <row r="703" spans="1:11" x14ac:dyDescent="0.2">
      <c r="A703" t="s">
        <v>742</v>
      </c>
      <c r="B703">
        <v>2019</v>
      </c>
      <c r="C703" t="s">
        <v>19</v>
      </c>
      <c r="D703">
        <v>129</v>
      </c>
      <c r="E703" t="s">
        <v>25</v>
      </c>
      <c r="F703" t="s">
        <v>26</v>
      </c>
      <c r="G703" t="s">
        <v>15</v>
      </c>
      <c r="H703">
        <v>-1.014871209466073</v>
      </c>
      <c r="I703">
        <v>2</v>
      </c>
      <c r="J703" t="s">
        <v>16</v>
      </c>
      <c r="K703" s="59" t="s">
        <v>23</v>
      </c>
    </row>
    <row r="704" spans="1:11" x14ac:dyDescent="0.2">
      <c r="A704" t="s">
        <v>743</v>
      </c>
      <c r="B704">
        <v>2018</v>
      </c>
      <c r="C704" t="s">
        <v>33</v>
      </c>
      <c r="D704">
        <v>320</v>
      </c>
      <c r="E704" t="s">
        <v>13</v>
      </c>
      <c r="F704" t="s">
        <v>14</v>
      </c>
      <c r="G704" t="s">
        <v>15</v>
      </c>
      <c r="H704">
        <v>0.44361995881102417</v>
      </c>
      <c r="I704">
        <v>4</v>
      </c>
      <c r="J704" t="s">
        <v>23</v>
      </c>
      <c r="K704" s="59" t="s">
        <v>4376</v>
      </c>
    </row>
    <row r="705" spans="1:11" x14ac:dyDescent="0.2">
      <c r="A705" t="s">
        <v>744</v>
      </c>
      <c r="B705">
        <v>2018</v>
      </c>
      <c r="C705" t="s">
        <v>19</v>
      </c>
      <c r="D705">
        <v>52</v>
      </c>
      <c r="E705" t="s">
        <v>20</v>
      </c>
      <c r="F705" t="s">
        <v>21</v>
      </c>
      <c r="G705" t="s">
        <v>48</v>
      </c>
      <c r="H705">
        <v>1.207133472294913</v>
      </c>
      <c r="I705">
        <v>3</v>
      </c>
      <c r="J705" t="s">
        <v>16</v>
      </c>
      <c r="K705" s="59" t="s">
        <v>17</v>
      </c>
    </row>
    <row r="706" spans="1:11" x14ac:dyDescent="0.2">
      <c r="A706" t="s">
        <v>745</v>
      </c>
      <c r="B706">
        <v>2018</v>
      </c>
      <c r="C706" t="s">
        <v>19</v>
      </c>
      <c r="D706">
        <v>222</v>
      </c>
      <c r="E706" t="s">
        <v>29</v>
      </c>
      <c r="F706" t="s">
        <v>30</v>
      </c>
      <c r="G706" t="s">
        <v>15</v>
      </c>
      <c r="H706">
        <v>0.54780030737985386</v>
      </c>
      <c r="I706">
        <v>4</v>
      </c>
      <c r="J706" t="s">
        <v>23</v>
      </c>
      <c r="K706" s="59" t="s">
        <v>17</v>
      </c>
    </row>
    <row r="707" spans="1:11" x14ac:dyDescent="0.2">
      <c r="A707" t="s">
        <v>746</v>
      </c>
      <c r="B707">
        <v>2019</v>
      </c>
      <c r="C707" t="s">
        <v>33</v>
      </c>
      <c r="D707">
        <v>115</v>
      </c>
      <c r="E707" t="s">
        <v>20</v>
      </c>
      <c r="F707" t="s">
        <v>21</v>
      </c>
      <c r="G707" t="s">
        <v>22</v>
      </c>
      <c r="H707">
        <v>-1.335160172602792</v>
      </c>
      <c r="I707">
        <v>3</v>
      </c>
      <c r="J707" t="s">
        <v>23</v>
      </c>
      <c r="K707" s="59" t="s">
        <v>17</v>
      </c>
    </row>
    <row r="708" spans="1:11" x14ac:dyDescent="0.2">
      <c r="A708" t="s">
        <v>747</v>
      </c>
      <c r="B708">
        <v>2019</v>
      </c>
      <c r="C708" t="s">
        <v>19</v>
      </c>
      <c r="D708">
        <v>72</v>
      </c>
      <c r="E708" t="s">
        <v>20</v>
      </c>
      <c r="F708" t="s">
        <v>21</v>
      </c>
      <c r="G708" t="s">
        <v>44</v>
      </c>
      <c r="H708">
        <v>-0.1177237792714966</v>
      </c>
      <c r="I708">
        <v>3</v>
      </c>
      <c r="J708" t="s">
        <v>16</v>
      </c>
      <c r="K708" s="59" t="s">
        <v>16</v>
      </c>
    </row>
    <row r="709" spans="1:11" x14ac:dyDescent="0.2">
      <c r="A709" t="s">
        <v>748</v>
      </c>
      <c r="B709">
        <v>2019</v>
      </c>
      <c r="C709" t="s">
        <v>33</v>
      </c>
      <c r="D709">
        <v>74</v>
      </c>
      <c r="E709" t="s">
        <v>20</v>
      </c>
      <c r="F709" t="s">
        <v>21</v>
      </c>
      <c r="G709" t="s">
        <v>15</v>
      </c>
      <c r="H709">
        <v>-9.9322984110851928E-2</v>
      </c>
      <c r="I709">
        <v>3</v>
      </c>
      <c r="J709" t="s">
        <v>23</v>
      </c>
      <c r="K709" s="59" t="s">
        <v>4376</v>
      </c>
    </row>
    <row r="710" spans="1:11" x14ac:dyDescent="0.2">
      <c r="A710" t="s">
        <v>749</v>
      </c>
      <c r="B710">
        <v>2019</v>
      </c>
      <c r="C710" t="s">
        <v>12</v>
      </c>
      <c r="D710">
        <v>147</v>
      </c>
      <c r="E710" t="s">
        <v>25</v>
      </c>
      <c r="F710" t="s">
        <v>26</v>
      </c>
      <c r="G710" t="s">
        <v>15</v>
      </c>
      <c r="H710">
        <v>-9.0312939583915675E-2</v>
      </c>
      <c r="I710">
        <v>2</v>
      </c>
      <c r="J710" t="s">
        <v>16</v>
      </c>
      <c r="K710" s="59" t="s">
        <v>17</v>
      </c>
    </row>
    <row r="711" spans="1:11" x14ac:dyDescent="0.2">
      <c r="A711" t="s">
        <v>750</v>
      </c>
      <c r="B711">
        <v>2018</v>
      </c>
      <c r="C711" t="s">
        <v>33</v>
      </c>
      <c r="D711">
        <v>63</v>
      </c>
      <c r="E711" t="s">
        <v>38</v>
      </c>
      <c r="F711" t="s">
        <v>39</v>
      </c>
      <c r="G711" t="s">
        <v>15</v>
      </c>
      <c r="H711">
        <v>-0.33491349264303921</v>
      </c>
      <c r="I711">
        <v>3</v>
      </c>
      <c r="J711" t="s">
        <v>23</v>
      </c>
      <c r="K711" s="59" t="s">
        <v>4376</v>
      </c>
    </row>
    <row r="712" spans="1:11" x14ac:dyDescent="0.2">
      <c r="A712" t="s">
        <v>751</v>
      </c>
      <c r="B712">
        <v>2018</v>
      </c>
      <c r="C712" t="s">
        <v>33</v>
      </c>
      <c r="D712">
        <v>68</v>
      </c>
      <c r="E712" t="s">
        <v>38</v>
      </c>
      <c r="F712" t="s">
        <v>39</v>
      </c>
      <c r="G712" t="s">
        <v>15</v>
      </c>
      <c r="H712">
        <v>-0.21809175287501251</v>
      </c>
      <c r="I712">
        <v>3</v>
      </c>
      <c r="J712" t="s">
        <v>23</v>
      </c>
      <c r="K712" s="59" t="s">
        <v>4376</v>
      </c>
    </row>
    <row r="713" spans="1:11" x14ac:dyDescent="0.2">
      <c r="A713" t="s">
        <v>752</v>
      </c>
      <c r="B713">
        <v>2018</v>
      </c>
      <c r="C713" t="s">
        <v>12</v>
      </c>
      <c r="D713">
        <v>61</v>
      </c>
      <c r="E713" t="s">
        <v>29</v>
      </c>
      <c r="F713" t="s">
        <v>30</v>
      </c>
      <c r="G713" t="s">
        <v>48</v>
      </c>
      <c r="H713">
        <v>0.40997360058970028</v>
      </c>
      <c r="I713">
        <v>4</v>
      </c>
      <c r="J713" t="s">
        <v>23</v>
      </c>
      <c r="K713" s="59" t="s">
        <v>4376</v>
      </c>
    </row>
    <row r="714" spans="1:11" x14ac:dyDescent="0.2">
      <c r="A714" t="s">
        <v>753</v>
      </c>
      <c r="B714">
        <v>2017</v>
      </c>
      <c r="C714" t="s">
        <v>33</v>
      </c>
      <c r="D714">
        <v>124</v>
      </c>
      <c r="E714" t="s">
        <v>38</v>
      </c>
      <c r="F714" t="s">
        <v>39</v>
      </c>
      <c r="G714" t="s">
        <v>15</v>
      </c>
      <c r="H714">
        <v>0.82475597285907909</v>
      </c>
      <c r="I714">
        <v>3</v>
      </c>
      <c r="J714" t="s">
        <v>23</v>
      </c>
      <c r="K714" s="59" t="s">
        <v>4376</v>
      </c>
    </row>
    <row r="715" spans="1:11" x14ac:dyDescent="0.2">
      <c r="A715" t="s">
        <v>754</v>
      </c>
      <c r="B715">
        <v>2017</v>
      </c>
      <c r="C715" t="s">
        <v>33</v>
      </c>
      <c r="D715">
        <v>122</v>
      </c>
      <c r="E715" t="s">
        <v>38</v>
      </c>
      <c r="F715" t="s">
        <v>39</v>
      </c>
      <c r="G715" t="s">
        <v>15</v>
      </c>
      <c r="H715">
        <v>0.42973789492949888</v>
      </c>
      <c r="I715">
        <v>3</v>
      </c>
      <c r="J715" t="s">
        <v>23</v>
      </c>
      <c r="K715" s="59" t="s">
        <v>4376</v>
      </c>
    </row>
    <row r="716" spans="1:11" x14ac:dyDescent="0.2">
      <c r="A716" t="s">
        <v>755</v>
      </c>
      <c r="B716">
        <v>2017</v>
      </c>
      <c r="C716" t="s">
        <v>33</v>
      </c>
      <c r="D716">
        <v>45</v>
      </c>
      <c r="E716" t="s">
        <v>20</v>
      </c>
      <c r="F716" t="s">
        <v>21</v>
      </c>
      <c r="G716" t="s">
        <v>80</v>
      </c>
      <c r="H716">
        <v>-0.8831968579543108</v>
      </c>
      <c r="I716">
        <v>3</v>
      </c>
      <c r="J716" t="s">
        <v>23</v>
      </c>
      <c r="K716" s="59" t="s">
        <v>4376</v>
      </c>
    </row>
    <row r="717" spans="1:11" x14ac:dyDescent="0.2">
      <c r="A717" t="s">
        <v>756</v>
      </c>
      <c r="B717">
        <v>2017</v>
      </c>
      <c r="C717" t="s">
        <v>33</v>
      </c>
      <c r="D717">
        <v>125</v>
      </c>
      <c r="E717" t="s">
        <v>38</v>
      </c>
      <c r="F717" t="s">
        <v>39</v>
      </c>
      <c r="G717" t="s">
        <v>15</v>
      </c>
      <c r="H717">
        <v>0.82783966237065831</v>
      </c>
      <c r="I717">
        <v>3</v>
      </c>
      <c r="J717" t="s">
        <v>23</v>
      </c>
      <c r="K717" s="59" t="s">
        <v>4376</v>
      </c>
    </row>
    <row r="718" spans="1:11" x14ac:dyDescent="0.2">
      <c r="A718" t="s">
        <v>757</v>
      </c>
      <c r="B718">
        <v>2017</v>
      </c>
      <c r="C718" t="s">
        <v>33</v>
      </c>
      <c r="D718">
        <v>84</v>
      </c>
      <c r="E718" t="s">
        <v>13</v>
      </c>
      <c r="F718" t="s">
        <v>14</v>
      </c>
      <c r="G718" t="s">
        <v>34</v>
      </c>
      <c r="H718">
        <v>4.5838844378677461E-2</v>
      </c>
      <c r="I718">
        <v>4</v>
      </c>
      <c r="J718" t="s">
        <v>17</v>
      </c>
      <c r="K718" s="59" t="s">
        <v>4376</v>
      </c>
    </row>
    <row r="719" spans="1:11" x14ac:dyDescent="0.2">
      <c r="A719" t="s">
        <v>758</v>
      </c>
      <c r="B719">
        <v>2018</v>
      </c>
      <c r="C719" t="s">
        <v>19</v>
      </c>
      <c r="D719">
        <v>222</v>
      </c>
      <c r="E719" t="s">
        <v>29</v>
      </c>
      <c r="F719" t="s">
        <v>30</v>
      </c>
      <c r="G719" t="s">
        <v>15</v>
      </c>
      <c r="H719">
        <v>0.54780030737985386</v>
      </c>
      <c r="I719">
        <v>4</v>
      </c>
      <c r="J719" t="s">
        <v>23</v>
      </c>
      <c r="K719" s="59" t="s">
        <v>23</v>
      </c>
    </row>
    <row r="720" spans="1:11" ht="16" customHeight="1" x14ac:dyDescent="0.2">
      <c r="A720" t="s">
        <v>759</v>
      </c>
      <c r="B720">
        <v>2018</v>
      </c>
      <c r="C720" t="s">
        <v>33</v>
      </c>
      <c r="D720">
        <v>96</v>
      </c>
      <c r="E720" t="s">
        <v>38</v>
      </c>
      <c r="F720" t="s">
        <v>39</v>
      </c>
      <c r="G720" t="s">
        <v>15</v>
      </c>
      <c r="H720">
        <v>1.207133472294913</v>
      </c>
      <c r="I720">
        <v>3</v>
      </c>
      <c r="J720" t="s">
        <v>23</v>
      </c>
      <c r="K720" s="59" t="s">
        <v>4376</v>
      </c>
    </row>
    <row r="721" spans="1:11" x14ac:dyDescent="0.2">
      <c r="A721" t="s">
        <v>760</v>
      </c>
      <c r="B721">
        <v>2018</v>
      </c>
      <c r="C721" t="s">
        <v>19</v>
      </c>
      <c r="D721">
        <v>46</v>
      </c>
      <c r="E721" t="s">
        <v>25</v>
      </c>
      <c r="F721" t="s">
        <v>26</v>
      </c>
      <c r="G721" t="s">
        <v>15</v>
      </c>
      <c r="H721">
        <v>1.207133472294913</v>
      </c>
      <c r="I721">
        <v>2</v>
      </c>
      <c r="J721" t="s">
        <v>16</v>
      </c>
      <c r="K721" s="59" t="s">
        <v>17</v>
      </c>
    </row>
    <row r="722" spans="1:11" x14ac:dyDescent="0.2">
      <c r="A722" t="s">
        <v>761</v>
      </c>
      <c r="B722">
        <v>2018</v>
      </c>
      <c r="C722" t="s">
        <v>19</v>
      </c>
      <c r="D722">
        <v>103</v>
      </c>
      <c r="E722" t="s">
        <v>20</v>
      </c>
      <c r="F722" t="s">
        <v>21</v>
      </c>
      <c r="G722" t="s">
        <v>36</v>
      </c>
      <c r="H722">
        <v>-0.17617336389942639</v>
      </c>
      <c r="I722">
        <v>3</v>
      </c>
      <c r="J722" t="s">
        <v>23</v>
      </c>
      <c r="K722" s="59" t="s">
        <v>16</v>
      </c>
    </row>
    <row r="723" spans="1:11" x14ac:dyDescent="0.2">
      <c r="A723" t="s">
        <v>762</v>
      </c>
      <c r="B723">
        <v>2019</v>
      </c>
      <c r="C723" t="s">
        <v>33</v>
      </c>
      <c r="D723">
        <v>274</v>
      </c>
      <c r="E723" t="s">
        <v>20</v>
      </c>
      <c r="F723" t="s">
        <v>21</v>
      </c>
      <c r="G723" t="s">
        <v>15</v>
      </c>
      <c r="H723">
        <v>1.5731446196148151</v>
      </c>
      <c r="I723">
        <v>3</v>
      </c>
      <c r="J723" t="s">
        <v>23</v>
      </c>
      <c r="K723" s="59" t="s">
        <v>23</v>
      </c>
    </row>
    <row r="724" spans="1:11" x14ac:dyDescent="0.2">
      <c r="A724" t="s">
        <v>763</v>
      </c>
      <c r="B724">
        <v>2018</v>
      </c>
      <c r="C724" t="s">
        <v>33</v>
      </c>
      <c r="D724">
        <v>67</v>
      </c>
      <c r="E724" t="s">
        <v>38</v>
      </c>
      <c r="F724" t="s">
        <v>39</v>
      </c>
      <c r="G724" t="s">
        <v>15</v>
      </c>
      <c r="H724">
        <v>-0.24001829480070361</v>
      </c>
      <c r="I724">
        <v>3</v>
      </c>
      <c r="J724" t="s">
        <v>23</v>
      </c>
      <c r="K724" s="59" t="s">
        <v>4376</v>
      </c>
    </row>
    <row r="725" spans="1:11" x14ac:dyDescent="0.2">
      <c r="A725" t="s">
        <v>764</v>
      </c>
      <c r="B725">
        <v>2018</v>
      </c>
      <c r="C725" t="s">
        <v>19</v>
      </c>
      <c r="D725">
        <v>46</v>
      </c>
      <c r="E725" t="s">
        <v>25</v>
      </c>
      <c r="F725" t="s">
        <v>26</v>
      </c>
      <c r="G725" t="s">
        <v>15</v>
      </c>
      <c r="H725">
        <v>1.207133472294913</v>
      </c>
      <c r="I725">
        <v>2</v>
      </c>
      <c r="J725" t="s">
        <v>16</v>
      </c>
      <c r="K725" s="59" t="s">
        <v>23</v>
      </c>
    </row>
    <row r="726" spans="1:11" x14ac:dyDescent="0.2">
      <c r="A726" t="s">
        <v>765</v>
      </c>
      <c r="B726">
        <v>2019</v>
      </c>
      <c r="C726" t="s">
        <v>19</v>
      </c>
      <c r="D726">
        <v>64</v>
      </c>
      <c r="E726" t="s">
        <v>20</v>
      </c>
      <c r="F726" t="s">
        <v>21</v>
      </c>
      <c r="G726" t="s">
        <v>15</v>
      </c>
      <c r="H726">
        <v>0.47225171556667001</v>
      </c>
      <c r="I726">
        <v>3</v>
      </c>
      <c r="J726" t="s">
        <v>23</v>
      </c>
      <c r="K726" s="59" t="s">
        <v>23</v>
      </c>
    </row>
    <row r="727" spans="1:11" x14ac:dyDescent="0.2">
      <c r="A727" t="s">
        <v>766</v>
      </c>
      <c r="B727">
        <v>2018</v>
      </c>
      <c r="C727" t="s">
        <v>33</v>
      </c>
      <c r="D727">
        <v>96</v>
      </c>
      <c r="E727" t="s">
        <v>38</v>
      </c>
      <c r="F727" t="s">
        <v>39</v>
      </c>
      <c r="G727" t="s">
        <v>15</v>
      </c>
      <c r="H727">
        <v>1.207133472294913</v>
      </c>
      <c r="I727">
        <v>3</v>
      </c>
      <c r="J727" t="s">
        <v>23</v>
      </c>
      <c r="K727" s="59" t="s">
        <v>4376</v>
      </c>
    </row>
    <row r="728" spans="1:11" x14ac:dyDescent="0.2">
      <c r="A728" t="s">
        <v>767</v>
      </c>
      <c r="B728">
        <v>2018</v>
      </c>
      <c r="C728" t="s">
        <v>19</v>
      </c>
      <c r="D728">
        <v>222</v>
      </c>
      <c r="E728" t="s">
        <v>29</v>
      </c>
      <c r="F728" t="s">
        <v>30</v>
      </c>
      <c r="G728" t="s">
        <v>15</v>
      </c>
      <c r="H728">
        <v>0.54780030737985386</v>
      </c>
      <c r="I728">
        <v>4</v>
      </c>
      <c r="J728" t="s">
        <v>23</v>
      </c>
      <c r="K728" s="59" t="s">
        <v>17</v>
      </c>
    </row>
    <row r="729" spans="1:11" x14ac:dyDescent="0.2">
      <c r="A729" t="s">
        <v>768</v>
      </c>
      <c r="B729">
        <v>2017</v>
      </c>
      <c r="C729" t="s">
        <v>33</v>
      </c>
      <c r="D729">
        <v>331</v>
      </c>
      <c r="E729" t="s">
        <v>25</v>
      </c>
      <c r="F729" t="s">
        <v>26</v>
      </c>
      <c r="G729" t="s">
        <v>48</v>
      </c>
      <c r="H729">
        <v>0.42812838027656858</v>
      </c>
      <c r="I729">
        <v>2</v>
      </c>
      <c r="J729" t="s">
        <v>16</v>
      </c>
      <c r="K729" s="59" t="s">
        <v>4376</v>
      </c>
    </row>
    <row r="730" spans="1:11" x14ac:dyDescent="0.2">
      <c r="A730" t="s">
        <v>769</v>
      </c>
      <c r="B730">
        <v>2017</v>
      </c>
      <c r="C730" t="s">
        <v>33</v>
      </c>
      <c r="D730">
        <v>303</v>
      </c>
      <c r="E730" t="s">
        <v>25</v>
      </c>
      <c r="F730" t="s">
        <v>26</v>
      </c>
      <c r="G730" t="s">
        <v>22</v>
      </c>
      <c r="H730">
        <v>0.56723643242270139</v>
      </c>
      <c r="I730">
        <v>2</v>
      </c>
      <c r="J730" t="s">
        <v>16</v>
      </c>
      <c r="K730" s="59" t="s">
        <v>4376</v>
      </c>
    </row>
    <row r="731" spans="1:11" x14ac:dyDescent="0.2">
      <c r="A731" t="s">
        <v>770</v>
      </c>
      <c r="B731">
        <v>2018</v>
      </c>
      <c r="C731" t="s">
        <v>19</v>
      </c>
      <c r="D731">
        <v>64</v>
      </c>
      <c r="E731" t="s">
        <v>38</v>
      </c>
      <c r="F731" t="s">
        <v>39</v>
      </c>
      <c r="G731" t="s">
        <v>15</v>
      </c>
      <c r="H731">
        <v>0.4485458524464041</v>
      </c>
      <c r="I731">
        <v>3</v>
      </c>
      <c r="J731" t="s">
        <v>23</v>
      </c>
      <c r="K731" s="59" t="s">
        <v>17</v>
      </c>
    </row>
    <row r="732" spans="1:11" x14ac:dyDescent="0.2">
      <c r="A732" t="s">
        <v>771</v>
      </c>
      <c r="B732">
        <v>2019</v>
      </c>
      <c r="C732" t="s">
        <v>33</v>
      </c>
      <c r="D732">
        <v>186</v>
      </c>
      <c r="E732" t="s">
        <v>20</v>
      </c>
      <c r="F732" t="s">
        <v>21</v>
      </c>
      <c r="G732" t="s">
        <v>57</v>
      </c>
      <c r="H732">
        <v>0.37223822204744172</v>
      </c>
      <c r="I732">
        <v>3</v>
      </c>
      <c r="J732" t="s">
        <v>23</v>
      </c>
      <c r="K732" s="59" t="s">
        <v>4376</v>
      </c>
    </row>
    <row r="733" spans="1:11" x14ac:dyDescent="0.2">
      <c r="A733" t="s">
        <v>772</v>
      </c>
      <c r="B733">
        <v>2017</v>
      </c>
      <c r="C733" t="s">
        <v>33</v>
      </c>
      <c r="D733">
        <v>150</v>
      </c>
      <c r="E733" t="s">
        <v>20</v>
      </c>
      <c r="F733" t="s">
        <v>21</v>
      </c>
      <c r="G733" t="s">
        <v>15</v>
      </c>
      <c r="H733">
        <v>-0.3926091273856156</v>
      </c>
      <c r="I733">
        <v>3</v>
      </c>
      <c r="J733" t="s">
        <v>23</v>
      </c>
      <c r="K733" s="59" t="s">
        <v>4376</v>
      </c>
    </row>
    <row r="734" spans="1:11" x14ac:dyDescent="0.2">
      <c r="A734" t="s">
        <v>773</v>
      </c>
      <c r="B734">
        <v>2016</v>
      </c>
      <c r="C734" t="s">
        <v>19</v>
      </c>
      <c r="D734">
        <v>90</v>
      </c>
      <c r="E734" t="s">
        <v>38</v>
      </c>
      <c r="F734" t="s">
        <v>39</v>
      </c>
      <c r="G734" t="s">
        <v>15</v>
      </c>
      <c r="H734">
        <v>0.68455088973260669</v>
      </c>
      <c r="I734">
        <v>3</v>
      </c>
      <c r="J734" t="s">
        <v>23</v>
      </c>
      <c r="K734" s="59" t="s">
        <v>23</v>
      </c>
    </row>
    <row r="735" spans="1:11" x14ac:dyDescent="0.2">
      <c r="A735" t="s">
        <v>774</v>
      </c>
      <c r="B735">
        <v>2018</v>
      </c>
      <c r="C735" t="s">
        <v>19</v>
      </c>
      <c r="D735">
        <v>52</v>
      </c>
      <c r="E735" t="s">
        <v>20</v>
      </c>
      <c r="F735" t="s">
        <v>21</v>
      </c>
      <c r="G735" t="s">
        <v>48</v>
      </c>
      <c r="H735">
        <v>1.207133472294913</v>
      </c>
      <c r="I735">
        <v>3</v>
      </c>
      <c r="J735" t="s">
        <v>16</v>
      </c>
      <c r="K735" s="59" t="s">
        <v>23</v>
      </c>
    </row>
    <row r="736" spans="1:11" x14ac:dyDescent="0.2">
      <c r="A736" t="s">
        <v>775</v>
      </c>
      <c r="B736">
        <v>2019</v>
      </c>
      <c r="C736" t="s">
        <v>33</v>
      </c>
      <c r="D736">
        <v>258</v>
      </c>
      <c r="E736" t="s">
        <v>25</v>
      </c>
      <c r="F736" t="s">
        <v>26</v>
      </c>
      <c r="G736" t="s">
        <v>80</v>
      </c>
      <c r="H736">
        <v>-0.52109239129696461</v>
      </c>
      <c r="I736">
        <v>2</v>
      </c>
      <c r="J736" t="s">
        <v>16</v>
      </c>
      <c r="K736" s="59" t="s">
        <v>4376</v>
      </c>
    </row>
    <row r="737" spans="1:11" x14ac:dyDescent="0.2">
      <c r="A737" t="s">
        <v>776</v>
      </c>
      <c r="B737">
        <v>2018</v>
      </c>
      <c r="C737" t="s">
        <v>19</v>
      </c>
      <c r="D737">
        <v>53</v>
      </c>
      <c r="E737" t="s">
        <v>20</v>
      </c>
      <c r="F737" t="s">
        <v>21</v>
      </c>
      <c r="G737" t="s">
        <v>48</v>
      </c>
      <c r="H737">
        <v>1.207133472294913</v>
      </c>
      <c r="I737">
        <v>3</v>
      </c>
      <c r="J737" t="s">
        <v>16</v>
      </c>
      <c r="K737" s="59" t="s">
        <v>16</v>
      </c>
    </row>
    <row r="738" spans="1:11" x14ac:dyDescent="0.2">
      <c r="A738" t="s">
        <v>777</v>
      </c>
      <c r="B738">
        <v>2019</v>
      </c>
      <c r="C738" t="s">
        <v>33</v>
      </c>
      <c r="D738">
        <v>213</v>
      </c>
      <c r="E738" t="s">
        <v>25</v>
      </c>
      <c r="F738" t="s">
        <v>26</v>
      </c>
      <c r="G738" t="s">
        <v>22</v>
      </c>
      <c r="H738">
        <v>0.44976741061041131</v>
      </c>
      <c r="I738">
        <v>2</v>
      </c>
      <c r="J738" t="s">
        <v>16</v>
      </c>
      <c r="K738" s="59" t="s">
        <v>4376</v>
      </c>
    </row>
    <row r="739" spans="1:11" x14ac:dyDescent="0.2">
      <c r="A739" t="s">
        <v>778</v>
      </c>
      <c r="B739">
        <v>2019</v>
      </c>
      <c r="C739" t="s">
        <v>33</v>
      </c>
      <c r="D739">
        <v>32</v>
      </c>
      <c r="E739" t="s">
        <v>13</v>
      </c>
      <c r="F739" t="s">
        <v>14</v>
      </c>
      <c r="G739" t="s">
        <v>15</v>
      </c>
      <c r="H739">
        <v>-3.658290572250694</v>
      </c>
      <c r="I739">
        <v>4</v>
      </c>
      <c r="J739" t="s">
        <v>17</v>
      </c>
      <c r="K739" s="59" t="s">
        <v>4376</v>
      </c>
    </row>
    <row r="740" spans="1:11" x14ac:dyDescent="0.2">
      <c r="A740" t="s">
        <v>779</v>
      </c>
      <c r="B740">
        <v>2018</v>
      </c>
      <c r="C740" t="s">
        <v>19</v>
      </c>
      <c r="D740">
        <v>46</v>
      </c>
      <c r="E740" t="s">
        <v>25</v>
      </c>
      <c r="F740" t="s">
        <v>26</v>
      </c>
      <c r="G740" t="s">
        <v>15</v>
      </c>
      <c r="H740">
        <v>1.207133472294913</v>
      </c>
      <c r="I740">
        <v>2</v>
      </c>
      <c r="J740" t="s">
        <v>16</v>
      </c>
      <c r="K740" s="59" t="s">
        <v>17</v>
      </c>
    </row>
    <row r="741" spans="1:11" x14ac:dyDescent="0.2">
      <c r="A741" t="s">
        <v>780</v>
      </c>
      <c r="B741">
        <v>2023</v>
      </c>
      <c r="C741" t="s">
        <v>12</v>
      </c>
      <c r="D741">
        <v>393</v>
      </c>
      <c r="E741" t="s">
        <v>38</v>
      </c>
      <c r="F741" t="s">
        <v>39</v>
      </c>
      <c r="G741" t="s">
        <v>15</v>
      </c>
      <c r="H741">
        <v>-5.0426212774462454E-3</v>
      </c>
      <c r="I741">
        <v>3</v>
      </c>
      <c r="J741" t="s">
        <v>16</v>
      </c>
      <c r="K741" s="59" t="s">
        <v>16</v>
      </c>
    </row>
    <row r="742" spans="1:11" x14ac:dyDescent="0.2">
      <c r="A742" t="s">
        <v>781</v>
      </c>
      <c r="B742">
        <v>2021</v>
      </c>
      <c r="C742" t="s">
        <v>19</v>
      </c>
      <c r="D742">
        <v>367</v>
      </c>
      <c r="E742" t="s">
        <v>38</v>
      </c>
      <c r="F742" t="s">
        <v>39</v>
      </c>
      <c r="G742" t="s">
        <v>15</v>
      </c>
      <c r="H742">
        <v>0.69029355547504967</v>
      </c>
      <c r="I742">
        <v>3</v>
      </c>
      <c r="J742" t="s">
        <v>23</v>
      </c>
      <c r="K742" s="59" t="s">
        <v>17</v>
      </c>
    </row>
    <row r="743" spans="1:11" x14ac:dyDescent="0.2">
      <c r="A743" t="s">
        <v>782</v>
      </c>
      <c r="B743">
        <v>2019</v>
      </c>
      <c r="C743" t="s">
        <v>33</v>
      </c>
      <c r="D743">
        <v>329</v>
      </c>
      <c r="E743" t="s">
        <v>13</v>
      </c>
      <c r="F743" t="s">
        <v>14</v>
      </c>
      <c r="G743" t="s">
        <v>15</v>
      </c>
      <c r="H743">
        <v>0.27918309204408909</v>
      </c>
      <c r="I743">
        <v>4</v>
      </c>
      <c r="J743" t="s">
        <v>23</v>
      </c>
      <c r="K743" s="59" t="s">
        <v>4376</v>
      </c>
    </row>
    <row r="744" spans="1:11" x14ac:dyDescent="0.2">
      <c r="A744" t="s">
        <v>783</v>
      </c>
      <c r="B744">
        <v>2018</v>
      </c>
      <c r="C744" t="s">
        <v>33</v>
      </c>
      <c r="D744">
        <v>164</v>
      </c>
      <c r="E744" t="s">
        <v>38</v>
      </c>
      <c r="F744" t="s">
        <v>39</v>
      </c>
      <c r="G744" t="s">
        <v>15</v>
      </c>
      <c r="H744">
        <v>1.11035891996856</v>
      </c>
      <c r="I744">
        <v>3</v>
      </c>
      <c r="J744" t="s">
        <v>23</v>
      </c>
      <c r="K744" s="59" t="s">
        <v>4376</v>
      </c>
    </row>
    <row r="745" spans="1:11" x14ac:dyDescent="0.2">
      <c r="A745" t="s">
        <v>784</v>
      </c>
      <c r="B745">
        <v>2019</v>
      </c>
      <c r="C745" t="s">
        <v>33</v>
      </c>
      <c r="D745">
        <v>169</v>
      </c>
      <c r="E745" t="s">
        <v>25</v>
      </c>
      <c r="F745" t="s">
        <v>26</v>
      </c>
      <c r="G745" t="s">
        <v>22</v>
      </c>
      <c r="H745">
        <v>-1.4859301433635961</v>
      </c>
      <c r="I745">
        <v>2</v>
      </c>
      <c r="J745" t="s">
        <v>16</v>
      </c>
      <c r="K745" s="59" t="s">
        <v>4376</v>
      </c>
    </row>
    <row r="746" spans="1:11" x14ac:dyDescent="0.2">
      <c r="A746" t="s">
        <v>785</v>
      </c>
      <c r="B746">
        <v>2018</v>
      </c>
      <c r="C746" t="s">
        <v>19</v>
      </c>
      <c r="D746">
        <v>52</v>
      </c>
      <c r="E746" t="s">
        <v>20</v>
      </c>
      <c r="F746" t="s">
        <v>21</v>
      </c>
      <c r="G746" t="s">
        <v>48</v>
      </c>
      <c r="H746">
        <v>1.207133472294913</v>
      </c>
      <c r="I746">
        <v>3</v>
      </c>
      <c r="J746" t="s">
        <v>16</v>
      </c>
      <c r="K746" s="59" t="s">
        <v>23</v>
      </c>
    </row>
    <row r="747" spans="1:11" x14ac:dyDescent="0.2">
      <c r="A747" t="s">
        <v>786</v>
      </c>
      <c r="B747">
        <v>2018</v>
      </c>
      <c r="C747" t="s">
        <v>19</v>
      </c>
      <c r="D747">
        <v>122</v>
      </c>
      <c r="E747" t="s">
        <v>20</v>
      </c>
      <c r="F747" t="s">
        <v>21</v>
      </c>
      <c r="G747" t="s">
        <v>15</v>
      </c>
      <c r="H747">
        <v>-0.52004624973304714</v>
      </c>
      <c r="I747">
        <v>3</v>
      </c>
      <c r="J747" t="s">
        <v>23</v>
      </c>
      <c r="K747" s="59" t="s">
        <v>4376</v>
      </c>
    </row>
    <row r="748" spans="1:11" x14ac:dyDescent="0.2">
      <c r="A748" t="s">
        <v>787</v>
      </c>
      <c r="B748">
        <v>2017</v>
      </c>
      <c r="C748" t="s">
        <v>19</v>
      </c>
      <c r="D748">
        <v>104</v>
      </c>
      <c r="E748" t="s">
        <v>20</v>
      </c>
      <c r="F748" t="s">
        <v>21</v>
      </c>
      <c r="G748" t="s">
        <v>15</v>
      </c>
      <c r="H748">
        <v>-0.83093859969807993</v>
      </c>
      <c r="I748">
        <v>3</v>
      </c>
      <c r="J748" t="s">
        <v>23</v>
      </c>
      <c r="K748" s="59" t="s">
        <v>4376</v>
      </c>
    </row>
    <row r="749" spans="1:11" x14ac:dyDescent="0.2">
      <c r="A749" t="s">
        <v>788</v>
      </c>
      <c r="B749">
        <v>2018</v>
      </c>
      <c r="C749" t="s">
        <v>33</v>
      </c>
      <c r="D749">
        <v>56</v>
      </c>
      <c r="E749" t="s">
        <v>29</v>
      </c>
      <c r="F749" t="s">
        <v>30</v>
      </c>
      <c r="G749" t="s">
        <v>36</v>
      </c>
      <c r="H749">
        <v>-0.63727564263087266</v>
      </c>
      <c r="I749">
        <v>4</v>
      </c>
      <c r="J749" t="s">
        <v>23</v>
      </c>
      <c r="K749" s="59" t="s">
        <v>4376</v>
      </c>
    </row>
    <row r="750" spans="1:11" x14ac:dyDescent="0.2">
      <c r="A750" t="s">
        <v>789</v>
      </c>
      <c r="B750">
        <v>2017</v>
      </c>
      <c r="C750" t="s">
        <v>19</v>
      </c>
      <c r="D750">
        <v>98</v>
      </c>
      <c r="E750" t="s">
        <v>13</v>
      </c>
      <c r="F750" t="s">
        <v>14</v>
      </c>
      <c r="G750" t="s">
        <v>15</v>
      </c>
      <c r="H750">
        <v>-0.71255764732172089</v>
      </c>
      <c r="I750">
        <v>4</v>
      </c>
      <c r="J750" t="s">
        <v>17</v>
      </c>
      <c r="K750" s="59" t="s">
        <v>4376</v>
      </c>
    </row>
    <row r="751" spans="1:11" x14ac:dyDescent="0.2">
      <c r="A751" t="s">
        <v>790</v>
      </c>
      <c r="B751">
        <v>2018</v>
      </c>
      <c r="C751" t="s">
        <v>33</v>
      </c>
      <c r="D751">
        <v>57</v>
      </c>
      <c r="E751" t="s">
        <v>29</v>
      </c>
      <c r="F751" t="s">
        <v>30</v>
      </c>
      <c r="G751" t="s">
        <v>36</v>
      </c>
      <c r="H751">
        <v>-0.60180623657460774</v>
      </c>
      <c r="I751">
        <v>4</v>
      </c>
      <c r="J751" t="s">
        <v>23</v>
      </c>
      <c r="K751" s="59" t="s">
        <v>4376</v>
      </c>
    </row>
    <row r="752" spans="1:11" x14ac:dyDescent="0.2">
      <c r="A752" t="s">
        <v>791</v>
      </c>
      <c r="B752">
        <v>2017</v>
      </c>
      <c r="C752" t="s">
        <v>19</v>
      </c>
      <c r="D752">
        <v>156</v>
      </c>
      <c r="E752" t="s">
        <v>20</v>
      </c>
      <c r="F752" t="s">
        <v>21</v>
      </c>
      <c r="G752" t="s">
        <v>15</v>
      </c>
      <c r="H752">
        <v>-3.8758777522505297E-2</v>
      </c>
      <c r="I752">
        <v>3</v>
      </c>
      <c r="J752" t="s">
        <v>23</v>
      </c>
      <c r="K752" s="59" t="s">
        <v>17</v>
      </c>
    </row>
    <row r="753" spans="1:11" x14ac:dyDescent="0.2">
      <c r="A753" t="s">
        <v>792</v>
      </c>
      <c r="B753">
        <v>2019</v>
      </c>
      <c r="C753" t="s">
        <v>33</v>
      </c>
      <c r="D753">
        <v>382</v>
      </c>
      <c r="E753" t="s">
        <v>25</v>
      </c>
      <c r="F753" t="s">
        <v>26</v>
      </c>
      <c r="G753" t="s">
        <v>15</v>
      </c>
      <c r="H753">
        <v>0.74726079964008341</v>
      </c>
      <c r="I753">
        <v>2</v>
      </c>
      <c r="J753" t="s">
        <v>23</v>
      </c>
      <c r="K753" s="59" t="s">
        <v>4376</v>
      </c>
    </row>
    <row r="754" spans="1:11" x14ac:dyDescent="0.2">
      <c r="A754" t="s">
        <v>793</v>
      </c>
      <c r="B754">
        <v>2018</v>
      </c>
      <c r="C754" t="s">
        <v>19</v>
      </c>
      <c r="D754">
        <v>92</v>
      </c>
      <c r="E754" t="s">
        <v>29</v>
      </c>
      <c r="F754" t="s">
        <v>30</v>
      </c>
      <c r="G754" t="s">
        <v>15</v>
      </c>
      <c r="H754">
        <v>0.15022487834867609</v>
      </c>
      <c r="I754">
        <v>4</v>
      </c>
      <c r="J754" t="s">
        <v>23</v>
      </c>
      <c r="K754" s="59" t="s">
        <v>16</v>
      </c>
    </row>
    <row r="755" spans="1:11" x14ac:dyDescent="0.2">
      <c r="A755" t="s">
        <v>794</v>
      </c>
      <c r="B755">
        <v>2019</v>
      </c>
      <c r="C755" t="s">
        <v>19</v>
      </c>
      <c r="D755">
        <v>44</v>
      </c>
      <c r="E755" t="s">
        <v>25</v>
      </c>
      <c r="F755" t="s">
        <v>26</v>
      </c>
      <c r="G755" t="s">
        <v>15</v>
      </c>
      <c r="H755">
        <v>1.207133472294913</v>
      </c>
      <c r="I755">
        <v>2</v>
      </c>
      <c r="J755" t="s">
        <v>16</v>
      </c>
      <c r="K755" s="59" t="s">
        <v>4376</v>
      </c>
    </row>
    <row r="756" spans="1:11" x14ac:dyDescent="0.2">
      <c r="A756" t="s">
        <v>795</v>
      </c>
      <c r="B756">
        <v>2022</v>
      </c>
      <c r="C756" t="s">
        <v>33</v>
      </c>
      <c r="D756">
        <v>353</v>
      </c>
      <c r="E756" t="s">
        <v>53</v>
      </c>
      <c r="F756" t="s">
        <v>54</v>
      </c>
      <c r="G756" t="s">
        <v>15</v>
      </c>
      <c r="H756">
        <v>0.46058692577733279</v>
      </c>
      <c r="I756">
        <v>3</v>
      </c>
      <c r="J756" t="s">
        <v>16</v>
      </c>
      <c r="K756" s="59" t="s">
        <v>16</v>
      </c>
    </row>
    <row r="757" spans="1:11" x14ac:dyDescent="0.2">
      <c r="A757" t="s">
        <v>796</v>
      </c>
      <c r="B757">
        <v>2019</v>
      </c>
      <c r="C757" t="s">
        <v>19</v>
      </c>
      <c r="D757">
        <v>38</v>
      </c>
      <c r="E757" t="s">
        <v>20</v>
      </c>
      <c r="F757" t="s">
        <v>21</v>
      </c>
      <c r="G757" t="s">
        <v>15</v>
      </c>
      <c r="H757">
        <v>-1.2682577082633779</v>
      </c>
      <c r="I757">
        <v>3</v>
      </c>
      <c r="J757" t="s">
        <v>17</v>
      </c>
      <c r="K757" s="59" t="s">
        <v>16</v>
      </c>
    </row>
    <row r="758" spans="1:11" x14ac:dyDescent="0.2">
      <c r="A758" t="s">
        <v>797</v>
      </c>
      <c r="B758">
        <v>2024</v>
      </c>
      <c r="C758" t="s">
        <v>19</v>
      </c>
      <c r="D758">
        <v>156</v>
      </c>
      <c r="E758" t="s">
        <v>20</v>
      </c>
      <c r="F758" t="s">
        <v>21</v>
      </c>
      <c r="G758" t="s">
        <v>15</v>
      </c>
      <c r="H758">
        <v>-1.2682577082633779</v>
      </c>
      <c r="I758">
        <v>3</v>
      </c>
      <c r="J758" t="s">
        <v>23</v>
      </c>
      <c r="K758" s="59" t="s">
        <v>17</v>
      </c>
    </row>
    <row r="759" spans="1:11" x14ac:dyDescent="0.2">
      <c r="A759" t="s">
        <v>798</v>
      </c>
      <c r="B759">
        <v>2018</v>
      </c>
      <c r="C759" t="s">
        <v>19</v>
      </c>
      <c r="D759">
        <v>222</v>
      </c>
      <c r="E759" t="s">
        <v>29</v>
      </c>
      <c r="F759" t="s">
        <v>30</v>
      </c>
      <c r="G759" t="s">
        <v>15</v>
      </c>
      <c r="H759">
        <v>0.54780030737985386</v>
      </c>
      <c r="I759">
        <v>4</v>
      </c>
      <c r="J759" t="s">
        <v>23</v>
      </c>
      <c r="K759" s="59" t="s">
        <v>16</v>
      </c>
    </row>
    <row r="760" spans="1:11" x14ac:dyDescent="0.2">
      <c r="A760" t="s">
        <v>799</v>
      </c>
      <c r="B760">
        <v>2020</v>
      </c>
      <c r="C760" t="s">
        <v>33</v>
      </c>
      <c r="D760">
        <v>34</v>
      </c>
      <c r="E760" t="s">
        <v>20</v>
      </c>
      <c r="F760" t="s">
        <v>21</v>
      </c>
      <c r="G760" t="s">
        <v>44</v>
      </c>
      <c r="H760">
        <v>-0.17617336389942639</v>
      </c>
      <c r="I760">
        <v>3</v>
      </c>
      <c r="J760" t="s">
        <v>16</v>
      </c>
      <c r="K760" s="59" t="s">
        <v>4376</v>
      </c>
    </row>
    <row r="761" spans="1:11" x14ac:dyDescent="0.2">
      <c r="A761" t="s">
        <v>800</v>
      </c>
      <c r="B761">
        <v>2023</v>
      </c>
      <c r="C761" t="s">
        <v>19</v>
      </c>
      <c r="D761">
        <v>151</v>
      </c>
      <c r="E761" t="s">
        <v>20</v>
      </c>
      <c r="F761" t="s">
        <v>21</v>
      </c>
      <c r="G761" t="s">
        <v>22</v>
      </c>
      <c r="H761">
        <v>0.7272106923907542</v>
      </c>
      <c r="I761">
        <v>3</v>
      </c>
      <c r="J761" t="s">
        <v>23</v>
      </c>
      <c r="K761" s="59" t="s">
        <v>4376</v>
      </c>
    </row>
    <row r="762" spans="1:11" x14ac:dyDescent="0.2">
      <c r="A762" t="s">
        <v>801</v>
      </c>
      <c r="B762">
        <v>2024</v>
      </c>
      <c r="C762" t="s">
        <v>33</v>
      </c>
      <c r="D762">
        <v>74</v>
      </c>
      <c r="E762" t="s">
        <v>20</v>
      </c>
      <c r="F762" t="s">
        <v>21</v>
      </c>
      <c r="G762" t="s">
        <v>15</v>
      </c>
      <c r="H762">
        <v>0.55390524409203035</v>
      </c>
      <c r="I762">
        <v>3</v>
      </c>
      <c r="J762" t="s">
        <v>23</v>
      </c>
      <c r="K762" s="59" t="s">
        <v>4376</v>
      </c>
    </row>
    <row r="763" spans="1:11" x14ac:dyDescent="0.2">
      <c r="A763" t="s">
        <v>802</v>
      </c>
      <c r="B763">
        <v>2024</v>
      </c>
      <c r="C763" t="s">
        <v>33</v>
      </c>
      <c r="D763">
        <v>154</v>
      </c>
      <c r="E763" t="s">
        <v>20</v>
      </c>
      <c r="F763" t="s">
        <v>21</v>
      </c>
      <c r="G763" t="s">
        <v>48</v>
      </c>
      <c r="H763">
        <v>-0.18527406676912589</v>
      </c>
      <c r="I763">
        <v>3</v>
      </c>
      <c r="J763" t="s">
        <v>16</v>
      </c>
      <c r="K763" s="59" t="s">
        <v>16</v>
      </c>
    </row>
    <row r="764" spans="1:11" x14ac:dyDescent="0.2">
      <c r="A764" t="s">
        <v>803</v>
      </c>
      <c r="B764">
        <v>2018</v>
      </c>
      <c r="C764" t="s">
        <v>19</v>
      </c>
      <c r="D764">
        <v>222</v>
      </c>
      <c r="E764" t="s">
        <v>29</v>
      </c>
      <c r="F764" t="s">
        <v>30</v>
      </c>
      <c r="G764" t="s">
        <v>15</v>
      </c>
      <c r="H764">
        <v>0.54780030737985386</v>
      </c>
      <c r="I764">
        <v>4</v>
      </c>
      <c r="J764" t="s">
        <v>23</v>
      </c>
      <c r="K764" s="59" t="s">
        <v>23</v>
      </c>
    </row>
    <row r="765" spans="1:11" x14ac:dyDescent="0.2">
      <c r="A765" t="s">
        <v>804</v>
      </c>
      <c r="B765">
        <v>2018</v>
      </c>
      <c r="C765" t="s">
        <v>19</v>
      </c>
      <c r="D765">
        <v>222</v>
      </c>
      <c r="E765" t="s">
        <v>29</v>
      </c>
      <c r="F765" t="s">
        <v>30</v>
      </c>
      <c r="G765" t="s">
        <v>15</v>
      </c>
      <c r="H765">
        <v>0.54780030737985386</v>
      </c>
      <c r="I765">
        <v>4</v>
      </c>
      <c r="J765" t="s">
        <v>23</v>
      </c>
      <c r="K765" s="59" t="s">
        <v>17</v>
      </c>
    </row>
    <row r="766" spans="1:11" x14ac:dyDescent="0.2">
      <c r="A766" t="s">
        <v>805</v>
      </c>
      <c r="B766">
        <v>2018</v>
      </c>
      <c r="C766" t="s">
        <v>19</v>
      </c>
      <c r="D766">
        <v>222</v>
      </c>
      <c r="E766" t="s">
        <v>29</v>
      </c>
      <c r="F766" t="s">
        <v>30</v>
      </c>
      <c r="G766" t="s">
        <v>15</v>
      </c>
      <c r="H766">
        <v>0.54780030737985386</v>
      </c>
      <c r="I766">
        <v>4</v>
      </c>
      <c r="J766" t="s">
        <v>23</v>
      </c>
      <c r="K766" s="59" t="s">
        <v>17</v>
      </c>
    </row>
    <row r="767" spans="1:11" x14ac:dyDescent="0.2">
      <c r="A767" t="s">
        <v>806</v>
      </c>
      <c r="B767">
        <v>2018</v>
      </c>
      <c r="C767" t="s">
        <v>19</v>
      </c>
      <c r="D767">
        <v>46</v>
      </c>
      <c r="E767" t="s">
        <v>20</v>
      </c>
      <c r="F767" t="s">
        <v>21</v>
      </c>
      <c r="G767" t="s">
        <v>15</v>
      </c>
      <c r="H767">
        <v>-1.178569622011266</v>
      </c>
      <c r="I767">
        <v>3</v>
      </c>
      <c r="J767" t="s">
        <v>16</v>
      </c>
      <c r="K767" s="59" t="s">
        <v>17</v>
      </c>
    </row>
    <row r="768" spans="1:11" x14ac:dyDescent="0.2">
      <c r="A768" t="s">
        <v>807</v>
      </c>
      <c r="B768">
        <v>2018</v>
      </c>
      <c r="C768" t="s">
        <v>33</v>
      </c>
      <c r="D768">
        <v>136</v>
      </c>
      <c r="E768" t="s">
        <v>13</v>
      </c>
      <c r="F768" t="s">
        <v>14</v>
      </c>
      <c r="G768" t="s">
        <v>15</v>
      </c>
      <c r="H768">
        <v>1.792113975163165</v>
      </c>
      <c r="I768">
        <v>4</v>
      </c>
      <c r="J768" t="s">
        <v>17</v>
      </c>
      <c r="K768" s="59" t="s">
        <v>17</v>
      </c>
    </row>
    <row r="769" spans="1:11" x14ac:dyDescent="0.2">
      <c r="A769" t="s">
        <v>808</v>
      </c>
      <c r="B769">
        <v>2017</v>
      </c>
      <c r="C769" t="s">
        <v>19</v>
      </c>
      <c r="D769">
        <v>96</v>
      </c>
      <c r="E769" t="s">
        <v>20</v>
      </c>
      <c r="F769" t="s">
        <v>21</v>
      </c>
      <c r="G769" t="s">
        <v>41</v>
      </c>
      <c r="H769">
        <v>1.207133472294913</v>
      </c>
      <c r="I769">
        <v>3</v>
      </c>
      <c r="J769" t="s">
        <v>23</v>
      </c>
      <c r="K769" s="59" t="s">
        <v>16</v>
      </c>
    </row>
    <row r="770" spans="1:11" x14ac:dyDescent="0.2">
      <c r="A770" t="s">
        <v>809</v>
      </c>
      <c r="B770">
        <v>2018</v>
      </c>
      <c r="C770" t="s">
        <v>19</v>
      </c>
      <c r="D770">
        <v>103</v>
      </c>
      <c r="E770" t="s">
        <v>20</v>
      </c>
      <c r="F770" t="s">
        <v>21</v>
      </c>
      <c r="G770" t="s">
        <v>15</v>
      </c>
      <c r="H770">
        <v>-0.21809175287501251</v>
      </c>
      <c r="I770">
        <v>3</v>
      </c>
      <c r="J770" t="s">
        <v>17</v>
      </c>
      <c r="K770" s="59" t="s">
        <v>23</v>
      </c>
    </row>
    <row r="771" spans="1:11" x14ac:dyDescent="0.2">
      <c r="A771" t="s">
        <v>810</v>
      </c>
      <c r="B771">
        <v>2020</v>
      </c>
      <c r="C771" t="s">
        <v>33</v>
      </c>
      <c r="D771">
        <v>58</v>
      </c>
      <c r="E771" t="s">
        <v>25</v>
      </c>
      <c r="F771" t="s">
        <v>26</v>
      </c>
      <c r="G771" t="s">
        <v>15</v>
      </c>
      <c r="H771">
        <v>0.12592812906255571</v>
      </c>
      <c r="I771">
        <v>2</v>
      </c>
      <c r="J771" t="s">
        <v>23</v>
      </c>
      <c r="K771" s="59" t="s">
        <v>4376</v>
      </c>
    </row>
    <row r="772" spans="1:11" x14ac:dyDescent="0.2">
      <c r="A772" t="s">
        <v>811</v>
      </c>
      <c r="B772">
        <v>2018</v>
      </c>
      <c r="C772" t="s">
        <v>19</v>
      </c>
      <c r="D772">
        <v>46</v>
      </c>
      <c r="E772" t="s">
        <v>38</v>
      </c>
      <c r="F772" t="s">
        <v>39</v>
      </c>
      <c r="G772" t="s">
        <v>15</v>
      </c>
      <c r="H772">
        <v>1.207133472294913</v>
      </c>
      <c r="I772">
        <v>3</v>
      </c>
      <c r="J772" t="s">
        <v>16</v>
      </c>
      <c r="K772" s="59" t="s">
        <v>16</v>
      </c>
    </row>
    <row r="773" spans="1:11" x14ac:dyDescent="0.2">
      <c r="A773" t="s">
        <v>812</v>
      </c>
      <c r="B773">
        <v>2019</v>
      </c>
      <c r="C773" t="s">
        <v>33</v>
      </c>
      <c r="D773">
        <v>176</v>
      </c>
      <c r="E773" t="s">
        <v>25</v>
      </c>
      <c r="F773" t="s">
        <v>26</v>
      </c>
      <c r="G773" t="s">
        <v>22</v>
      </c>
      <c r="H773">
        <v>-1.0715696493430491</v>
      </c>
      <c r="I773">
        <v>2</v>
      </c>
      <c r="J773" t="s">
        <v>16</v>
      </c>
      <c r="K773" s="59" t="s">
        <v>4376</v>
      </c>
    </row>
    <row r="774" spans="1:11" x14ac:dyDescent="0.2">
      <c r="A774" t="s">
        <v>813</v>
      </c>
      <c r="B774">
        <v>2018</v>
      </c>
      <c r="C774" t="s">
        <v>19</v>
      </c>
      <c r="D774">
        <v>222</v>
      </c>
      <c r="E774" t="s">
        <v>29</v>
      </c>
      <c r="F774" t="s">
        <v>30</v>
      </c>
      <c r="G774" t="s">
        <v>15</v>
      </c>
      <c r="H774">
        <v>0.54780030737985386</v>
      </c>
      <c r="I774">
        <v>4</v>
      </c>
      <c r="J774" t="s">
        <v>23</v>
      </c>
      <c r="K774" s="59" t="s">
        <v>17</v>
      </c>
    </row>
    <row r="775" spans="1:11" x14ac:dyDescent="0.2">
      <c r="A775" t="s">
        <v>814</v>
      </c>
      <c r="B775">
        <v>2022</v>
      </c>
      <c r="C775" t="s">
        <v>19</v>
      </c>
      <c r="D775">
        <v>353</v>
      </c>
      <c r="E775" t="s">
        <v>53</v>
      </c>
      <c r="F775" t="s">
        <v>54</v>
      </c>
      <c r="G775" t="s">
        <v>15</v>
      </c>
      <c r="H775">
        <v>0.46058692577733279</v>
      </c>
      <c r="I775">
        <v>3</v>
      </c>
      <c r="J775" t="s">
        <v>16</v>
      </c>
      <c r="K775" s="59" t="s">
        <v>17</v>
      </c>
    </row>
    <row r="776" spans="1:11" x14ac:dyDescent="0.2">
      <c r="A776" t="s">
        <v>815</v>
      </c>
      <c r="B776">
        <v>2018</v>
      </c>
      <c r="C776" t="s">
        <v>33</v>
      </c>
      <c r="D776">
        <v>136</v>
      </c>
      <c r="E776" t="s">
        <v>13</v>
      </c>
      <c r="F776" t="s">
        <v>14</v>
      </c>
      <c r="G776" t="s">
        <v>15</v>
      </c>
      <c r="H776">
        <v>1.792113975163165</v>
      </c>
      <c r="I776">
        <v>4</v>
      </c>
      <c r="J776" t="s">
        <v>17</v>
      </c>
      <c r="K776" s="59" t="s">
        <v>4376</v>
      </c>
    </row>
    <row r="777" spans="1:11" x14ac:dyDescent="0.2">
      <c r="A777" t="s">
        <v>816</v>
      </c>
      <c r="B777">
        <v>2018</v>
      </c>
      <c r="C777" t="s">
        <v>19</v>
      </c>
      <c r="D777">
        <v>222</v>
      </c>
      <c r="E777" t="s">
        <v>29</v>
      </c>
      <c r="F777" t="s">
        <v>30</v>
      </c>
      <c r="G777" t="s">
        <v>15</v>
      </c>
      <c r="H777">
        <v>0.54780030737985386</v>
      </c>
      <c r="I777">
        <v>4</v>
      </c>
      <c r="J777" t="s">
        <v>23</v>
      </c>
      <c r="K777" s="59" t="s">
        <v>23</v>
      </c>
    </row>
    <row r="778" spans="1:11" x14ac:dyDescent="0.2">
      <c r="A778" t="s">
        <v>817</v>
      </c>
      <c r="B778">
        <v>2018</v>
      </c>
      <c r="C778" t="s">
        <v>33</v>
      </c>
      <c r="D778">
        <v>112</v>
      </c>
      <c r="E778" t="s">
        <v>20</v>
      </c>
      <c r="F778" t="s">
        <v>21</v>
      </c>
      <c r="G778" t="s">
        <v>15</v>
      </c>
      <c r="H778">
        <v>1.630849079777863</v>
      </c>
      <c r="I778">
        <v>3</v>
      </c>
      <c r="J778" t="s">
        <v>23</v>
      </c>
      <c r="K778" s="59" t="s">
        <v>17</v>
      </c>
    </row>
    <row r="779" spans="1:11" x14ac:dyDescent="0.2">
      <c r="A779" t="s">
        <v>818</v>
      </c>
      <c r="B779">
        <v>2021</v>
      </c>
      <c r="C779" t="s">
        <v>19</v>
      </c>
      <c r="D779">
        <v>165</v>
      </c>
      <c r="E779" t="s">
        <v>25</v>
      </c>
      <c r="F779" t="s">
        <v>26</v>
      </c>
      <c r="G779" t="s">
        <v>15</v>
      </c>
      <c r="H779">
        <v>0.57156006107048651</v>
      </c>
      <c r="I779">
        <v>2</v>
      </c>
      <c r="J779" t="s">
        <v>23</v>
      </c>
      <c r="K779" s="59" t="s">
        <v>17</v>
      </c>
    </row>
    <row r="780" spans="1:11" x14ac:dyDescent="0.2">
      <c r="A780" t="s">
        <v>819</v>
      </c>
      <c r="B780">
        <v>2020</v>
      </c>
      <c r="C780" t="s">
        <v>12</v>
      </c>
      <c r="D780">
        <v>50</v>
      </c>
      <c r="E780" t="s">
        <v>20</v>
      </c>
      <c r="F780" t="s">
        <v>21</v>
      </c>
      <c r="G780" t="s">
        <v>22</v>
      </c>
      <c r="H780">
        <v>0.2064434205798589</v>
      </c>
      <c r="I780">
        <v>3</v>
      </c>
      <c r="J780" t="s">
        <v>23</v>
      </c>
      <c r="K780" s="59" t="s">
        <v>23</v>
      </c>
    </row>
    <row r="781" spans="1:11" x14ac:dyDescent="0.2">
      <c r="A781" t="s">
        <v>820</v>
      </c>
      <c r="B781">
        <v>2024</v>
      </c>
      <c r="C781" t="s">
        <v>33</v>
      </c>
      <c r="D781">
        <v>195</v>
      </c>
      <c r="E781" t="s">
        <v>25</v>
      </c>
      <c r="F781" t="s">
        <v>26</v>
      </c>
      <c r="G781" t="s">
        <v>15</v>
      </c>
      <c r="H781">
        <v>0.21697700007159629</v>
      </c>
      <c r="I781">
        <v>2</v>
      </c>
      <c r="J781" t="s">
        <v>17</v>
      </c>
      <c r="K781" s="59" t="s">
        <v>4376</v>
      </c>
    </row>
    <row r="782" spans="1:11" x14ac:dyDescent="0.2">
      <c r="A782" t="s">
        <v>821</v>
      </c>
      <c r="B782">
        <v>2019</v>
      </c>
      <c r="C782" t="s">
        <v>12</v>
      </c>
      <c r="D782">
        <v>517</v>
      </c>
      <c r="E782" t="s">
        <v>13</v>
      </c>
      <c r="F782" t="s">
        <v>14</v>
      </c>
      <c r="G782" t="s">
        <v>15</v>
      </c>
      <c r="H782">
        <v>-0.70087595693865834</v>
      </c>
      <c r="I782">
        <v>4</v>
      </c>
      <c r="J782" t="s">
        <v>23</v>
      </c>
      <c r="K782" s="59" t="s">
        <v>17</v>
      </c>
    </row>
    <row r="783" spans="1:11" x14ac:dyDescent="0.2">
      <c r="A783" t="s">
        <v>822</v>
      </c>
      <c r="B783">
        <v>2021</v>
      </c>
      <c r="C783" t="s">
        <v>33</v>
      </c>
      <c r="D783">
        <v>183</v>
      </c>
      <c r="E783" t="s">
        <v>25</v>
      </c>
      <c r="F783" t="s">
        <v>26</v>
      </c>
      <c r="G783" t="s">
        <v>80</v>
      </c>
      <c r="H783">
        <v>0.91859094204578673</v>
      </c>
      <c r="I783">
        <v>2</v>
      </c>
      <c r="J783" t="s">
        <v>23</v>
      </c>
      <c r="K783" s="59" t="s">
        <v>23</v>
      </c>
    </row>
    <row r="784" spans="1:11" x14ac:dyDescent="0.2">
      <c r="A784" t="s">
        <v>823</v>
      </c>
      <c r="B784">
        <v>2018</v>
      </c>
      <c r="C784" t="s">
        <v>12</v>
      </c>
      <c r="D784">
        <v>67</v>
      </c>
      <c r="E784" t="s">
        <v>29</v>
      </c>
      <c r="F784" t="s">
        <v>30</v>
      </c>
      <c r="G784" t="s">
        <v>15</v>
      </c>
      <c r="H784">
        <v>1.9197460848798751</v>
      </c>
      <c r="I784">
        <v>4</v>
      </c>
      <c r="J784" t="s">
        <v>23</v>
      </c>
      <c r="K784" s="59" t="s">
        <v>23</v>
      </c>
    </row>
    <row r="785" spans="1:11" x14ac:dyDescent="0.2">
      <c r="A785" t="s">
        <v>824</v>
      </c>
      <c r="B785">
        <v>2018</v>
      </c>
      <c r="C785" t="s">
        <v>33</v>
      </c>
      <c r="D785">
        <v>68</v>
      </c>
      <c r="E785" t="s">
        <v>38</v>
      </c>
      <c r="F785" t="s">
        <v>39</v>
      </c>
      <c r="G785" t="s">
        <v>15</v>
      </c>
      <c r="H785">
        <v>-0.21809175287501251</v>
      </c>
      <c r="I785">
        <v>3</v>
      </c>
      <c r="J785" t="s">
        <v>23</v>
      </c>
      <c r="K785" s="59" t="s">
        <v>4376</v>
      </c>
    </row>
    <row r="786" spans="1:11" x14ac:dyDescent="0.2">
      <c r="A786" t="s">
        <v>825</v>
      </c>
      <c r="B786">
        <v>2018</v>
      </c>
      <c r="C786" t="s">
        <v>19</v>
      </c>
      <c r="D786">
        <v>63</v>
      </c>
      <c r="E786" t="s">
        <v>38</v>
      </c>
      <c r="F786" t="s">
        <v>39</v>
      </c>
      <c r="G786" t="s">
        <v>15</v>
      </c>
      <c r="H786">
        <v>-0.33491349264303921</v>
      </c>
      <c r="I786">
        <v>3</v>
      </c>
      <c r="J786" t="s">
        <v>23</v>
      </c>
      <c r="K786" s="59" t="s">
        <v>17</v>
      </c>
    </row>
    <row r="787" spans="1:11" x14ac:dyDescent="0.2">
      <c r="A787" t="s">
        <v>826</v>
      </c>
      <c r="B787">
        <v>2019</v>
      </c>
      <c r="C787" t="s">
        <v>33</v>
      </c>
      <c r="D787">
        <v>165</v>
      </c>
      <c r="E787" t="s">
        <v>25</v>
      </c>
      <c r="F787" t="s">
        <v>26</v>
      </c>
      <c r="G787" t="s">
        <v>15</v>
      </c>
      <c r="H787">
        <v>0.9150065627880335</v>
      </c>
      <c r="I787">
        <v>2</v>
      </c>
      <c r="J787" t="s">
        <v>23</v>
      </c>
      <c r="K787" s="59" t="s">
        <v>4376</v>
      </c>
    </row>
    <row r="788" spans="1:11" x14ac:dyDescent="0.2">
      <c r="A788" t="s">
        <v>827</v>
      </c>
      <c r="B788">
        <v>2019</v>
      </c>
      <c r="C788" t="s">
        <v>33</v>
      </c>
      <c r="D788">
        <v>54</v>
      </c>
      <c r="E788" t="s">
        <v>13</v>
      </c>
      <c r="F788" t="s">
        <v>14</v>
      </c>
      <c r="G788" t="s">
        <v>15</v>
      </c>
      <c r="H788">
        <v>2.078104443232089</v>
      </c>
      <c r="I788">
        <v>4</v>
      </c>
      <c r="J788" t="s">
        <v>23</v>
      </c>
      <c r="K788" s="59" t="s">
        <v>4376</v>
      </c>
    </row>
    <row r="789" spans="1:11" x14ac:dyDescent="0.2">
      <c r="A789" t="s">
        <v>828</v>
      </c>
      <c r="B789">
        <v>2019</v>
      </c>
      <c r="C789" t="s">
        <v>12</v>
      </c>
      <c r="D789">
        <v>74</v>
      </c>
      <c r="E789" t="s">
        <v>20</v>
      </c>
      <c r="F789" t="s">
        <v>21</v>
      </c>
      <c r="G789" t="s">
        <v>57</v>
      </c>
      <c r="H789">
        <v>-1.335160172602792</v>
      </c>
      <c r="I789">
        <v>3</v>
      </c>
      <c r="J789" t="s">
        <v>23</v>
      </c>
      <c r="K789" s="59" t="s">
        <v>17</v>
      </c>
    </row>
    <row r="790" spans="1:11" x14ac:dyDescent="0.2">
      <c r="A790" t="s">
        <v>829</v>
      </c>
      <c r="B790">
        <v>2018</v>
      </c>
      <c r="C790" t="s">
        <v>19</v>
      </c>
      <c r="D790">
        <v>222</v>
      </c>
      <c r="E790" t="s">
        <v>29</v>
      </c>
      <c r="F790" t="s">
        <v>30</v>
      </c>
      <c r="G790" t="s">
        <v>15</v>
      </c>
      <c r="H790">
        <v>0.54780030737985386</v>
      </c>
      <c r="I790">
        <v>4</v>
      </c>
      <c r="J790" t="s">
        <v>23</v>
      </c>
      <c r="K790" s="59" t="s">
        <v>17</v>
      </c>
    </row>
    <row r="791" spans="1:11" x14ac:dyDescent="0.2">
      <c r="A791" t="s">
        <v>830</v>
      </c>
      <c r="B791">
        <v>2016</v>
      </c>
      <c r="C791" t="s">
        <v>12</v>
      </c>
      <c r="D791">
        <v>87</v>
      </c>
      <c r="E791" t="s">
        <v>29</v>
      </c>
      <c r="F791" t="s">
        <v>30</v>
      </c>
      <c r="G791" t="s">
        <v>15</v>
      </c>
      <c r="H791">
        <v>0.12592812906255571</v>
      </c>
      <c r="I791">
        <v>4</v>
      </c>
      <c r="J791" t="s">
        <v>23</v>
      </c>
      <c r="K791" s="59" t="s">
        <v>4376</v>
      </c>
    </row>
    <row r="792" spans="1:11" x14ac:dyDescent="0.2">
      <c r="A792" t="s">
        <v>831</v>
      </c>
      <c r="B792">
        <v>2024</v>
      </c>
      <c r="C792" t="s">
        <v>19</v>
      </c>
      <c r="D792">
        <v>167</v>
      </c>
      <c r="E792" t="s">
        <v>25</v>
      </c>
      <c r="F792" t="s">
        <v>26</v>
      </c>
      <c r="G792" t="s">
        <v>15</v>
      </c>
      <c r="H792">
        <v>-0.83775489425324057</v>
      </c>
      <c r="I792">
        <v>2</v>
      </c>
      <c r="J792" t="s">
        <v>23</v>
      </c>
      <c r="K792" s="59" t="s">
        <v>17</v>
      </c>
    </row>
    <row r="793" spans="1:11" x14ac:dyDescent="0.2">
      <c r="A793" t="s">
        <v>832</v>
      </c>
      <c r="B793">
        <v>2019</v>
      </c>
      <c r="C793" t="s">
        <v>33</v>
      </c>
      <c r="D793">
        <v>128</v>
      </c>
      <c r="E793" t="s">
        <v>13</v>
      </c>
      <c r="F793" t="s">
        <v>14</v>
      </c>
      <c r="G793" t="s">
        <v>15</v>
      </c>
      <c r="H793">
        <v>-0.26263004116157262</v>
      </c>
      <c r="I793">
        <v>4</v>
      </c>
      <c r="J793" t="s">
        <v>16</v>
      </c>
      <c r="K793" s="59" t="s">
        <v>4376</v>
      </c>
    </row>
    <row r="794" spans="1:11" x14ac:dyDescent="0.2">
      <c r="A794" t="s">
        <v>833</v>
      </c>
      <c r="B794">
        <v>2018</v>
      </c>
      <c r="C794" t="s">
        <v>33</v>
      </c>
      <c r="D794">
        <v>149</v>
      </c>
      <c r="E794" t="s">
        <v>20</v>
      </c>
      <c r="F794" t="s">
        <v>21</v>
      </c>
      <c r="G794" t="s">
        <v>15</v>
      </c>
      <c r="H794">
        <v>-8.1426320324471585E-2</v>
      </c>
      <c r="I794">
        <v>3</v>
      </c>
      <c r="J794" t="s">
        <v>23</v>
      </c>
      <c r="K794" s="59" t="s">
        <v>4376</v>
      </c>
    </row>
    <row r="795" spans="1:11" x14ac:dyDescent="0.2">
      <c r="A795" t="s">
        <v>834</v>
      </c>
      <c r="B795">
        <v>2018</v>
      </c>
      <c r="C795" t="s">
        <v>33</v>
      </c>
      <c r="D795">
        <v>98</v>
      </c>
      <c r="E795" t="s">
        <v>38</v>
      </c>
      <c r="F795" t="s">
        <v>39</v>
      </c>
      <c r="G795" t="s">
        <v>15</v>
      </c>
      <c r="H795">
        <v>0.7272106923907542</v>
      </c>
      <c r="I795">
        <v>3</v>
      </c>
      <c r="J795" t="s">
        <v>23</v>
      </c>
      <c r="K795" s="59" t="s">
        <v>4376</v>
      </c>
    </row>
    <row r="796" spans="1:11" x14ac:dyDescent="0.2">
      <c r="A796" t="s">
        <v>835</v>
      </c>
      <c r="B796">
        <v>2018</v>
      </c>
      <c r="C796" t="s">
        <v>33</v>
      </c>
      <c r="D796">
        <v>96</v>
      </c>
      <c r="E796" t="s">
        <v>38</v>
      </c>
      <c r="F796" t="s">
        <v>39</v>
      </c>
      <c r="G796" t="s">
        <v>15</v>
      </c>
      <c r="H796">
        <v>1.207133472294913</v>
      </c>
      <c r="I796">
        <v>3</v>
      </c>
      <c r="J796" t="s">
        <v>23</v>
      </c>
      <c r="K796" s="59" t="s">
        <v>4376</v>
      </c>
    </row>
    <row r="797" spans="1:11" x14ac:dyDescent="0.2">
      <c r="A797" t="s">
        <v>836</v>
      </c>
      <c r="B797">
        <v>2019</v>
      </c>
      <c r="C797" t="s">
        <v>33</v>
      </c>
      <c r="D797">
        <v>265</v>
      </c>
      <c r="E797" t="s">
        <v>25</v>
      </c>
      <c r="F797" t="s">
        <v>26</v>
      </c>
      <c r="G797" t="s">
        <v>15</v>
      </c>
      <c r="H797">
        <v>0.46058692577733279</v>
      </c>
      <c r="I797">
        <v>2</v>
      </c>
      <c r="J797" t="s">
        <v>23</v>
      </c>
      <c r="K797" s="59" t="s">
        <v>4376</v>
      </c>
    </row>
    <row r="798" spans="1:11" x14ac:dyDescent="0.2">
      <c r="A798" t="s">
        <v>837</v>
      </c>
      <c r="B798">
        <v>2018</v>
      </c>
      <c r="C798" t="s">
        <v>33</v>
      </c>
      <c r="D798">
        <v>69</v>
      </c>
      <c r="E798" t="s">
        <v>38</v>
      </c>
      <c r="F798" t="s">
        <v>39</v>
      </c>
      <c r="G798" t="s">
        <v>15</v>
      </c>
      <c r="H798">
        <v>0.50515686885300926</v>
      </c>
      <c r="I798">
        <v>3</v>
      </c>
      <c r="J798" t="s">
        <v>23</v>
      </c>
      <c r="K798" s="59" t="s">
        <v>4376</v>
      </c>
    </row>
    <row r="799" spans="1:11" x14ac:dyDescent="0.2">
      <c r="A799" t="s">
        <v>838</v>
      </c>
      <c r="B799">
        <v>2021</v>
      </c>
      <c r="C799" t="s">
        <v>19</v>
      </c>
      <c r="D799">
        <v>153</v>
      </c>
      <c r="E799" t="s">
        <v>25</v>
      </c>
      <c r="F799" t="s">
        <v>26</v>
      </c>
      <c r="G799" t="s">
        <v>15</v>
      </c>
      <c r="H799">
        <v>0.5584102663554984</v>
      </c>
      <c r="I799">
        <v>2</v>
      </c>
      <c r="J799" t="s">
        <v>23</v>
      </c>
      <c r="K799" s="59" t="s">
        <v>17</v>
      </c>
    </row>
    <row r="800" spans="1:11" x14ac:dyDescent="0.2">
      <c r="A800" t="s">
        <v>839</v>
      </c>
      <c r="B800">
        <v>2019</v>
      </c>
      <c r="C800" t="s">
        <v>33</v>
      </c>
      <c r="D800">
        <v>37</v>
      </c>
      <c r="E800" t="s">
        <v>20</v>
      </c>
      <c r="F800" t="s">
        <v>21</v>
      </c>
      <c r="G800" t="s">
        <v>15</v>
      </c>
      <c r="H800">
        <v>-1.335160172602792</v>
      </c>
      <c r="I800">
        <v>3</v>
      </c>
      <c r="J800" t="s">
        <v>23</v>
      </c>
      <c r="K800" s="59" t="s">
        <v>4376</v>
      </c>
    </row>
    <row r="801" spans="1:11" x14ac:dyDescent="0.2">
      <c r="A801" t="s">
        <v>840</v>
      </c>
      <c r="B801">
        <v>2019</v>
      </c>
      <c r="C801" t="s">
        <v>12</v>
      </c>
      <c r="D801">
        <v>83</v>
      </c>
      <c r="E801" t="s">
        <v>38</v>
      </c>
      <c r="F801" t="s">
        <v>39</v>
      </c>
      <c r="G801" t="s">
        <v>15</v>
      </c>
      <c r="H801">
        <v>1.207133472294913</v>
      </c>
      <c r="I801">
        <v>3</v>
      </c>
      <c r="J801" t="s">
        <v>23</v>
      </c>
      <c r="K801" s="59" t="s">
        <v>4376</v>
      </c>
    </row>
    <row r="802" spans="1:11" x14ac:dyDescent="0.2">
      <c r="A802" t="s">
        <v>841</v>
      </c>
      <c r="B802">
        <v>2021</v>
      </c>
      <c r="C802" t="s">
        <v>12</v>
      </c>
      <c r="D802">
        <v>237</v>
      </c>
      <c r="E802" t="s">
        <v>13</v>
      </c>
      <c r="F802" t="s">
        <v>14</v>
      </c>
      <c r="G802" t="s">
        <v>15</v>
      </c>
      <c r="H802">
        <v>0.37836814312121159</v>
      </c>
      <c r="I802">
        <v>4</v>
      </c>
      <c r="J802" t="s">
        <v>23</v>
      </c>
      <c r="K802" s="59" t="s">
        <v>4376</v>
      </c>
    </row>
    <row r="803" spans="1:11" x14ac:dyDescent="0.2">
      <c r="A803" t="s">
        <v>842</v>
      </c>
      <c r="B803">
        <v>2020</v>
      </c>
      <c r="C803" t="s">
        <v>33</v>
      </c>
      <c r="D803">
        <v>64</v>
      </c>
      <c r="E803" t="s">
        <v>25</v>
      </c>
      <c r="F803" t="s">
        <v>26</v>
      </c>
      <c r="G803" t="s">
        <v>48</v>
      </c>
      <c r="H803">
        <v>0.2272911299905892</v>
      </c>
      <c r="I803">
        <v>2</v>
      </c>
      <c r="J803" t="s">
        <v>16</v>
      </c>
      <c r="K803" s="59" t="s">
        <v>16</v>
      </c>
    </row>
    <row r="804" spans="1:11" x14ac:dyDescent="0.2">
      <c r="A804" t="s">
        <v>843</v>
      </c>
      <c r="B804">
        <v>2018</v>
      </c>
      <c r="C804" t="s">
        <v>33</v>
      </c>
      <c r="D804">
        <v>96</v>
      </c>
      <c r="E804" t="s">
        <v>38</v>
      </c>
      <c r="F804" t="s">
        <v>39</v>
      </c>
      <c r="G804" t="s">
        <v>15</v>
      </c>
      <c r="H804">
        <v>1.207133472294913</v>
      </c>
      <c r="I804">
        <v>3</v>
      </c>
      <c r="J804" t="s">
        <v>23</v>
      </c>
      <c r="K804" s="59" t="s">
        <v>4376</v>
      </c>
    </row>
    <row r="805" spans="1:11" x14ac:dyDescent="0.2">
      <c r="A805" t="s">
        <v>844</v>
      </c>
      <c r="B805">
        <v>2018</v>
      </c>
      <c r="C805" t="s">
        <v>33</v>
      </c>
      <c r="D805">
        <v>96</v>
      </c>
      <c r="E805" t="s">
        <v>38</v>
      </c>
      <c r="F805" t="s">
        <v>39</v>
      </c>
      <c r="G805" t="s">
        <v>15</v>
      </c>
      <c r="H805">
        <v>1.207133472294913</v>
      </c>
      <c r="I805">
        <v>3</v>
      </c>
      <c r="J805" t="s">
        <v>23</v>
      </c>
      <c r="K805" s="59" t="s">
        <v>4376</v>
      </c>
    </row>
    <row r="806" spans="1:11" x14ac:dyDescent="0.2">
      <c r="A806" t="s">
        <v>845</v>
      </c>
      <c r="B806">
        <v>2018</v>
      </c>
      <c r="C806" t="s">
        <v>33</v>
      </c>
      <c r="D806">
        <v>96</v>
      </c>
      <c r="E806" t="s">
        <v>38</v>
      </c>
      <c r="F806" t="s">
        <v>39</v>
      </c>
      <c r="G806" t="s">
        <v>15</v>
      </c>
      <c r="H806">
        <v>1.207133472294913</v>
      </c>
      <c r="I806">
        <v>3</v>
      </c>
      <c r="J806" t="s">
        <v>23</v>
      </c>
      <c r="K806" s="59" t="s">
        <v>4376</v>
      </c>
    </row>
    <row r="807" spans="1:11" x14ac:dyDescent="0.2">
      <c r="A807" t="s">
        <v>846</v>
      </c>
      <c r="B807">
        <v>2018</v>
      </c>
      <c r="C807" t="s">
        <v>33</v>
      </c>
      <c r="D807">
        <v>96</v>
      </c>
      <c r="E807" t="s">
        <v>38</v>
      </c>
      <c r="F807" t="s">
        <v>39</v>
      </c>
      <c r="G807" t="s">
        <v>15</v>
      </c>
      <c r="H807">
        <v>1.207133472294913</v>
      </c>
      <c r="I807">
        <v>3</v>
      </c>
      <c r="J807" t="s">
        <v>23</v>
      </c>
      <c r="K807" s="59" t="s">
        <v>4376</v>
      </c>
    </row>
    <row r="808" spans="1:11" x14ac:dyDescent="0.2">
      <c r="A808" t="s">
        <v>847</v>
      </c>
      <c r="B808">
        <v>2018</v>
      </c>
      <c r="C808" t="s">
        <v>33</v>
      </c>
      <c r="D808">
        <v>36</v>
      </c>
      <c r="E808" t="s">
        <v>13</v>
      </c>
      <c r="F808" t="s">
        <v>14</v>
      </c>
      <c r="G808" t="s">
        <v>15</v>
      </c>
      <c r="H808">
        <v>-1.405779440516616</v>
      </c>
      <c r="I808">
        <v>4</v>
      </c>
      <c r="J808" t="s">
        <v>17</v>
      </c>
      <c r="K808" s="59" t="s">
        <v>4376</v>
      </c>
    </row>
    <row r="809" spans="1:11" x14ac:dyDescent="0.2">
      <c r="A809" t="s">
        <v>848</v>
      </c>
      <c r="B809">
        <v>2021</v>
      </c>
      <c r="C809" t="s">
        <v>12</v>
      </c>
      <c r="D809">
        <v>194</v>
      </c>
      <c r="E809" t="s">
        <v>25</v>
      </c>
      <c r="F809" t="s">
        <v>26</v>
      </c>
      <c r="G809" t="s">
        <v>80</v>
      </c>
      <c r="H809">
        <v>0.94141351505984183</v>
      </c>
      <c r="I809">
        <v>2</v>
      </c>
      <c r="J809" t="s">
        <v>23</v>
      </c>
      <c r="K809" s="59" t="s">
        <v>23</v>
      </c>
    </row>
    <row r="810" spans="1:11" x14ac:dyDescent="0.2">
      <c r="A810" t="s">
        <v>849</v>
      </c>
      <c r="B810">
        <v>2021</v>
      </c>
      <c r="C810" t="s">
        <v>33</v>
      </c>
      <c r="D810">
        <v>440</v>
      </c>
      <c r="E810" t="s">
        <v>38</v>
      </c>
      <c r="F810" t="s">
        <v>39</v>
      </c>
      <c r="G810" t="s">
        <v>15</v>
      </c>
      <c r="H810">
        <v>0.54780030737985386</v>
      </c>
      <c r="I810">
        <v>3</v>
      </c>
      <c r="J810" t="s">
        <v>23</v>
      </c>
      <c r="K810" s="59" t="s">
        <v>17</v>
      </c>
    </row>
    <row r="811" spans="1:11" x14ac:dyDescent="0.2">
      <c r="A811" t="s">
        <v>850</v>
      </c>
      <c r="B811">
        <v>2018</v>
      </c>
      <c r="C811" t="s">
        <v>12</v>
      </c>
      <c r="D811">
        <v>122</v>
      </c>
      <c r="E811" t="s">
        <v>20</v>
      </c>
      <c r="F811" t="s">
        <v>21</v>
      </c>
      <c r="G811" t="s">
        <v>15</v>
      </c>
      <c r="H811">
        <v>2.1441898414050739E-2</v>
      </c>
      <c r="I811">
        <v>3</v>
      </c>
      <c r="J811" t="s">
        <v>23</v>
      </c>
      <c r="K811" s="59" t="s">
        <v>16</v>
      </c>
    </row>
    <row r="812" spans="1:11" x14ac:dyDescent="0.2">
      <c r="A812" t="s">
        <v>851</v>
      </c>
      <c r="B812">
        <v>2018</v>
      </c>
      <c r="C812" t="s">
        <v>19</v>
      </c>
      <c r="D812">
        <v>154</v>
      </c>
      <c r="E812" t="s">
        <v>20</v>
      </c>
      <c r="F812" t="s">
        <v>21</v>
      </c>
      <c r="G812" t="s">
        <v>15</v>
      </c>
      <c r="H812">
        <v>-0.37113607235634671</v>
      </c>
      <c r="I812">
        <v>3</v>
      </c>
      <c r="J812" t="s">
        <v>23</v>
      </c>
      <c r="K812" s="59" t="s">
        <v>17</v>
      </c>
    </row>
    <row r="813" spans="1:11" x14ac:dyDescent="0.2">
      <c r="A813" t="s">
        <v>852</v>
      </c>
      <c r="B813">
        <v>2019</v>
      </c>
      <c r="C813" t="s">
        <v>33</v>
      </c>
      <c r="D813">
        <v>64</v>
      </c>
      <c r="E813" t="s">
        <v>38</v>
      </c>
      <c r="F813" t="s">
        <v>39</v>
      </c>
      <c r="G813" t="s">
        <v>15</v>
      </c>
      <c r="H813">
        <v>0.4485458524464041</v>
      </c>
      <c r="I813">
        <v>3</v>
      </c>
      <c r="J813" t="s">
        <v>23</v>
      </c>
      <c r="K813" s="59" t="s">
        <v>4376</v>
      </c>
    </row>
    <row r="814" spans="1:11" x14ac:dyDescent="0.2">
      <c r="A814" t="s">
        <v>853</v>
      </c>
      <c r="B814">
        <v>2018</v>
      </c>
      <c r="C814" t="s">
        <v>33</v>
      </c>
      <c r="D814">
        <v>97</v>
      </c>
      <c r="E814" t="s">
        <v>38</v>
      </c>
      <c r="F814" t="s">
        <v>39</v>
      </c>
      <c r="G814" t="s">
        <v>15</v>
      </c>
      <c r="H814">
        <v>0.72226303486596899</v>
      </c>
      <c r="I814">
        <v>3</v>
      </c>
      <c r="J814" t="s">
        <v>23</v>
      </c>
      <c r="K814" s="59" t="s">
        <v>4376</v>
      </c>
    </row>
    <row r="815" spans="1:11" x14ac:dyDescent="0.2">
      <c r="A815" t="s">
        <v>854</v>
      </c>
      <c r="B815">
        <v>2018</v>
      </c>
      <c r="C815" t="s">
        <v>33</v>
      </c>
      <c r="D815">
        <v>99</v>
      </c>
      <c r="E815" t="s">
        <v>38</v>
      </c>
      <c r="F815" t="s">
        <v>39</v>
      </c>
      <c r="G815" t="s">
        <v>15</v>
      </c>
      <c r="H815">
        <v>1.682208547351554</v>
      </c>
      <c r="I815">
        <v>3</v>
      </c>
      <c r="J815" t="s">
        <v>23</v>
      </c>
      <c r="K815" s="59" t="s">
        <v>4376</v>
      </c>
    </row>
    <row r="816" spans="1:11" x14ac:dyDescent="0.2">
      <c r="A816" t="s">
        <v>855</v>
      </c>
      <c r="B816">
        <v>2018</v>
      </c>
      <c r="C816" t="s">
        <v>12</v>
      </c>
      <c r="D816">
        <v>51</v>
      </c>
      <c r="E816" t="s">
        <v>38</v>
      </c>
      <c r="F816" t="s">
        <v>39</v>
      </c>
      <c r="G816" t="s">
        <v>15</v>
      </c>
      <c r="H816">
        <v>0.2064434205798589</v>
      </c>
      <c r="I816">
        <v>3</v>
      </c>
      <c r="J816" t="s">
        <v>23</v>
      </c>
      <c r="K816" s="59" t="s">
        <v>17</v>
      </c>
    </row>
    <row r="817" spans="1:11" x14ac:dyDescent="0.2">
      <c r="A817" t="s">
        <v>856</v>
      </c>
      <c r="B817">
        <v>2022</v>
      </c>
      <c r="C817" t="s">
        <v>19</v>
      </c>
      <c r="D817">
        <v>353</v>
      </c>
      <c r="E817" t="s">
        <v>53</v>
      </c>
      <c r="F817" t="s">
        <v>54</v>
      </c>
      <c r="G817" t="s">
        <v>15</v>
      </c>
      <c r="H817">
        <v>0.46058692577733279</v>
      </c>
      <c r="I817">
        <v>3</v>
      </c>
      <c r="J817" t="s">
        <v>16</v>
      </c>
      <c r="K817" s="59" t="s">
        <v>17</v>
      </c>
    </row>
    <row r="818" spans="1:11" x14ac:dyDescent="0.2">
      <c r="A818" t="s">
        <v>857</v>
      </c>
      <c r="B818">
        <v>2020</v>
      </c>
      <c r="C818" t="s">
        <v>19</v>
      </c>
      <c r="D818">
        <v>326</v>
      </c>
      <c r="E818" t="s">
        <v>25</v>
      </c>
      <c r="F818" t="s">
        <v>26</v>
      </c>
      <c r="G818" t="s">
        <v>41</v>
      </c>
      <c r="H818">
        <v>-0.36061427539200491</v>
      </c>
      <c r="I818">
        <v>2</v>
      </c>
      <c r="J818" t="s">
        <v>23</v>
      </c>
      <c r="K818" s="59" t="s">
        <v>4376</v>
      </c>
    </row>
    <row r="819" spans="1:11" x14ac:dyDescent="0.2">
      <c r="A819" t="s">
        <v>858</v>
      </c>
      <c r="B819">
        <v>2024</v>
      </c>
      <c r="C819" t="s">
        <v>19</v>
      </c>
      <c r="D819">
        <v>195</v>
      </c>
      <c r="E819" t="s">
        <v>25</v>
      </c>
      <c r="F819" t="s">
        <v>26</v>
      </c>
      <c r="G819" t="s">
        <v>15</v>
      </c>
      <c r="H819">
        <v>0.21697700007159629</v>
      </c>
      <c r="I819">
        <v>2</v>
      </c>
      <c r="J819" t="s">
        <v>16</v>
      </c>
      <c r="K819" s="59" t="s">
        <v>17</v>
      </c>
    </row>
    <row r="820" spans="1:11" x14ac:dyDescent="0.2">
      <c r="A820" t="s">
        <v>859</v>
      </c>
      <c r="B820">
        <v>2018</v>
      </c>
      <c r="C820" t="s">
        <v>12</v>
      </c>
      <c r="D820">
        <v>52</v>
      </c>
      <c r="E820" t="s">
        <v>38</v>
      </c>
      <c r="F820" t="s">
        <v>39</v>
      </c>
      <c r="G820" t="s">
        <v>15</v>
      </c>
      <c r="H820">
        <v>-0.75255121231373412</v>
      </c>
      <c r="I820">
        <v>3</v>
      </c>
      <c r="J820" t="s">
        <v>23</v>
      </c>
      <c r="K820" s="59" t="s">
        <v>4376</v>
      </c>
    </row>
    <row r="821" spans="1:11" x14ac:dyDescent="0.2">
      <c r="A821" t="s">
        <v>860</v>
      </c>
      <c r="B821">
        <v>2018</v>
      </c>
      <c r="C821" t="s">
        <v>33</v>
      </c>
      <c r="D821">
        <v>59</v>
      </c>
      <c r="E821" t="s">
        <v>29</v>
      </c>
      <c r="F821" t="s">
        <v>30</v>
      </c>
      <c r="G821" t="s">
        <v>36</v>
      </c>
      <c r="H821">
        <v>-2.2767504114537931</v>
      </c>
      <c r="I821">
        <v>4</v>
      </c>
      <c r="J821" t="s">
        <v>23</v>
      </c>
      <c r="K821" s="59" t="s">
        <v>4376</v>
      </c>
    </row>
    <row r="822" spans="1:11" x14ac:dyDescent="0.2">
      <c r="A822" t="s">
        <v>861</v>
      </c>
      <c r="B822">
        <v>2019</v>
      </c>
      <c r="C822" t="s">
        <v>33</v>
      </c>
      <c r="D822">
        <v>47</v>
      </c>
      <c r="E822" t="s">
        <v>13</v>
      </c>
      <c r="F822" t="s">
        <v>14</v>
      </c>
      <c r="G822" t="s">
        <v>15</v>
      </c>
      <c r="H822">
        <v>-0.93070436545997492</v>
      </c>
      <c r="I822">
        <v>4</v>
      </c>
      <c r="J822" t="s">
        <v>16</v>
      </c>
      <c r="K822" s="59" t="s">
        <v>4376</v>
      </c>
    </row>
    <row r="823" spans="1:11" x14ac:dyDescent="0.2">
      <c r="A823" t="s">
        <v>862</v>
      </c>
      <c r="B823">
        <v>2018</v>
      </c>
      <c r="C823" t="s">
        <v>19</v>
      </c>
      <c r="D823">
        <v>61</v>
      </c>
      <c r="E823" t="s">
        <v>29</v>
      </c>
      <c r="F823" t="s">
        <v>30</v>
      </c>
      <c r="G823" t="s">
        <v>48</v>
      </c>
      <c r="H823">
        <v>0.40997360058970028</v>
      </c>
      <c r="I823">
        <v>4</v>
      </c>
      <c r="J823" t="s">
        <v>23</v>
      </c>
      <c r="K823" s="59" t="s">
        <v>23</v>
      </c>
    </row>
    <row r="824" spans="1:11" x14ac:dyDescent="0.2">
      <c r="A824" t="s">
        <v>863</v>
      </c>
      <c r="B824">
        <v>2018</v>
      </c>
      <c r="C824" t="s">
        <v>33</v>
      </c>
      <c r="D824">
        <v>51</v>
      </c>
      <c r="E824" t="s">
        <v>38</v>
      </c>
      <c r="F824" t="s">
        <v>39</v>
      </c>
      <c r="G824" t="s">
        <v>15</v>
      </c>
      <c r="H824">
        <v>0.2064434205798589</v>
      </c>
      <c r="I824">
        <v>3</v>
      </c>
      <c r="J824" t="s">
        <v>23</v>
      </c>
      <c r="K824" s="59" t="s">
        <v>4376</v>
      </c>
    </row>
    <row r="825" spans="1:11" x14ac:dyDescent="0.2">
      <c r="A825" t="s">
        <v>864</v>
      </c>
      <c r="B825">
        <v>2018</v>
      </c>
      <c r="C825" t="s">
        <v>33</v>
      </c>
      <c r="D825">
        <v>47</v>
      </c>
      <c r="E825" t="s">
        <v>38</v>
      </c>
      <c r="F825" t="s">
        <v>39</v>
      </c>
      <c r="G825" t="s">
        <v>15</v>
      </c>
      <c r="H825">
        <v>1.207133472294913</v>
      </c>
      <c r="I825">
        <v>3</v>
      </c>
      <c r="J825" t="s">
        <v>23</v>
      </c>
      <c r="K825" s="59" t="s">
        <v>17</v>
      </c>
    </row>
    <row r="826" spans="1:11" x14ac:dyDescent="0.2">
      <c r="A826" t="s">
        <v>865</v>
      </c>
      <c r="B826">
        <v>2018</v>
      </c>
      <c r="C826" t="s">
        <v>12</v>
      </c>
      <c r="D826">
        <v>51</v>
      </c>
      <c r="E826" t="s">
        <v>38</v>
      </c>
      <c r="F826" t="s">
        <v>39</v>
      </c>
      <c r="G826" t="s">
        <v>15</v>
      </c>
      <c r="H826">
        <v>0.2064434205798589</v>
      </c>
      <c r="I826">
        <v>3</v>
      </c>
      <c r="J826" t="s">
        <v>23</v>
      </c>
      <c r="K826" s="59" t="s">
        <v>16</v>
      </c>
    </row>
    <row r="827" spans="1:11" x14ac:dyDescent="0.2">
      <c r="A827" t="s">
        <v>866</v>
      </c>
      <c r="B827">
        <v>2018</v>
      </c>
      <c r="C827" t="s">
        <v>33</v>
      </c>
      <c r="D827">
        <v>52</v>
      </c>
      <c r="E827" t="s">
        <v>38</v>
      </c>
      <c r="F827" t="s">
        <v>39</v>
      </c>
      <c r="G827" t="s">
        <v>15</v>
      </c>
      <c r="H827">
        <v>0.2272911299905892</v>
      </c>
      <c r="I827">
        <v>3</v>
      </c>
      <c r="J827" t="s">
        <v>23</v>
      </c>
      <c r="K827" s="59" t="s">
        <v>4376</v>
      </c>
    </row>
    <row r="828" spans="1:11" x14ac:dyDescent="0.2">
      <c r="A828" t="s">
        <v>867</v>
      </c>
      <c r="B828">
        <v>2018</v>
      </c>
      <c r="C828" t="s">
        <v>33</v>
      </c>
      <c r="D828">
        <v>103</v>
      </c>
      <c r="E828" t="s">
        <v>25</v>
      </c>
      <c r="F828" t="s">
        <v>26</v>
      </c>
      <c r="G828" t="s">
        <v>15</v>
      </c>
      <c r="H828">
        <v>-1.228202834791561</v>
      </c>
      <c r="I828">
        <v>2</v>
      </c>
      <c r="J828" t="s">
        <v>23</v>
      </c>
      <c r="K828" s="59" t="s">
        <v>17</v>
      </c>
    </row>
    <row r="829" spans="1:11" x14ac:dyDescent="0.2">
      <c r="A829" t="s">
        <v>868</v>
      </c>
      <c r="B829">
        <v>2019</v>
      </c>
      <c r="C829" t="s">
        <v>19</v>
      </c>
      <c r="D829">
        <v>92</v>
      </c>
      <c r="E829" t="s">
        <v>20</v>
      </c>
      <c r="F829" t="s">
        <v>21</v>
      </c>
      <c r="G829" t="s">
        <v>15</v>
      </c>
      <c r="H829">
        <v>0.1734536386551867</v>
      </c>
      <c r="I829">
        <v>3</v>
      </c>
      <c r="J829" t="s">
        <v>23</v>
      </c>
      <c r="K829" s="59" t="s">
        <v>17</v>
      </c>
    </row>
    <row r="830" spans="1:11" x14ac:dyDescent="0.2">
      <c r="A830" t="s">
        <v>869</v>
      </c>
      <c r="B830">
        <v>2021</v>
      </c>
      <c r="C830" t="s">
        <v>19</v>
      </c>
      <c r="D830">
        <v>134</v>
      </c>
      <c r="E830" t="s">
        <v>25</v>
      </c>
      <c r="F830" t="s">
        <v>26</v>
      </c>
      <c r="G830" t="s">
        <v>15</v>
      </c>
      <c r="H830">
        <v>0.47225171556667001</v>
      </c>
      <c r="I830">
        <v>2</v>
      </c>
      <c r="J830" t="s">
        <v>23</v>
      </c>
      <c r="K830" s="59" t="s">
        <v>17</v>
      </c>
    </row>
    <row r="831" spans="1:11" x14ac:dyDescent="0.2">
      <c r="A831" t="s">
        <v>870</v>
      </c>
      <c r="B831">
        <v>2019</v>
      </c>
      <c r="C831" t="s">
        <v>19</v>
      </c>
      <c r="D831">
        <v>106</v>
      </c>
      <c r="E831" t="s">
        <v>25</v>
      </c>
      <c r="F831" t="s">
        <v>26</v>
      </c>
      <c r="G831" t="s">
        <v>15</v>
      </c>
      <c r="H831">
        <v>-0.162743200441229</v>
      </c>
      <c r="I831">
        <v>2</v>
      </c>
      <c r="J831" t="s">
        <v>23</v>
      </c>
      <c r="K831" s="59" t="s">
        <v>17</v>
      </c>
    </row>
    <row r="832" spans="1:11" x14ac:dyDescent="0.2">
      <c r="A832" t="s">
        <v>871</v>
      </c>
      <c r="B832">
        <v>2019</v>
      </c>
      <c r="C832" t="s">
        <v>12</v>
      </c>
      <c r="D832">
        <v>190</v>
      </c>
      <c r="E832" t="s">
        <v>29</v>
      </c>
      <c r="F832" t="s">
        <v>30</v>
      </c>
      <c r="G832" t="s">
        <v>15</v>
      </c>
      <c r="H832">
        <v>-0.33491349264303921</v>
      </c>
      <c r="I832">
        <v>4</v>
      </c>
      <c r="J832" t="s">
        <v>23</v>
      </c>
      <c r="K832" s="59" t="s">
        <v>4376</v>
      </c>
    </row>
    <row r="833" spans="1:11" x14ac:dyDescent="0.2">
      <c r="A833" t="s">
        <v>872</v>
      </c>
      <c r="B833">
        <v>2021</v>
      </c>
      <c r="C833" t="s">
        <v>33</v>
      </c>
      <c r="D833">
        <v>442</v>
      </c>
      <c r="E833" t="s">
        <v>38</v>
      </c>
      <c r="F833" t="s">
        <v>39</v>
      </c>
      <c r="G833" t="s">
        <v>15</v>
      </c>
      <c r="H833">
        <v>0.51440772331697227</v>
      </c>
      <c r="I833">
        <v>3</v>
      </c>
      <c r="J833" t="s">
        <v>23</v>
      </c>
      <c r="K833" s="59" t="s">
        <v>16</v>
      </c>
    </row>
    <row r="834" spans="1:11" x14ac:dyDescent="0.2">
      <c r="A834" t="s">
        <v>873</v>
      </c>
      <c r="B834">
        <v>2019</v>
      </c>
      <c r="C834" t="s">
        <v>12</v>
      </c>
      <c r="D834">
        <v>155</v>
      </c>
      <c r="E834" t="s">
        <v>20</v>
      </c>
      <c r="F834" t="s">
        <v>21</v>
      </c>
      <c r="G834" t="s">
        <v>15</v>
      </c>
      <c r="H834">
        <v>0.5800343732201455</v>
      </c>
      <c r="I834">
        <v>3</v>
      </c>
      <c r="J834" t="s">
        <v>23</v>
      </c>
      <c r="K834" s="59" t="s">
        <v>17</v>
      </c>
    </row>
    <row r="835" spans="1:11" x14ac:dyDescent="0.2">
      <c r="A835" t="s">
        <v>874</v>
      </c>
      <c r="B835">
        <v>2018</v>
      </c>
      <c r="C835" t="s">
        <v>33</v>
      </c>
      <c r="D835">
        <v>318</v>
      </c>
      <c r="E835" t="s">
        <v>25</v>
      </c>
      <c r="F835" t="s">
        <v>26</v>
      </c>
      <c r="G835" t="s">
        <v>15</v>
      </c>
      <c r="H835">
        <v>0.43862967440916872</v>
      </c>
      <c r="I835">
        <v>2</v>
      </c>
      <c r="J835" t="s">
        <v>23</v>
      </c>
      <c r="K835" s="59" t="s">
        <v>4376</v>
      </c>
    </row>
    <row r="836" spans="1:11" x14ac:dyDescent="0.2">
      <c r="A836" t="s">
        <v>875</v>
      </c>
      <c r="B836">
        <v>2018</v>
      </c>
      <c r="C836" t="s">
        <v>33</v>
      </c>
      <c r="D836">
        <v>320</v>
      </c>
      <c r="E836" t="s">
        <v>13</v>
      </c>
      <c r="F836" t="s">
        <v>14</v>
      </c>
      <c r="G836" t="s">
        <v>15</v>
      </c>
      <c r="H836">
        <v>0.44361995881102417</v>
      </c>
      <c r="I836">
        <v>4</v>
      </c>
      <c r="J836" t="s">
        <v>23</v>
      </c>
      <c r="K836" s="59" t="s">
        <v>4376</v>
      </c>
    </row>
    <row r="837" spans="1:11" x14ac:dyDescent="0.2">
      <c r="A837" t="s">
        <v>876</v>
      </c>
      <c r="B837">
        <v>2018</v>
      </c>
      <c r="C837" t="s">
        <v>33</v>
      </c>
      <c r="D837">
        <v>320</v>
      </c>
      <c r="E837" t="s">
        <v>13</v>
      </c>
      <c r="F837" t="s">
        <v>14</v>
      </c>
      <c r="G837" t="s">
        <v>15</v>
      </c>
      <c r="H837">
        <v>0.44361995881102417</v>
      </c>
      <c r="I837">
        <v>4</v>
      </c>
      <c r="J837" t="s">
        <v>23</v>
      </c>
      <c r="K837" s="59" t="s">
        <v>4376</v>
      </c>
    </row>
    <row r="838" spans="1:11" x14ac:dyDescent="0.2">
      <c r="A838" t="s">
        <v>877</v>
      </c>
      <c r="B838">
        <v>2021</v>
      </c>
      <c r="C838" t="s">
        <v>19</v>
      </c>
      <c r="D838">
        <v>70</v>
      </c>
      <c r="E838" t="s">
        <v>53</v>
      </c>
      <c r="F838" t="s">
        <v>54</v>
      </c>
      <c r="G838" t="s">
        <v>15</v>
      </c>
      <c r="H838">
        <v>0.51548005419774312</v>
      </c>
      <c r="I838">
        <v>3</v>
      </c>
      <c r="J838" t="s">
        <v>16</v>
      </c>
      <c r="K838" s="59" t="s">
        <v>17</v>
      </c>
    </row>
    <row r="839" spans="1:11" x14ac:dyDescent="0.2">
      <c r="A839" t="s">
        <v>878</v>
      </c>
      <c r="B839">
        <v>2018</v>
      </c>
      <c r="C839" t="s">
        <v>33</v>
      </c>
      <c r="D839">
        <v>67</v>
      </c>
      <c r="E839" t="s">
        <v>38</v>
      </c>
      <c r="F839" t="s">
        <v>39</v>
      </c>
      <c r="G839" t="s">
        <v>15</v>
      </c>
      <c r="H839">
        <v>-0.24001829480070361</v>
      </c>
      <c r="I839">
        <v>3</v>
      </c>
      <c r="J839" t="s">
        <v>23</v>
      </c>
      <c r="K839" s="59" t="s">
        <v>4376</v>
      </c>
    </row>
    <row r="840" spans="1:11" x14ac:dyDescent="0.2">
      <c r="A840" t="s">
        <v>879</v>
      </c>
      <c r="B840">
        <v>2022</v>
      </c>
      <c r="C840" t="s">
        <v>19</v>
      </c>
      <c r="D840">
        <v>79</v>
      </c>
      <c r="E840" t="s">
        <v>25</v>
      </c>
      <c r="F840" t="s">
        <v>26</v>
      </c>
      <c r="G840" t="s">
        <v>22</v>
      </c>
      <c r="H840">
        <v>-1.4425810308379059</v>
      </c>
      <c r="I840">
        <v>2</v>
      </c>
      <c r="J840" t="s">
        <v>23</v>
      </c>
      <c r="K840" s="59" t="s">
        <v>17</v>
      </c>
    </row>
    <row r="841" spans="1:11" x14ac:dyDescent="0.2">
      <c r="A841" t="s">
        <v>880</v>
      </c>
      <c r="B841">
        <v>2019</v>
      </c>
      <c r="C841" t="s">
        <v>33</v>
      </c>
      <c r="D841">
        <v>45</v>
      </c>
      <c r="E841" t="s">
        <v>13</v>
      </c>
      <c r="F841" t="s">
        <v>14</v>
      </c>
      <c r="G841" t="s">
        <v>22</v>
      </c>
      <c r="H841">
        <v>-3.5325690207120468</v>
      </c>
      <c r="I841">
        <v>4</v>
      </c>
      <c r="J841" t="s">
        <v>16</v>
      </c>
      <c r="K841" s="59" t="s">
        <v>16</v>
      </c>
    </row>
    <row r="842" spans="1:11" x14ac:dyDescent="0.2">
      <c r="A842" t="s">
        <v>881</v>
      </c>
      <c r="B842">
        <v>2018</v>
      </c>
      <c r="C842" t="s">
        <v>33</v>
      </c>
      <c r="D842">
        <v>320</v>
      </c>
      <c r="E842" t="s">
        <v>13</v>
      </c>
      <c r="F842" t="s">
        <v>14</v>
      </c>
      <c r="G842" t="s">
        <v>15</v>
      </c>
      <c r="H842">
        <v>0.44361995881102417</v>
      </c>
      <c r="I842">
        <v>4</v>
      </c>
      <c r="J842" t="s">
        <v>23</v>
      </c>
      <c r="K842" s="59" t="s">
        <v>4376</v>
      </c>
    </row>
    <row r="843" spans="1:11" x14ac:dyDescent="0.2">
      <c r="A843" t="s">
        <v>882</v>
      </c>
      <c r="B843">
        <v>2018</v>
      </c>
      <c r="C843" t="s">
        <v>19</v>
      </c>
      <c r="D843">
        <v>137</v>
      </c>
      <c r="E843" t="s">
        <v>13</v>
      </c>
      <c r="F843" t="s">
        <v>14</v>
      </c>
      <c r="G843" t="s">
        <v>15</v>
      </c>
      <c r="H843">
        <v>1.43939239787816</v>
      </c>
      <c r="I843">
        <v>4</v>
      </c>
      <c r="J843" t="s">
        <v>16</v>
      </c>
      <c r="K843" s="59" t="s">
        <v>17</v>
      </c>
    </row>
    <row r="844" spans="1:11" x14ac:dyDescent="0.2">
      <c r="A844" t="s">
        <v>883</v>
      </c>
      <c r="B844">
        <v>2018</v>
      </c>
      <c r="C844" t="s">
        <v>33</v>
      </c>
      <c r="D844">
        <v>320</v>
      </c>
      <c r="E844" t="s">
        <v>13</v>
      </c>
      <c r="F844" t="s">
        <v>14</v>
      </c>
      <c r="G844" t="s">
        <v>15</v>
      </c>
      <c r="H844">
        <v>0.44361995881102417</v>
      </c>
      <c r="I844">
        <v>4</v>
      </c>
      <c r="J844" t="s">
        <v>23</v>
      </c>
      <c r="K844" s="59" t="s">
        <v>4376</v>
      </c>
    </row>
    <row r="845" spans="1:11" x14ac:dyDescent="0.2">
      <c r="A845" t="s">
        <v>884</v>
      </c>
      <c r="B845">
        <v>2018</v>
      </c>
      <c r="C845" t="s">
        <v>33</v>
      </c>
      <c r="D845">
        <v>320</v>
      </c>
      <c r="E845" t="s">
        <v>13</v>
      </c>
      <c r="F845" t="s">
        <v>14</v>
      </c>
      <c r="G845" t="s">
        <v>15</v>
      </c>
      <c r="H845">
        <v>0.44361995881102417</v>
      </c>
      <c r="I845">
        <v>4</v>
      </c>
      <c r="J845" t="s">
        <v>23</v>
      </c>
      <c r="K845" s="59" t="s">
        <v>4376</v>
      </c>
    </row>
    <row r="846" spans="1:11" x14ac:dyDescent="0.2">
      <c r="A846" t="s">
        <v>885</v>
      </c>
      <c r="B846">
        <v>2018</v>
      </c>
      <c r="C846" t="s">
        <v>12</v>
      </c>
      <c r="D846">
        <v>51</v>
      </c>
      <c r="E846" t="s">
        <v>38</v>
      </c>
      <c r="F846" t="s">
        <v>39</v>
      </c>
      <c r="G846" t="s">
        <v>15</v>
      </c>
      <c r="H846">
        <v>0.2064434205798589</v>
      </c>
      <c r="I846">
        <v>3</v>
      </c>
      <c r="J846" t="s">
        <v>23</v>
      </c>
      <c r="K846" s="59" t="s">
        <v>16</v>
      </c>
    </row>
    <row r="847" spans="1:11" x14ac:dyDescent="0.2">
      <c r="A847" t="s">
        <v>886</v>
      </c>
      <c r="B847">
        <v>2018</v>
      </c>
      <c r="C847" t="s">
        <v>33</v>
      </c>
      <c r="D847">
        <v>322</v>
      </c>
      <c r="E847" t="s">
        <v>13</v>
      </c>
      <c r="F847" t="s">
        <v>14</v>
      </c>
      <c r="G847" t="s">
        <v>15</v>
      </c>
      <c r="H847">
        <v>0.4485458524464041</v>
      </c>
      <c r="I847">
        <v>4</v>
      </c>
      <c r="J847" t="s">
        <v>23</v>
      </c>
      <c r="K847" s="59" t="s">
        <v>4376</v>
      </c>
    </row>
    <row r="848" spans="1:11" x14ac:dyDescent="0.2">
      <c r="A848" t="s">
        <v>887</v>
      </c>
      <c r="B848">
        <v>2018</v>
      </c>
      <c r="C848" t="s">
        <v>33</v>
      </c>
      <c r="D848">
        <v>323</v>
      </c>
      <c r="E848" t="s">
        <v>13</v>
      </c>
      <c r="F848" t="s">
        <v>14</v>
      </c>
      <c r="G848" t="s">
        <v>15</v>
      </c>
      <c r="H848">
        <v>0.60221472720671287</v>
      </c>
      <c r="I848">
        <v>4</v>
      </c>
      <c r="J848" t="s">
        <v>23</v>
      </c>
      <c r="K848" s="59" t="s">
        <v>4376</v>
      </c>
    </row>
    <row r="849" spans="1:11" x14ac:dyDescent="0.2">
      <c r="A849" t="s">
        <v>888</v>
      </c>
      <c r="B849">
        <v>2020</v>
      </c>
      <c r="C849" t="s">
        <v>19</v>
      </c>
      <c r="D849">
        <v>144</v>
      </c>
      <c r="E849" t="s">
        <v>20</v>
      </c>
      <c r="F849" t="s">
        <v>21</v>
      </c>
      <c r="G849" t="s">
        <v>15</v>
      </c>
      <c r="H849">
        <v>-1.2136534910451799</v>
      </c>
      <c r="I849">
        <v>3</v>
      </c>
      <c r="J849" t="s">
        <v>23</v>
      </c>
      <c r="K849" s="59" t="s">
        <v>4376</v>
      </c>
    </row>
    <row r="850" spans="1:11" x14ac:dyDescent="0.2">
      <c r="A850" t="s">
        <v>889</v>
      </c>
      <c r="B850">
        <v>2023</v>
      </c>
      <c r="C850" t="s">
        <v>12</v>
      </c>
      <c r="D850">
        <v>392</v>
      </c>
      <c r="E850" t="s">
        <v>38</v>
      </c>
      <c r="F850" t="s">
        <v>39</v>
      </c>
      <c r="G850" t="s">
        <v>15</v>
      </c>
      <c r="H850">
        <v>0.11335597390869109</v>
      </c>
      <c r="I850">
        <v>3</v>
      </c>
      <c r="J850" t="s">
        <v>16</v>
      </c>
      <c r="K850" s="59" t="s">
        <v>17</v>
      </c>
    </row>
    <row r="851" spans="1:11" x14ac:dyDescent="0.2">
      <c r="A851" t="s">
        <v>890</v>
      </c>
      <c r="B851">
        <v>2021</v>
      </c>
      <c r="C851" t="s">
        <v>12</v>
      </c>
      <c r="D851">
        <v>42</v>
      </c>
      <c r="E851" t="s">
        <v>20</v>
      </c>
      <c r="F851" t="s">
        <v>21</v>
      </c>
      <c r="G851" t="s">
        <v>41</v>
      </c>
      <c r="H851">
        <v>1.207133472294913</v>
      </c>
      <c r="I851">
        <v>3</v>
      </c>
      <c r="J851" t="s">
        <v>17</v>
      </c>
      <c r="K851" s="59" t="s">
        <v>17</v>
      </c>
    </row>
    <row r="852" spans="1:11" x14ac:dyDescent="0.2">
      <c r="A852" t="s">
        <v>891</v>
      </c>
      <c r="B852">
        <v>2018</v>
      </c>
      <c r="C852" t="s">
        <v>33</v>
      </c>
      <c r="D852">
        <v>320</v>
      </c>
      <c r="E852" t="s">
        <v>13</v>
      </c>
      <c r="F852" t="s">
        <v>14</v>
      </c>
      <c r="G852" t="s">
        <v>15</v>
      </c>
      <c r="H852">
        <v>0.44361995881102417</v>
      </c>
      <c r="I852">
        <v>4</v>
      </c>
      <c r="J852" t="s">
        <v>23</v>
      </c>
      <c r="K852" s="59" t="s">
        <v>4376</v>
      </c>
    </row>
    <row r="853" spans="1:11" x14ac:dyDescent="0.2">
      <c r="A853" t="s">
        <v>892</v>
      </c>
      <c r="B853">
        <v>2019</v>
      </c>
      <c r="C853" t="s">
        <v>33</v>
      </c>
      <c r="D853">
        <v>226</v>
      </c>
      <c r="E853" t="s">
        <v>20</v>
      </c>
      <c r="F853" t="s">
        <v>21</v>
      </c>
      <c r="G853" t="s">
        <v>15</v>
      </c>
      <c r="H853">
        <v>0.53524158042909076</v>
      </c>
      <c r="I853">
        <v>3</v>
      </c>
      <c r="J853" t="s">
        <v>23</v>
      </c>
      <c r="K853" s="59" t="s">
        <v>17</v>
      </c>
    </row>
    <row r="854" spans="1:11" x14ac:dyDescent="0.2">
      <c r="A854" t="s">
        <v>893</v>
      </c>
      <c r="B854">
        <v>2024</v>
      </c>
      <c r="C854" t="s">
        <v>33</v>
      </c>
      <c r="D854">
        <v>152</v>
      </c>
      <c r="E854" t="s">
        <v>20</v>
      </c>
      <c r="F854" t="s">
        <v>21</v>
      </c>
      <c r="G854" t="s">
        <v>15</v>
      </c>
      <c r="H854">
        <v>-0.64940991312380536</v>
      </c>
      <c r="I854">
        <v>3</v>
      </c>
      <c r="J854" t="s">
        <v>23</v>
      </c>
      <c r="K854" s="59" t="s">
        <v>16</v>
      </c>
    </row>
    <row r="855" spans="1:11" x14ac:dyDescent="0.2">
      <c r="A855" t="s">
        <v>894</v>
      </c>
      <c r="B855">
        <v>2019</v>
      </c>
      <c r="C855" t="s">
        <v>19</v>
      </c>
      <c r="D855">
        <v>54</v>
      </c>
      <c r="E855" t="s">
        <v>20</v>
      </c>
      <c r="F855" t="s">
        <v>21</v>
      </c>
      <c r="G855" t="s">
        <v>36</v>
      </c>
      <c r="H855">
        <v>1.173666381899326E-3</v>
      </c>
      <c r="I855">
        <v>3</v>
      </c>
      <c r="J855" t="s">
        <v>23</v>
      </c>
      <c r="K855" s="59" t="s">
        <v>23</v>
      </c>
    </row>
    <row r="856" spans="1:11" x14ac:dyDescent="0.2">
      <c r="A856" t="s">
        <v>895</v>
      </c>
      <c r="B856">
        <v>2018</v>
      </c>
      <c r="C856" t="s">
        <v>19</v>
      </c>
      <c r="D856">
        <v>320</v>
      </c>
      <c r="E856" t="s">
        <v>13</v>
      </c>
      <c r="F856" t="s">
        <v>14</v>
      </c>
      <c r="G856" t="s">
        <v>15</v>
      </c>
      <c r="H856">
        <v>0.44361995881102417</v>
      </c>
      <c r="I856">
        <v>4</v>
      </c>
      <c r="J856" t="s">
        <v>23</v>
      </c>
      <c r="K856" s="59" t="s">
        <v>16</v>
      </c>
    </row>
    <row r="857" spans="1:11" x14ac:dyDescent="0.2">
      <c r="A857" t="s">
        <v>896</v>
      </c>
      <c r="B857">
        <v>2018</v>
      </c>
      <c r="C857" t="s">
        <v>33</v>
      </c>
      <c r="D857">
        <v>321</v>
      </c>
      <c r="E857" t="s">
        <v>13</v>
      </c>
      <c r="F857" t="s">
        <v>14</v>
      </c>
      <c r="G857" t="s">
        <v>15</v>
      </c>
      <c r="H857">
        <v>0.44609087633038957</v>
      </c>
      <c r="I857">
        <v>4</v>
      </c>
      <c r="J857" t="s">
        <v>23</v>
      </c>
      <c r="K857" s="59" t="s">
        <v>16</v>
      </c>
    </row>
    <row r="858" spans="1:11" x14ac:dyDescent="0.2">
      <c r="A858" t="s">
        <v>897</v>
      </c>
      <c r="B858">
        <v>2018</v>
      </c>
      <c r="C858" t="s">
        <v>33</v>
      </c>
      <c r="D858">
        <v>320</v>
      </c>
      <c r="E858" t="s">
        <v>13</v>
      </c>
      <c r="F858" t="s">
        <v>14</v>
      </c>
      <c r="G858" t="s">
        <v>15</v>
      </c>
      <c r="H858">
        <v>0.44361995881102417</v>
      </c>
      <c r="I858">
        <v>4</v>
      </c>
      <c r="J858" t="s">
        <v>23</v>
      </c>
      <c r="K858" s="59" t="s">
        <v>17</v>
      </c>
    </row>
    <row r="859" spans="1:11" x14ac:dyDescent="0.2">
      <c r="A859" t="s">
        <v>898</v>
      </c>
      <c r="B859">
        <v>2021</v>
      </c>
      <c r="C859" t="s">
        <v>33</v>
      </c>
      <c r="D859">
        <v>440</v>
      </c>
      <c r="E859" t="s">
        <v>38</v>
      </c>
      <c r="F859" t="s">
        <v>39</v>
      </c>
      <c r="G859" t="s">
        <v>15</v>
      </c>
      <c r="H859">
        <v>0.51117068710679503</v>
      </c>
      <c r="I859">
        <v>3</v>
      </c>
      <c r="J859" t="s">
        <v>23</v>
      </c>
      <c r="K859" s="59" t="s">
        <v>4376</v>
      </c>
    </row>
    <row r="860" spans="1:11" x14ac:dyDescent="0.2">
      <c r="A860" t="s">
        <v>899</v>
      </c>
      <c r="B860">
        <v>2018</v>
      </c>
      <c r="C860" t="s">
        <v>19</v>
      </c>
      <c r="D860">
        <v>321</v>
      </c>
      <c r="E860" t="s">
        <v>13</v>
      </c>
      <c r="F860" t="s">
        <v>14</v>
      </c>
      <c r="G860" t="s">
        <v>15</v>
      </c>
      <c r="H860">
        <v>0.44609087633038957</v>
      </c>
      <c r="I860">
        <v>4</v>
      </c>
      <c r="J860" t="s">
        <v>23</v>
      </c>
      <c r="K860" s="59" t="s">
        <v>23</v>
      </c>
    </row>
    <row r="861" spans="1:11" x14ac:dyDescent="0.2">
      <c r="A861" t="s">
        <v>900</v>
      </c>
      <c r="B861">
        <v>2019</v>
      </c>
      <c r="C861" t="s">
        <v>19</v>
      </c>
      <c r="D861">
        <v>171</v>
      </c>
      <c r="E861" t="s">
        <v>13</v>
      </c>
      <c r="F861" t="s">
        <v>14</v>
      </c>
      <c r="G861" t="s">
        <v>15</v>
      </c>
      <c r="H861">
        <v>0.108711483469684</v>
      </c>
      <c r="I861">
        <v>4</v>
      </c>
      <c r="J861" t="s">
        <v>16</v>
      </c>
      <c r="K861" s="59" t="s">
        <v>17</v>
      </c>
    </row>
    <row r="862" spans="1:11" x14ac:dyDescent="0.2">
      <c r="A862" t="s">
        <v>901</v>
      </c>
      <c r="B862">
        <v>2018</v>
      </c>
      <c r="C862" t="s">
        <v>33</v>
      </c>
      <c r="D862">
        <v>150</v>
      </c>
      <c r="E862" t="s">
        <v>20</v>
      </c>
      <c r="F862" t="s">
        <v>21</v>
      </c>
      <c r="G862" t="s">
        <v>15</v>
      </c>
      <c r="H862">
        <v>-7.266060744950982E-2</v>
      </c>
      <c r="I862">
        <v>3</v>
      </c>
      <c r="J862" t="s">
        <v>23</v>
      </c>
      <c r="K862" s="59" t="s">
        <v>23</v>
      </c>
    </row>
    <row r="863" spans="1:11" x14ac:dyDescent="0.2">
      <c r="A863" t="s">
        <v>902</v>
      </c>
      <c r="B863">
        <v>2018</v>
      </c>
      <c r="C863" t="s">
        <v>33</v>
      </c>
      <c r="D863">
        <v>68</v>
      </c>
      <c r="E863" t="s">
        <v>38</v>
      </c>
      <c r="F863" t="s">
        <v>39</v>
      </c>
      <c r="G863" t="s">
        <v>15</v>
      </c>
      <c r="H863">
        <v>-0.21809175287501251</v>
      </c>
      <c r="I863">
        <v>3</v>
      </c>
      <c r="J863" t="s">
        <v>23</v>
      </c>
      <c r="K863" s="59" t="s">
        <v>4376</v>
      </c>
    </row>
    <row r="864" spans="1:11" x14ac:dyDescent="0.2">
      <c r="A864" t="s">
        <v>903</v>
      </c>
      <c r="B864">
        <v>2019</v>
      </c>
      <c r="C864" t="s">
        <v>19</v>
      </c>
      <c r="D864">
        <v>122</v>
      </c>
      <c r="E864" t="s">
        <v>20</v>
      </c>
      <c r="F864" t="s">
        <v>21</v>
      </c>
      <c r="G864" t="s">
        <v>15</v>
      </c>
      <c r="H864">
        <v>-0.87394760870542032</v>
      </c>
      <c r="I864">
        <v>3</v>
      </c>
      <c r="J864" t="s">
        <v>23</v>
      </c>
      <c r="K864" s="59" t="s">
        <v>4376</v>
      </c>
    </row>
    <row r="865" spans="1:11" x14ac:dyDescent="0.2">
      <c r="A865" t="s">
        <v>904</v>
      </c>
      <c r="B865">
        <v>2018</v>
      </c>
      <c r="C865" t="s">
        <v>19</v>
      </c>
      <c r="D865">
        <v>112</v>
      </c>
      <c r="E865" t="s">
        <v>20</v>
      </c>
      <c r="F865" t="s">
        <v>21</v>
      </c>
      <c r="G865" t="s">
        <v>41</v>
      </c>
      <c r="H865">
        <v>0.3672686074626354</v>
      </c>
      <c r="I865">
        <v>3</v>
      </c>
      <c r="J865" t="s">
        <v>16</v>
      </c>
      <c r="K865" s="59" t="s">
        <v>23</v>
      </c>
    </row>
    <row r="866" spans="1:11" x14ac:dyDescent="0.2">
      <c r="A866" t="s">
        <v>905</v>
      </c>
      <c r="B866">
        <v>2021</v>
      </c>
      <c r="C866" t="s">
        <v>19</v>
      </c>
      <c r="D866">
        <v>312</v>
      </c>
      <c r="E866" t="s">
        <v>29</v>
      </c>
      <c r="F866" t="s">
        <v>30</v>
      </c>
      <c r="G866" t="s">
        <v>15</v>
      </c>
      <c r="H866">
        <v>0.53524158042909076</v>
      </c>
      <c r="I866">
        <v>4</v>
      </c>
      <c r="J866" t="s">
        <v>16</v>
      </c>
      <c r="K866" s="59" t="s">
        <v>17</v>
      </c>
    </row>
    <row r="867" spans="1:11" x14ac:dyDescent="0.2">
      <c r="A867" t="s">
        <v>906</v>
      </c>
      <c r="B867">
        <v>2018</v>
      </c>
      <c r="C867" t="s">
        <v>19</v>
      </c>
      <c r="D867">
        <v>68</v>
      </c>
      <c r="E867" t="s">
        <v>20</v>
      </c>
      <c r="F867" t="s">
        <v>21</v>
      </c>
      <c r="G867" t="s">
        <v>15</v>
      </c>
      <c r="H867">
        <v>-0.21809175287501251</v>
      </c>
      <c r="I867">
        <v>3</v>
      </c>
      <c r="J867" t="s">
        <v>23</v>
      </c>
      <c r="K867" s="59" t="s">
        <v>17</v>
      </c>
    </row>
    <row r="868" spans="1:11" x14ac:dyDescent="0.2">
      <c r="A868" t="s">
        <v>907</v>
      </c>
      <c r="B868">
        <v>2018</v>
      </c>
      <c r="C868" t="s">
        <v>33</v>
      </c>
      <c r="D868">
        <v>52</v>
      </c>
      <c r="E868" t="s">
        <v>20</v>
      </c>
      <c r="F868" t="s">
        <v>21</v>
      </c>
      <c r="G868" t="s">
        <v>15</v>
      </c>
      <c r="H868">
        <v>-0.60180623657460774</v>
      </c>
      <c r="I868">
        <v>3</v>
      </c>
      <c r="J868" t="s">
        <v>23</v>
      </c>
      <c r="K868" s="59" t="s">
        <v>4376</v>
      </c>
    </row>
    <row r="869" spans="1:11" x14ac:dyDescent="0.2">
      <c r="A869" t="s">
        <v>908</v>
      </c>
      <c r="B869">
        <v>2018</v>
      </c>
      <c r="C869" t="s">
        <v>33</v>
      </c>
      <c r="D869">
        <v>67</v>
      </c>
      <c r="E869" t="s">
        <v>38</v>
      </c>
      <c r="F869" t="s">
        <v>39</v>
      </c>
      <c r="G869" t="s">
        <v>15</v>
      </c>
      <c r="H869">
        <v>-0.24001829480070361</v>
      </c>
      <c r="I869">
        <v>3</v>
      </c>
      <c r="J869" t="s">
        <v>23</v>
      </c>
      <c r="K869" s="59" t="s">
        <v>4376</v>
      </c>
    </row>
    <row r="870" spans="1:11" x14ac:dyDescent="0.2">
      <c r="A870" t="s">
        <v>909</v>
      </c>
      <c r="B870">
        <v>2019</v>
      </c>
      <c r="C870" t="s">
        <v>19</v>
      </c>
      <c r="D870">
        <v>161</v>
      </c>
      <c r="E870" t="s">
        <v>20</v>
      </c>
      <c r="F870" t="s">
        <v>21</v>
      </c>
      <c r="G870" t="s">
        <v>15</v>
      </c>
      <c r="H870">
        <v>-0.36061427539200491</v>
      </c>
      <c r="I870">
        <v>3</v>
      </c>
      <c r="J870" t="s">
        <v>23</v>
      </c>
      <c r="K870" s="59" t="s">
        <v>4376</v>
      </c>
    </row>
    <row r="871" spans="1:11" x14ac:dyDescent="0.2">
      <c r="A871" t="s">
        <v>910</v>
      </c>
      <c r="B871">
        <v>2019</v>
      </c>
      <c r="C871" t="s">
        <v>33</v>
      </c>
      <c r="D871">
        <v>124</v>
      </c>
      <c r="E871" t="s">
        <v>20</v>
      </c>
      <c r="F871" t="s">
        <v>21</v>
      </c>
      <c r="G871" t="s">
        <v>15</v>
      </c>
      <c r="H871">
        <v>0.4485458524464041</v>
      </c>
      <c r="I871">
        <v>3</v>
      </c>
      <c r="J871" t="s">
        <v>23</v>
      </c>
      <c r="K871" s="59" t="s">
        <v>16</v>
      </c>
    </row>
    <row r="872" spans="1:11" x14ac:dyDescent="0.2">
      <c r="A872" t="s">
        <v>911</v>
      </c>
      <c r="B872">
        <v>2019</v>
      </c>
      <c r="C872" t="s">
        <v>19</v>
      </c>
      <c r="D872">
        <v>76</v>
      </c>
      <c r="E872" t="s">
        <v>20</v>
      </c>
      <c r="F872" t="s">
        <v>21</v>
      </c>
      <c r="G872" t="s">
        <v>15</v>
      </c>
      <c r="H872">
        <v>-6.4013350153939511E-2</v>
      </c>
      <c r="I872">
        <v>3</v>
      </c>
      <c r="J872" t="s">
        <v>23</v>
      </c>
      <c r="K872" s="59" t="s">
        <v>16</v>
      </c>
    </row>
    <row r="873" spans="1:11" x14ac:dyDescent="0.2">
      <c r="A873" t="s">
        <v>912</v>
      </c>
      <c r="B873">
        <v>2018</v>
      </c>
      <c r="C873" t="s">
        <v>33</v>
      </c>
      <c r="D873">
        <v>67</v>
      </c>
      <c r="E873" t="s">
        <v>38</v>
      </c>
      <c r="F873" t="s">
        <v>39</v>
      </c>
      <c r="G873" t="s">
        <v>15</v>
      </c>
      <c r="H873">
        <v>-0.24001829480070361</v>
      </c>
      <c r="I873">
        <v>3</v>
      </c>
      <c r="J873" t="s">
        <v>23</v>
      </c>
      <c r="K873" s="59" t="s">
        <v>4376</v>
      </c>
    </row>
    <row r="874" spans="1:11" x14ac:dyDescent="0.2">
      <c r="A874" t="s">
        <v>913</v>
      </c>
      <c r="B874">
        <v>2018</v>
      </c>
      <c r="C874" t="s">
        <v>19</v>
      </c>
      <c r="D874">
        <v>45</v>
      </c>
      <c r="E874" t="s">
        <v>20</v>
      </c>
      <c r="F874" t="s">
        <v>21</v>
      </c>
      <c r="G874" t="s">
        <v>48</v>
      </c>
      <c r="H874">
        <v>0.16196830717030089</v>
      </c>
      <c r="I874">
        <v>3</v>
      </c>
      <c r="J874" t="s">
        <v>23</v>
      </c>
      <c r="K874" s="59" t="s">
        <v>23</v>
      </c>
    </row>
    <row r="875" spans="1:11" x14ac:dyDescent="0.2">
      <c r="A875" t="s">
        <v>914</v>
      </c>
      <c r="B875">
        <v>2019</v>
      </c>
      <c r="C875" t="s">
        <v>33</v>
      </c>
      <c r="D875">
        <v>226</v>
      </c>
      <c r="E875" t="s">
        <v>20</v>
      </c>
      <c r="F875" t="s">
        <v>21</v>
      </c>
      <c r="G875" t="s">
        <v>48</v>
      </c>
      <c r="H875">
        <v>0.53524158042909076</v>
      </c>
      <c r="I875">
        <v>3</v>
      </c>
      <c r="J875" t="s">
        <v>23</v>
      </c>
      <c r="K875" s="59" t="s">
        <v>17</v>
      </c>
    </row>
    <row r="876" spans="1:11" x14ac:dyDescent="0.2">
      <c r="A876" t="s">
        <v>915</v>
      </c>
      <c r="B876">
        <v>2018</v>
      </c>
      <c r="C876" t="s">
        <v>33</v>
      </c>
      <c r="D876">
        <v>107</v>
      </c>
      <c r="E876" t="s">
        <v>20</v>
      </c>
      <c r="F876" t="s">
        <v>21</v>
      </c>
      <c r="G876" t="s">
        <v>15</v>
      </c>
      <c r="H876">
        <v>1.207133472294913</v>
      </c>
      <c r="I876">
        <v>3</v>
      </c>
      <c r="J876" t="s">
        <v>16</v>
      </c>
      <c r="K876" s="59" t="s">
        <v>23</v>
      </c>
    </row>
    <row r="877" spans="1:11" x14ac:dyDescent="0.2">
      <c r="A877" t="s">
        <v>916</v>
      </c>
      <c r="B877">
        <v>2021</v>
      </c>
      <c r="C877" t="s">
        <v>33</v>
      </c>
      <c r="D877">
        <v>118</v>
      </c>
      <c r="E877" t="s">
        <v>25</v>
      </c>
      <c r="F877" t="s">
        <v>26</v>
      </c>
      <c r="G877" t="s">
        <v>15</v>
      </c>
      <c r="H877">
        <v>1.207133472294913</v>
      </c>
      <c r="I877">
        <v>2</v>
      </c>
      <c r="J877" t="s">
        <v>23</v>
      </c>
      <c r="K877" s="59" t="s">
        <v>17</v>
      </c>
    </row>
    <row r="878" spans="1:11" x14ac:dyDescent="0.2">
      <c r="A878" t="s">
        <v>917</v>
      </c>
      <c r="B878">
        <v>2025</v>
      </c>
      <c r="C878" t="s">
        <v>19</v>
      </c>
      <c r="D878">
        <v>138</v>
      </c>
      <c r="E878" t="s">
        <v>25</v>
      </c>
      <c r="F878" t="s">
        <v>26</v>
      </c>
      <c r="G878" t="s">
        <v>48</v>
      </c>
      <c r="H878">
        <v>-0.53480846957944006</v>
      </c>
      <c r="I878">
        <v>2</v>
      </c>
      <c r="J878" t="s">
        <v>23</v>
      </c>
      <c r="K878" s="59" t="s">
        <v>16</v>
      </c>
    </row>
    <row r="879" spans="1:11" x14ac:dyDescent="0.2">
      <c r="A879" t="s">
        <v>918</v>
      </c>
      <c r="B879">
        <v>2021</v>
      </c>
      <c r="C879" t="s">
        <v>33</v>
      </c>
      <c r="D879">
        <v>345</v>
      </c>
      <c r="E879" t="s">
        <v>38</v>
      </c>
      <c r="F879" t="s">
        <v>39</v>
      </c>
      <c r="G879" t="s">
        <v>15</v>
      </c>
      <c r="H879">
        <v>0.79214142143661093</v>
      </c>
      <c r="I879">
        <v>3</v>
      </c>
      <c r="J879" t="s">
        <v>23</v>
      </c>
      <c r="K879" s="59" t="s">
        <v>23</v>
      </c>
    </row>
    <row r="880" spans="1:11" x14ac:dyDescent="0.2">
      <c r="A880" t="s">
        <v>919</v>
      </c>
      <c r="B880">
        <v>2018</v>
      </c>
      <c r="C880" t="s">
        <v>33</v>
      </c>
      <c r="D880">
        <v>67</v>
      </c>
      <c r="E880" t="s">
        <v>38</v>
      </c>
      <c r="F880" t="s">
        <v>39</v>
      </c>
      <c r="G880" t="s">
        <v>15</v>
      </c>
      <c r="H880">
        <v>-0.24001829480070361</v>
      </c>
      <c r="I880">
        <v>3</v>
      </c>
      <c r="J880" t="s">
        <v>23</v>
      </c>
      <c r="K880" s="59" t="s">
        <v>4376</v>
      </c>
    </row>
    <row r="881" spans="1:11" x14ac:dyDescent="0.2">
      <c r="A881" t="s">
        <v>920</v>
      </c>
      <c r="B881">
        <v>2018</v>
      </c>
      <c r="C881" t="s">
        <v>33</v>
      </c>
      <c r="D881">
        <v>143</v>
      </c>
      <c r="E881" t="s">
        <v>13</v>
      </c>
      <c r="F881" t="s">
        <v>14</v>
      </c>
      <c r="G881" t="s">
        <v>15</v>
      </c>
      <c r="H881">
        <v>0.7623823381993331</v>
      </c>
      <c r="I881">
        <v>4</v>
      </c>
      <c r="J881" t="s">
        <v>23</v>
      </c>
      <c r="K881" s="59" t="s">
        <v>16</v>
      </c>
    </row>
    <row r="882" spans="1:11" x14ac:dyDescent="0.2">
      <c r="A882" t="s">
        <v>921</v>
      </c>
      <c r="B882">
        <v>2020</v>
      </c>
      <c r="C882" t="s">
        <v>19</v>
      </c>
      <c r="D882">
        <v>157</v>
      </c>
      <c r="E882" t="s">
        <v>20</v>
      </c>
      <c r="F882" t="s">
        <v>21</v>
      </c>
      <c r="G882" t="s">
        <v>57</v>
      </c>
      <c r="H882">
        <v>-0.70230288706735877</v>
      </c>
      <c r="I882">
        <v>3</v>
      </c>
      <c r="J882" t="s">
        <v>23</v>
      </c>
      <c r="K882" s="59" t="s">
        <v>17</v>
      </c>
    </row>
    <row r="883" spans="1:11" x14ac:dyDescent="0.2">
      <c r="A883" t="s">
        <v>922</v>
      </c>
      <c r="B883">
        <v>2018</v>
      </c>
      <c r="C883" t="s">
        <v>33</v>
      </c>
      <c r="D883">
        <v>69</v>
      </c>
      <c r="E883" t="s">
        <v>20</v>
      </c>
      <c r="F883" t="s">
        <v>21</v>
      </c>
      <c r="G883" t="s">
        <v>15</v>
      </c>
      <c r="H883">
        <v>-0.1968197345888941</v>
      </c>
      <c r="I883">
        <v>3</v>
      </c>
      <c r="J883" t="s">
        <v>16</v>
      </c>
      <c r="K883" s="59" t="s">
        <v>16</v>
      </c>
    </row>
    <row r="884" spans="1:11" x14ac:dyDescent="0.2">
      <c r="A884" t="s">
        <v>923</v>
      </c>
      <c r="B884">
        <v>2021</v>
      </c>
      <c r="C884" t="s">
        <v>33</v>
      </c>
      <c r="D884">
        <v>343</v>
      </c>
      <c r="E884" t="s">
        <v>38</v>
      </c>
      <c r="F884" t="s">
        <v>39</v>
      </c>
      <c r="G884" t="s">
        <v>15</v>
      </c>
      <c r="H884">
        <v>0.79091725609484598</v>
      </c>
      <c r="I884">
        <v>3</v>
      </c>
      <c r="J884" t="s">
        <v>23</v>
      </c>
      <c r="K884" s="59" t="s">
        <v>4376</v>
      </c>
    </row>
    <row r="885" spans="1:11" x14ac:dyDescent="0.2">
      <c r="A885" t="s">
        <v>924</v>
      </c>
      <c r="B885">
        <v>2019</v>
      </c>
      <c r="C885" t="s">
        <v>19</v>
      </c>
      <c r="D885">
        <v>95</v>
      </c>
      <c r="E885" t="s">
        <v>20</v>
      </c>
      <c r="F885" t="s">
        <v>21</v>
      </c>
      <c r="G885" t="s">
        <v>15</v>
      </c>
      <c r="H885">
        <v>1.042107393591027</v>
      </c>
      <c r="I885">
        <v>3</v>
      </c>
      <c r="J885" t="s">
        <v>23</v>
      </c>
      <c r="K885" s="59" t="s">
        <v>23</v>
      </c>
    </row>
    <row r="886" spans="1:11" x14ac:dyDescent="0.2">
      <c r="A886" t="s">
        <v>925</v>
      </c>
      <c r="B886">
        <v>2021</v>
      </c>
      <c r="C886" t="s">
        <v>19</v>
      </c>
      <c r="D886">
        <v>108</v>
      </c>
      <c r="E886" t="s">
        <v>38</v>
      </c>
      <c r="F886" t="s">
        <v>39</v>
      </c>
      <c r="G886" t="s">
        <v>15</v>
      </c>
      <c r="H886">
        <v>0.55390524409203035</v>
      </c>
      <c r="I886">
        <v>3</v>
      </c>
      <c r="J886" t="s">
        <v>23</v>
      </c>
      <c r="K886" s="59" t="s">
        <v>17</v>
      </c>
    </row>
    <row r="887" spans="1:11" x14ac:dyDescent="0.2">
      <c r="A887" t="s">
        <v>926</v>
      </c>
      <c r="B887">
        <v>2022</v>
      </c>
      <c r="C887" t="s">
        <v>33</v>
      </c>
      <c r="D887">
        <v>305</v>
      </c>
      <c r="E887" t="s">
        <v>53</v>
      </c>
      <c r="F887" t="s">
        <v>54</v>
      </c>
      <c r="G887" t="s">
        <v>15</v>
      </c>
      <c r="H887">
        <v>0.73205839723827082</v>
      </c>
      <c r="I887">
        <v>3</v>
      </c>
      <c r="J887" t="s">
        <v>23</v>
      </c>
      <c r="K887" s="59" t="s">
        <v>4376</v>
      </c>
    </row>
    <row r="888" spans="1:11" x14ac:dyDescent="0.2">
      <c r="A888" t="s">
        <v>927</v>
      </c>
      <c r="B888">
        <v>2025</v>
      </c>
      <c r="C888" t="s">
        <v>33</v>
      </c>
      <c r="D888">
        <v>411</v>
      </c>
      <c r="E888" t="s">
        <v>13</v>
      </c>
      <c r="F888" t="s">
        <v>14</v>
      </c>
      <c r="G888" t="s">
        <v>48</v>
      </c>
      <c r="H888">
        <v>1.58858061285134</v>
      </c>
      <c r="I888">
        <v>4</v>
      </c>
      <c r="J888" t="s">
        <v>16</v>
      </c>
      <c r="K888" s="59" t="s">
        <v>16</v>
      </c>
    </row>
    <row r="889" spans="1:11" x14ac:dyDescent="0.2">
      <c r="A889" t="s">
        <v>928</v>
      </c>
      <c r="B889">
        <v>2019</v>
      </c>
      <c r="C889" t="s">
        <v>19</v>
      </c>
      <c r="D889">
        <v>256</v>
      </c>
      <c r="E889" t="s">
        <v>25</v>
      </c>
      <c r="F889" t="s">
        <v>26</v>
      </c>
      <c r="G889" t="s">
        <v>15</v>
      </c>
      <c r="H889">
        <v>0.1997453613314315</v>
      </c>
      <c r="I889">
        <v>2</v>
      </c>
      <c r="J889" t="s">
        <v>16</v>
      </c>
      <c r="K889" s="59" t="s">
        <v>4376</v>
      </c>
    </row>
    <row r="890" spans="1:11" x14ac:dyDescent="0.2">
      <c r="A890" t="s">
        <v>929</v>
      </c>
      <c r="B890">
        <v>2018</v>
      </c>
      <c r="C890" t="s">
        <v>19</v>
      </c>
      <c r="D890">
        <v>46</v>
      </c>
      <c r="E890" t="s">
        <v>38</v>
      </c>
      <c r="F890" t="s">
        <v>39</v>
      </c>
      <c r="G890" t="s">
        <v>15</v>
      </c>
      <c r="H890">
        <v>1.207133472294913</v>
      </c>
      <c r="I890">
        <v>3</v>
      </c>
      <c r="J890" t="s">
        <v>16</v>
      </c>
      <c r="K890" s="59" t="s">
        <v>16</v>
      </c>
    </row>
    <row r="891" spans="1:11" x14ac:dyDescent="0.2">
      <c r="A891" t="s">
        <v>930</v>
      </c>
      <c r="B891">
        <v>2018</v>
      </c>
      <c r="C891" t="s">
        <v>19</v>
      </c>
      <c r="D891">
        <v>83</v>
      </c>
      <c r="E891" t="s">
        <v>25</v>
      </c>
      <c r="F891" t="s">
        <v>26</v>
      </c>
      <c r="G891" t="s">
        <v>15</v>
      </c>
      <c r="H891">
        <v>-0.51356527516633821</v>
      </c>
      <c r="I891">
        <v>2</v>
      </c>
      <c r="J891" t="s">
        <v>23</v>
      </c>
      <c r="K891" s="59" t="s">
        <v>17</v>
      </c>
    </row>
    <row r="892" spans="1:11" x14ac:dyDescent="0.2">
      <c r="A892" t="s">
        <v>931</v>
      </c>
      <c r="B892">
        <v>2019</v>
      </c>
      <c r="C892" t="s">
        <v>19</v>
      </c>
      <c r="D892">
        <v>66</v>
      </c>
      <c r="E892" t="s">
        <v>29</v>
      </c>
      <c r="F892" t="s">
        <v>30</v>
      </c>
      <c r="G892" t="s">
        <v>15</v>
      </c>
      <c r="H892">
        <v>0.47225171556667001</v>
      </c>
      <c r="I892">
        <v>4</v>
      </c>
      <c r="J892" t="s">
        <v>23</v>
      </c>
      <c r="K892" s="59" t="s">
        <v>16</v>
      </c>
    </row>
    <row r="893" spans="1:11" x14ac:dyDescent="0.2">
      <c r="A893" t="s">
        <v>932</v>
      </c>
      <c r="B893">
        <v>2020</v>
      </c>
      <c r="C893" t="s">
        <v>19</v>
      </c>
      <c r="D893">
        <v>176</v>
      </c>
      <c r="E893" t="s">
        <v>20</v>
      </c>
      <c r="F893" t="s">
        <v>21</v>
      </c>
      <c r="G893" t="s">
        <v>15</v>
      </c>
      <c r="H893">
        <v>8.0608144615690352E-2</v>
      </c>
      <c r="I893">
        <v>3</v>
      </c>
      <c r="J893" t="s">
        <v>23</v>
      </c>
      <c r="K893" s="59" t="s">
        <v>4376</v>
      </c>
    </row>
    <row r="894" spans="1:11" x14ac:dyDescent="0.2">
      <c r="A894" t="s">
        <v>933</v>
      </c>
      <c r="B894">
        <v>2016</v>
      </c>
      <c r="C894" t="s">
        <v>33</v>
      </c>
      <c r="D894">
        <v>73</v>
      </c>
      <c r="E894" t="s">
        <v>29</v>
      </c>
      <c r="F894" t="s">
        <v>30</v>
      </c>
      <c r="G894" t="s">
        <v>34</v>
      </c>
      <c r="H894">
        <v>-1.369986112943856</v>
      </c>
      <c r="I894">
        <v>4</v>
      </c>
      <c r="J894" t="s">
        <v>16</v>
      </c>
      <c r="K894" s="59" t="s">
        <v>4376</v>
      </c>
    </row>
    <row r="895" spans="1:11" x14ac:dyDescent="0.2">
      <c r="A895" t="s">
        <v>934</v>
      </c>
      <c r="B895">
        <v>2017</v>
      </c>
      <c r="C895" t="s">
        <v>19</v>
      </c>
      <c r="D895">
        <v>170</v>
      </c>
      <c r="E895" t="s">
        <v>25</v>
      </c>
      <c r="F895" t="s">
        <v>26</v>
      </c>
      <c r="G895" t="s">
        <v>15</v>
      </c>
      <c r="H895">
        <v>1.173666381899163E-3</v>
      </c>
      <c r="I895">
        <v>2</v>
      </c>
      <c r="J895" t="s">
        <v>23</v>
      </c>
      <c r="K895" s="59" t="s">
        <v>16</v>
      </c>
    </row>
    <row r="896" spans="1:11" x14ac:dyDescent="0.2">
      <c r="A896" t="s">
        <v>935</v>
      </c>
      <c r="B896">
        <v>2016</v>
      </c>
      <c r="C896" t="s">
        <v>12</v>
      </c>
      <c r="D896">
        <v>90</v>
      </c>
      <c r="E896" t="s">
        <v>38</v>
      </c>
      <c r="F896" t="s">
        <v>39</v>
      </c>
      <c r="G896" t="s">
        <v>15</v>
      </c>
      <c r="H896">
        <v>0.16196830717030089</v>
      </c>
      <c r="I896">
        <v>3</v>
      </c>
      <c r="J896" t="s">
        <v>23</v>
      </c>
      <c r="K896" s="59" t="s">
        <v>17</v>
      </c>
    </row>
    <row r="897" spans="1:11" x14ac:dyDescent="0.2">
      <c r="A897" t="s">
        <v>936</v>
      </c>
      <c r="B897">
        <v>2018</v>
      </c>
      <c r="C897" t="s">
        <v>12</v>
      </c>
      <c r="D897">
        <v>121</v>
      </c>
      <c r="E897" t="s">
        <v>20</v>
      </c>
      <c r="F897" t="s">
        <v>21</v>
      </c>
      <c r="G897" t="s">
        <v>15</v>
      </c>
      <c r="H897">
        <v>1.1393664737094069E-2</v>
      </c>
      <c r="I897">
        <v>3</v>
      </c>
      <c r="J897" t="s">
        <v>23</v>
      </c>
      <c r="K897" s="59" t="s">
        <v>23</v>
      </c>
    </row>
    <row r="898" spans="1:11" x14ac:dyDescent="0.2">
      <c r="A898" t="s">
        <v>937</v>
      </c>
      <c r="B898">
        <v>2018</v>
      </c>
      <c r="C898" t="s">
        <v>19</v>
      </c>
      <c r="D898">
        <v>67</v>
      </c>
      <c r="E898" t="s">
        <v>25</v>
      </c>
      <c r="F898" t="s">
        <v>26</v>
      </c>
      <c r="G898" t="s">
        <v>15</v>
      </c>
      <c r="H898">
        <v>0.46058692577733279</v>
      </c>
      <c r="I898">
        <v>2</v>
      </c>
      <c r="J898" t="s">
        <v>16</v>
      </c>
      <c r="K898" s="59" t="s">
        <v>16</v>
      </c>
    </row>
    <row r="899" spans="1:11" x14ac:dyDescent="0.2">
      <c r="A899" t="s">
        <v>938</v>
      </c>
      <c r="B899">
        <v>2019</v>
      </c>
      <c r="C899" t="s">
        <v>19</v>
      </c>
      <c r="D899">
        <v>128</v>
      </c>
      <c r="E899" t="s">
        <v>25</v>
      </c>
      <c r="F899" t="s">
        <v>26</v>
      </c>
      <c r="G899" t="s">
        <v>15</v>
      </c>
      <c r="H899">
        <v>-1.0325061672578271</v>
      </c>
      <c r="I899">
        <v>2</v>
      </c>
      <c r="J899" t="s">
        <v>16</v>
      </c>
      <c r="K899" s="59" t="s">
        <v>17</v>
      </c>
    </row>
    <row r="900" spans="1:11" x14ac:dyDescent="0.2">
      <c r="A900" t="s">
        <v>939</v>
      </c>
      <c r="B900">
        <v>2019</v>
      </c>
      <c r="C900" t="s">
        <v>33</v>
      </c>
      <c r="D900">
        <v>124</v>
      </c>
      <c r="E900" t="s">
        <v>20</v>
      </c>
      <c r="F900" t="s">
        <v>21</v>
      </c>
      <c r="G900" t="s">
        <v>15</v>
      </c>
      <c r="H900">
        <v>1.5926452135294</v>
      </c>
      <c r="I900">
        <v>3</v>
      </c>
      <c r="J900" t="s">
        <v>16</v>
      </c>
      <c r="K900" s="59" t="s">
        <v>4376</v>
      </c>
    </row>
    <row r="901" spans="1:11" x14ac:dyDescent="0.2">
      <c r="A901" t="s">
        <v>940</v>
      </c>
      <c r="B901">
        <v>2019</v>
      </c>
      <c r="C901" t="s">
        <v>19</v>
      </c>
      <c r="D901">
        <v>210</v>
      </c>
      <c r="E901" t="s">
        <v>20</v>
      </c>
      <c r="F901" t="s">
        <v>21</v>
      </c>
      <c r="G901" t="s">
        <v>44</v>
      </c>
      <c r="H901">
        <v>2.0261061763104671</v>
      </c>
      <c r="I901">
        <v>3</v>
      </c>
      <c r="J901" t="s">
        <v>23</v>
      </c>
      <c r="K901" s="59" t="s">
        <v>23</v>
      </c>
    </row>
    <row r="902" spans="1:11" x14ac:dyDescent="0.2">
      <c r="A902" t="s">
        <v>941</v>
      </c>
      <c r="B902">
        <v>2019</v>
      </c>
      <c r="C902" t="s">
        <v>33</v>
      </c>
      <c r="D902">
        <v>44</v>
      </c>
      <c r="E902" t="s">
        <v>25</v>
      </c>
      <c r="F902" t="s">
        <v>26</v>
      </c>
      <c r="G902" t="s">
        <v>15</v>
      </c>
      <c r="H902">
        <v>1.207133472294913</v>
      </c>
      <c r="I902">
        <v>2</v>
      </c>
      <c r="J902" t="s">
        <v>16</v>
      </c>
      <c r="K902" s="59" t="s">
        <v>17</v>
      </c>
    </row>
    <row r="903" spans="1:11" x14ac:dyDescent="0.2">
      <c r="A903" t="s">
        <v>942</v>
      </c>
      <c r="B903">
        <v>2023</v>
      </c>
      <c r="C903" t="s">
        <v>19</v>
      </c>
      <c r="D903">
        <v>156</v>
      </c>
      <c r="E903" t="s">
        <v>53</v>
      </c>
      <c r="F903" t="s">
        <v>54</v>
      </c>
      <c r="G903" t="s">
        <v>15</v>
      </c>
      <c r="H903">
        <v>-1.04784616478901</v>
      </c>
      <c r="I903">
        <v>3</v>
      </c>
      <c r="J903" t="s">
        <v>23</v>
      </c>
      <c r="K903" s="59" t="s">
        <v>17</v>
      </c>
    </row>
    <row r="904" spans="1:11" x14ac:dyDescent="0.2">
      <c r="A904" t="s">
        <v>943</v>
      </c>
      <c r="B904">
        <v>2021</v>
      </c>
      <c r="C904" t="s">
        <v>33</v>
      </c>
      <c r="D904">
        <v>343</v>
      </c>
      <c r="E904" t="s">
        <v>38</v>
      </c>
      <c r="F904" t="s">
        <v>39</v>
      </c>
      <c r="G904" t="s">
        <v>15</v>
      </c>
      <c r="H904">
        <v>0.79091725609484598</v>
      </c>
      <c r="I904">
        <v>3</v>
      </c>
      <c r="J904" t="s">
        <v>23</v>
      </c>
      <c r="K904" s="59" t="s">
        <v>4376</v>
      </c>
    </row>
    <row r="905" spans="1:11" x14ac:dyDescent="0.2">
      <c r="A905" t="s">
        <v>944</v>
      </c>
      <c r="B905">
        <v>2025</v>
      </c>
      <c r="C905" t="s">
        <v>19</v>
      </c>
      <c r="D905">
        <v>378</v>
      </c>
      <c r="E905" t="s">
        <v>20</v>
      </c>
      <c r="F905" t="s">
        <v>21</v>
      </c>
      <c r="G905" t="s">
        <v>15</v>
      </c>
      <c r="H905">
        <v>0.2064434205798589</v>
      </c>
      <c r="I905">
        <v>3</v>
      </c>
      <c r="J905" t="s">
        <v>23</v>
      </c>
      <c r="K905" s="59" t="s">
        <v>17</v>
      </c>
    </row>
    <row r="906" spans="1:11" x14ac:dyDescent="0.2">
      <c r="A906" t="s">
        <v>945</v>
      </c>
      <c r="B906">
        <v>2022</v>
      </c>
      <c r="C906" t="s">
        <v>19</v>
      </c>
      <c r="D906">
        <v>353</v>
      </c>
      <c r="E906" t="s">
        <v>53</v>
      </c>
      <c r="F906" t="s">
        <v>54</v>
      </c>
      <c r="G906" t="s">
        <v>15</v>
      </c>
      <c r="H906">
        <v>0.46058692577733279</v>
      </c>
      <c r="I906">
        <v>3</v>
      </c>
      <c r="J906" t="s">
        <v>16</v>
      </c>
      <c r="K906" s="59" t="s">
        <v>17</v>
      </c>
    </row>
    <row r="907" spans="1:11" x14ac:dyDescent="0.2">
      <c r="A907" t="s">
        <v>946</v>
      </c>
      <c r="B907">
        <v>2023</v>
      </c>
      <c r="C907" t="s">
        <v>33</v>
      </c>
      <c r="D907">
        <v>383</v>
      </c>
      <c r="E907" t="s">
        <v>29</v>
      </c>
      <c r="F907" t="s">
        <v>30</v>
      </c>
      <c r="G907" t="s">
        <v>15</v>
      </c>
      <c r="H907">
        <v>0.21436445001295959</v>
      </c>
      <c r="I907">
        <v>4</v>
      </c>
      <c r="J907" t="s">
        <v>16</v>
      </c>
      <c r="K907" s="59" t="s">
        <v>4376</v>
      </c>
    </row>
    <row r="908" spans="1:11" x14ac:dyDescent="0.2">
      <c r="A908" t="s">
        <v>947</v>
      </c>
      <c r="B908">
        <v>2018</v>
      </c>
      <c r="C908" t="s">
        <v>12</v>
      </c>
      <c r="D908">
        <v>131</v>
      </c>
      <c r="E908" t="s">
        <v>13</v>
      </c>
      <c r="F908" t="s">
        <v>14</v>
      </c>
      <c r="G908" t="s">
        <v>15</v>
      </c>
      <c r="H908">
        <v>0.4485458524464041</v>
      </c>
      <c r="I908">
        <v>4</v>
      </c>
      <c r="J908" t="s">
        <v>23</v>
      </c>
      <c r="K908" s="59" t="s">
        <v>4376</v>
      </c>
    </row>
    <row r="909" spans="1:11" x14ac:dyDescent="0.2">
      <c r="A909" t="s">
        <v>948</v>
      </c>
      <c r="B909">
        <v>2019</v>
      </c>
      <c r="C909" t="s">
        <v>19</v>
      </c>
      <c r="D909">
        <v>74</v>
      </c>
      <c r="E909" t="s">
        <v>20</v>
      </c>
      <c r="F909" t="s">
        <v>21</v>
      </c>
      <c r="G909" t="s">
        <v>15</v>
      </c>
      <c r="H909">
        <v>-9.9322984110851928E-2</v>
      </c>
      <c r="I909">
        <v>3</v>
      </c>
      <c r="J909" t="s">
        <v>23</v>
      </c>
      <c r="K909" s="59" t="s">
        <v>17</v>
      </c>
    </row>
    <row r="910" spans="1:11" x14ac:dyDescent="0.2">
      <c r="A910" t="s">
        <v>949</v>
      </c>
      <c r="B910">
        <v>2017</v>
      </c>
      <c r="C910" t="s">
        <v>12</v>
      </c>
      <c r="D910">
        <v>50</v>
      </c>
      <c r="E910" t="s">
        <v>25</v>
      </c>
      <c r="F910" t="s">
        <v>26</v>
      </c>
      <c r="G910" t="s">
        <v>80</v>
      </c>
      <c r="H910">
        <v>-0.67416382492938842</v>
      </c>
      <c r="I910">
        <v>2</v>
      </c>
      <c r="J910" t="s">
        <v>23</v>
      </c>
      <c r="K910" s="59" t="s">
        <v>23</v>
      </c>
    </row>
    <row r="911" spans="1:11" x14ac:dyDescent="0.2">
      <c r="A911" t="s">
        <v>950</v>
      </c>
      <c r="B911">
        <v>2018</v>
      </c>
      <c r="C911" t="s">
        <v>12</v>
      </c>
      <c r="D911">
        <v>149</v>
      </c>
      <c r="E911" t="s">
        <v>20</v>
      </c>
      <c r="F911" t="s">
        <v>21</v>
      </c>
      <c r="G911" t="s">
        <v>15</v>
      </c>
      <c r="H911">
        <v>-8.1426320324471585E-2</v>
      </c>
      <c r="I911">
        <v>3</v>
      </c>
      <c r="J911" t="s">
        <v>23</v>
      </c>
      <c r="K911" s="59" t="s">
        <v>17</v>
      </c>
    </row>
    <row r="912" spans="1:11" x14ac:dyDescent="0.2">
      <c r="A912" t="s">
        <v>951</v>
      </c>
      <c r="B912">
        <v>2019</v>
      </c>
      <c r="C912" t="s">
        <v>19</v>
      </c>
      <c r="D912">
        <v>486</v>
      </c>
      <c r="E912" t="s">
        <v>25</v>
      </c>
      <c r="F912" t="s">
        <v>26</v>
      </c>
      <c r="G912" t="s">
        <v>22</v>
      </c>
      <c r="H912">
        <v>0.62774843510626921</v>
      </c>
      <c r="I912">
        <v>2</v>
      </c>
      <c r="J912" t="s">
        <v>23</v>
      </c>
      <c r="K912" s="59" t="s">
        <v>16</v>
      </c>
    </row>
    <row r="913" spans="1:11" x14ac:dyDescent="0.2">
      <c r="A913" t="s">
        <v>952</v>
      </c>
      <c r="B913">
        <v>2018</v>
      </c>
      <c r="C913" t="s">
        <v>12</v>
      </c>
      <c r="D913">
        <v>120</v>
      </c>
      <c r="E913" t="s">
        <v>20</v>
      </c>
      <c r="F913" t="s">
        <v>21</v>
      </c>
      <c r="G913" t="s">
        <v>15</v>
      </c>
      <c r="H913">
        <v>1.173666381899163E-3</v>
      </c>
      <c r="I913">
        <v>3</v>
      </c>
      <c r="J913" t="s">
        <v>23</v>
      </c>
      <c r="K913" s="59" t="s">
        <v>17</v>
      </c>
    </row>
    <row r="914" spans="1:11" x14ac:dyDescent="0.2">
      <c r="A914" t="s">
        <v>953</v>
      </c>
      <c r="B914">
        <v>2025</v>
      </c>
      <c r="C914" t="s">
        <v>33</v>
      </c>
      <c r="D914">
        <v>39</v>
      </c>
      <c r="E914" t="s">
        <v>20</v>
      </c>
      <c r="F914" t="s">
        <v>21</v>
      </c>
      <c r="G914" t="s">
        <v>15</v>
      </c>
      <c r="H914">
        <v>-1.2047861395311139</v>
      </c>
      <c r="I914">
        <v>3</v>
      </c>
      <c r="J914" t="s">
        <v>17</v>
      </c>
      <c r="K914" s="59" t="s">
        <v>4376</v>
      </c>
    </row>
    <row r="915" spans="1:11" x14ac:dyDescent="0.2">
      <c r="A915" t="s">
        <v>954</v>
      </c>
      <c r="B915">
        <v>2019</v>
      </c>
      <c r="C915" t="s">
        <v>33</v>
      </c>
      <c r="D915">
        <v>96</v>
      </c>
      <c r="E915" t="s">
        <v>20</v>
      </c>
      <c r="F915" t="s">
        <v>21</v>
      </c>
      <c r="G915" t="s">
        <v>15</v>
      </c>
      <c r="H915">
        <v>1.6970546434470739</v>
      </c>
      <c r="I915">
        <v>3</v>
      </c>
      <c r="J915" t="s">
        <v>16</v>
      </c>
      <c r="K915" s="59" t="s">
        <v>16</v>
      </c>
    </row>
    <row r="916" spans="1:11" x14ac:dyDescent="0.2">
      <c r="A916" t="s">
        <v>955</v>
      </c>
      <c r="B916">
        <v>2021</v>
      </c>
      <c r="C916" t="s">
        <v>12</v>
      </c>
      <c r="D916">
        <v>88</v>
      </c>
      <c r="E916" t="s">
        <v>25</v>
      </c>
      <c r="F916" t="s">
        <v>26</v>
      </c>
      <c r="G916" t="s">
        <v>80</v>
      </c>
      <c r="H916">
        <v>1.207133472294913</v>
      </c>
      <c r="I916">
        <v>2</v>
      </c>
      <c r="J916" t="s">
        <v>23</v>
      </c>
      <c r="K916" s="59" t="s">
        <v>17</v>
      </c>
    </row>
    <row r="917" spans="1:11" x14ac:dyDescent="0.2">
      <c r="A917" t="s">
        <v>956</v>
      </c>
      <c r="B917">
        <v>2021</v>
      </c>
      <c r="C917" t="s">
        <v>33</v>
      </c>
      <c r="D917">
        <v>343</v>
      </c>
      <c r="E917" t="s">
        <v>38</v>
      </c>
      <c r="F917" t="s">
        <v>39</v>
      </c>
      <c r="G917" t="s">
        <v>15</v>
      </c>
      <c r="H917">
        <v>0.79091725609484598</v>
      </c>
      <c r="I917">
        <v>3</v>
      </c>
      <c r="J917" t="s">
        <v>23</v>
      </c>
      <c r="K917" s="59" t="s">
        <v>4376</v>
      </c>
    </row>
    <row r="918" spans="1:11" x14ac:dyDescent="0.2">
      <c r="A918" t="s">
        <v>957</v>
      </c>
      <c r="B918">
        <v>2019</v>
      </c>
      <c r="C918" t="s">
        <v>19</v>
      </c>
      <c r="D918">
        <v>127</v>
      </c>
      <c r="E918" t="s">
        <v>25</v>
      </c>
      <c r="F918" t="s">
        <v>26</v>
      </c>
      <c r="G918" t="s">
        <v>15</v>
      </c>
      <c r="H918">
        <v>-1.0504232843742489</v>
      </c>
      <c r="I918">
        <v>2</v>
      </c>
      <c r="J918" t="s">
        <v>16</v>
      </c>
      <c r="K918" s="59" t="s">
        <v>17</v>
      </c>
    </row>
    <row r="919" spans="1:11" x14ac:dyDescent="0.2">
      <c r="A919" t="s">
        <v>958</v>
      </c>
      <c r="B919">
        <v>2022</v>
      </c>
      <c r="C919" t="s">
        <v>33</v>
      </c>
      <c r="D919">
        <v>398</v>
      </c>
      <c r="E919" t="s">
        <v>25</v>
      </c>
      <c r="F919" t="s">
        <v>26</v>
      </c>
      <c r="G919" t="s">
        <v>48</v>
      </c>
      <c r="H919">
        <v>-0.81254155980175402</v>
      </c>
      <c r="I919">
        <v>2</v>
      </c>
      <c r="J919" t="s">
        <v>23</v>
      </c>
      <c r="K919" s="59" t="s">
        <v>4376</v>
      </c>
    </row>
    <row r="920" spans="1:11" x14ac:dyDescent="0.2">
      <c r="A920" t="s">
        <v>959</v>
      </c>
      <c r="B920">
        <v>2020</v>
      </c>
      <c r="C920" t="s">
        <v>19</v>
      </c>
      <c r="D920">
        <v>123</v>
      </c>
      <c r="E920" t="s">
        <v>20</v>
      </c>
      <c r="F920" t="s">
        <v>21</v>
      </c>
      <c r="G920" t="s">
        <v>15</v>
      </c>
      <c r="H920">
        <v>0.4485458524464041</v>
      </c>
      <c r="I920">
        <v>3</v>
      </c>
      <c r="J920" t="s">
        <v>23</v>
      </c>
      <c r="K920" s="59" t="s">
        <v>23</v>
      </c>
    </row>
    <row r="921" spans="1:11" x14ac:dyDescent="0.2">
      <c r="A921" t="s">
        <v>960</v>
      </c>
      <c r="B921">
        <v>2020</v>
      </c>
      <c r="C921" t="s">
        <v>33</v>
      </c>
      <c r="D921">
        <v>46</v>
      </c>
      <c r="E921" t="s">
        <v>25</v>
      </c>
      <c r="F921" t="s">
        <v>26</v>
      </c>
      <c r="G921" t="s">
        <v>36</v>
      </c>
      <c r="H921">
        <v>-0.8831968579543108</v>
      </c>
      <c r="I921">
        <v>2</v>
      </c>
      <c r="J921" t="s">
        <v>23</v>
      </c>
      <c r="K921" s="59" t="s">
        <v>4376</v>
      </c>
    </row>
    <row r="922" spans="1:11" x14ac:dyDescent="0.2">
      <c r="A922" t="s">
        <v>961</v>
      </c>
      <c r="B922">
        <v>2023</v>
      </c>
      <c r="C922" t="s">
        <v>12</v>
      </c>
      <c r="D922">
        <v>77</v>
      </c>
      <c r="E922" t="s">
        <v>20</v>
      </c>
      <c r="F922" t="s">
        <v>21</v>
      </c>
      <c r="G922" t="s">
        <v>15</v>
      </c>
      <c r="H922">
        <v>-1.4488149279308931E-2</v>
      </c>
      <c r="I922">
        <v>3</v>
      </c>
      <c r="J922" t="s">
        <v>16</v>
      </c>
      <c r="K922" s="59" t="s">
        <v>16</v>
      </c>
    </row>
    <row r="923" spans="1:11" x14ac:dyDescent="0.2">
      <c r="A923" t="s">
        <v>962</v>
      </c>
      <c r="B923">
        <v>2023</v>
      </c>
      <c r="C923" t="s">
        <v>19</v>
      </c>
      <c r="D923">
        <v>62</v>
      </c>
      <c r="E923" t="s">
        <v>20</v>
      </c>
      <c r="F923" t="s">
        <v>21</v>
      </c>
      <c r="G923" t="s">
        <v>15</v>
      </c>
      <c r="H923">
        <v>-1.22557854997789</v>
      </c>
      <c r="I923">
        <v>3</v>
      </c>
      <c r="J923" t="s">
        <v>23</v>
      </c>
      <c r="K923" s="59" t="s">
        <v>17</v>
      </c>
    </row>
    <row r="924" spans="1:11" x14ac:dyDescent="0.2">
      <c r="A924" t="s">
        <v>963</v>
      </c>
      <c r="B924">
        <v>2024</v>
      </c>
      <c r="C924" t="s">
        <v>33</v>
      </c>
      <c r="D924">
        <v>230</v>
      </c>
      <c r="E924" t="s">
        <v>25</v>
      </c>
      <c r="F924" t="s">
        <v>26</v>
      </c>
      <c r="G924" t="s">
        <v>15</v>
      </c>
      <c r="H924">
        <v>0.35970225732901118</v>
      </c>
      <c r="I924">
        <v>2</v>
      </c>
      <c r="J924" t="s">
        <v>17</v>
      </c>
      <c r="K924" s="59" t="s">
        <v>4376</v>
      </c>
    </row>
    <row r="925" spans="1:11" x14ac:dyDescent="0.2">
      <c r="A925" t="s">
        <v>964</v>
      </c>
      <c r="B925">
        <v>2018</v>
      </c>
      <c r="C925" t="s">
        <v>19</v>
      </c>
      <c r="D925">
        <v>58</v>
      </c>
      <c r="E925" t="s">
        <v>20</v>
      </c>
      <c r="F925" t="s">
        <v>21</v>
      </c>
      <c r="G925" t="s">
        <v>41</v>
      </c>
      <c r="H925">
        <v>2.8289414871434482</v>
      </c>
      <c r="I925">
        <v>3</v>
      </c>
      <c r="J925" t="s">
        <v>16</v>
      </c>
      <c r="K925" s="59" t="s">
        <v>23</v>
      </c>
    </row>
    <row r="926" spans="1:11" x14ac:dyDescent="0.2">
      <c r="A926" t="s">
        <v>965</v>
      </c>
      <c r="B926">
        <v>2024</v>
      </c>
      <c r="C926" t="s">
        <v>19</v>
      </c>
      <c r="D926">
        <v>163</v>
      </c>
      <c r="E926" t="s">
        <v>20</v>
      </c>
      <c r="F926" t="s">
        <v>21</v>
      </c>
      <c r="G926" t="s">
        <v>15</v>
      </c>
      <c r="H926">
        <v>-0.69169143949980116</v>
      </c>
      <c r="I926">
        <v>3</v>
      </c>
      <c r="J926" t="s">
        <v>23</v>
      </c>
      <c r="K926" s="59" t="s">
        <v>17</v>
      </c>
    </row>
    <row r="927" spans="1:11" x14ac:dyDescent="0.2">
      <c r="A927" t="s">
        <v>966</v>
      </c>
      <c r="B927">
        <v>2020</v>
      </c>
      <c r="C927" t="s">
        <v>33</v>
      </c>
      <c r="D927">
        <v>37</v>
      </c>
      <c r="E927" t="s">
        <v>20</v>
      </c>
      <c r="F927" t="s">
        <v>21</v>
      </c>
      <c r="G927" t="s">
        <v>15</v>
      </c>
      <c r="H927">
        <v>-2.942787036288105</v>
      </c>
      <c r="I927">
        <v>3</v>
      </c>
      <c r="J927" t="s">
        <v>23</v>
      </c>
      <c r="K927" s="59" t="s">
        <v>4376</v>
      </c>
    </row>
    <row r="928" spans="1:11" x14ac:dyDescent="0.2">
      <c r="A928" t="s">
        <v>967</v>
      </c>
      <c r="B928">
        <v>2021</v>
      </c>
      <c r="C928" t="s">
        <v>33</v>
      </c>
      <c r="D928">
        <v>343</v>
      </c>
      <c r="E928" t="s">
        <v>38</v>
      </c>
      <c r="F928" t="s">
        <v>39</v>
      </c>
      <c r="G928" t="s">
        <v>15</v>
      </c>
      <c r="H928">
        <v>0.79091725609484598</v>
      </c>
      <c r="I928">
        <v>3</v>
      </c>
      <c r="J928" t="s">
        <v>23</v>
      </c>
      <c r="K928" s="59" t="s">
        <v>17</v>
      </c>
    </row>
    <row r="929" spans="1:11" x14ac:dyDescent="0.2">
      <c r="A929" t="s">
        <v>968</v>
      </c>
      <c r="B929">
        <v>2018</v>
      </c>
      <c r="C929" t="s">
        <v>19</v>
      </c>
      <c r="D929">
        <v>40</v>
      </c>
      <c r="E929" t="s">
        <v>38</v>
      </c>
      <c r="F929" t="s">
        <v>39</v>
      </c>
      <c r="G929" t="s">
        <v>15</v>
      </c>
      <c r="H929">
        <v>-1.2047861395311139</v>
      </c>
      <c r="I929">
        <v>3</v>
      </c>
      <c r="J929" t="s">
        <v>23</v>
      </c>
      <c r="K929" s="59" t="s">
        <v>17</v>
      </c>
    </row>
    <row r="930" spans="1:11" x14ac:dyDescent="0.2">
      <c r="A930" t="s">
        <v>969</v>
      </c>
      <c r="B930">
        <v>2019</v>
      </c>
      <c r="C930" t="s">
        <v>19</v>
      </c>
      <c r="D930">
        <v>372</v>
      </c>
      <c r="E930" t="s">
        <v>25</v>
      </c>
      <c r="F930" t="s">
        <v>26</v>
      </c>
      <c r="G930" t="s">
        <v>15</v>
      </c>
      <c r="H930">
        <v>-1.3186823434228989</v>
      </c>
      <c r="I930">
        <v>2</v>
      </c>
      <c r="J930" t="s">
        <v>23</v>
      </c>
      <c r="K930" s="59" t="s">
        <v>4376</v>
      </c>
    </row>
    <row r="931" spans="1:11" x14ac:dyDescent="0.2">
      <c r="A931" t="s">
        <v>970</v>
      </c>
      <c r="B931">
        <v>2017</v>
      </c>
      <c r="C931" t="s">
        <v>33</v>
      </c>
      <c r="D931">
        <v>58</v>
      </c>
      <c r="E931" t="s">
        <v>13</v>
      </c>
      <c r="F931" t="s">
        <v>14</v>
      </c>
      <c r="G931" t="s">
        <v>44</v>
      </c>
      <c r="H931">
        <v>0.2272911299905892</v>
      </c>
      <c r="I931">
        <v>4</v>
      </c>
      <c r="J931" t="s">
        <v>23</v>
      </c>
      <c r="K931" s="59" t="s">
        <v>23</v>
      </c>
    </row>
    <row r="932" spans="1:11" x14ac:dyDescent="0.2">
      <c r="A932" t="s">
        <v>971</v>
      </c>
      <c r="B932">
        <v>2017</v>
      </c>
      <c r="C932" t="s">
        <v>19</v>
      </c>
      <c r="D932">
        <v>42</v>
      </c>
      <c r="E932" t="s">
        <v>13</v>
      </c>
      <c r="F932" t="s">
        <v>14</v>
      </c>
      <c r="G932" t="s">
        <v>167</v>
      </c>
      <c r="H932">
        <v>-1.405779440516616</v>
      </c>
      <c r="I932">
        <v>4</v>
      </c>
      <c r="J932" t="s">
        <v>23</v>
      </c>
      <c r="K932" s="59" t="s">
        <v>23</v>
      </c>
    </row>
    <row r="933" spans="1:11" x14ac:dyDescent="0.2">
      <c r="A933" t="s">
        <v>972</v>
      </c>
      <c r="B933">
        <v>2018</v>
      </c>
      <c r="C933" t="s">
        <v>33</v>
      </c>
      <c r="D933">
        <v>68</v>
      </c>
      <c r="E933" t="s">
        <v>38</v>
      </c>
      <c r="F933" t="s">
        <v>39</v>
      </c>
      <c r="G933" t="s">
        <v>15</v>
      </c>
      <c r="H933">
        <v>-0.21809175287501251</v>
      </c>
      <c r="I933">
        <v>3</v>
      </c>
      <c r="J933" t="s">
        <v>23</v>
      </c>
      <c r="K933" s="59" t="s">
        <v>17</v>
      </c>
    </row>
    <row r="934" spans="1:11" x14ac:dyDescent="0.2">
      <c r="A934" t="s">
        <v>973</v>
      </c>
      <c r="B934">
        <v>2019</v>
      </c>
      <c r="C934" t="s">
        <v>12</v>
      </c>
      <c r="D934">
        <v>190</v>
      </c>
      <c r="E934" t="s">
        <v>29</v>
      </c>
      <c r="F934" t="s">
        <v>30</v>
      </c>
      <c r="G934" t="s">
        <v>15</v>
      </c>
      <c r="H934">
        <v>-0.33491349264303921</v>
      </c>
      <c r="I934">
        <v>4</v>
      </c>
      <c r="J934" t="s">
        <v>23</v>
      </c>
      <c r="K934" s="59" t="s">
        <v>23</v>
      </c>
    </row>
    <row r="935" spans="1:11" x14ac:dyDescent="0.2">
      <c r="A935" t="s">
        <v>974</v>
      </c>
      <c r="B935">
        <v>2020</v>
      </c>
      <c r="C935" t="s">
        <v>12</v>
      </c>
      <c r="D935">
        <v>149</v>
      </c>
      <c r="E935" t="s">
        <v>20</v>
      </c>
      <c r="F935" t="s">
        <v>21</v>
      </c>
      <c r="G935" t="s">
        <v>48</v>
      </c>
      <c r="H935">
        <v>0.24728791248659579</v>
      </c>
      <c r="I935">
        <v>3</v>
      </c>
      <c r="J935" t="s">
        <v>16</v>
      </c>
      <c r="K935" s="59" t="s">
        <v>4376</v>
      </c>
    </row>
    <row r="936" spans="1:11" x14ac:dyDescent="0.2">
      <c r="A936" t="s">
        <v>975</v>
      </c>
      <c r="B936">
        <v>2020</v>
      </c>
      <c r="C936" t="s">
        <v>33</v>
      </c>
      <c r="D936">
        <v>260</v>
      </c>
      <c r="E936" t="s">
        <v>20</v>
      </c>
      <c r="F936" t="s">
        <v>21</v>
      </c>
      <c r="G936" t="s">
        <v>15</v>
      </c>
      <c r="H936">
        <v>1.6438980380798041E-2</v>
      </c>
      <c r="I936">
        <v>3</v>
      </c>
      <c r="J936" t="s">
        <v>23</v>
      </c>
      <c r="K936" s="59" t="s">
        <v>4376</v>
      </c>
    </row>
    <row r="937" spans="1:11" x14ac:dyDescent="0.2">
      <c r="A937" t="s">
        <v>976</v>
      </c>
      <c r="B937">
        <v>2019</v>
      </c>
      <c r="C937" t="s">
        <v>19</v>
      </c>
      <c r="D937">
        <v>55</v>
      </c>
      <c r="E937" t="s">
        <v>25</v>
      </c>
      <c r="F937" t="s">
        <v>26</v>
      </c>
      <c r="G937" t="s">
        <v>15</v>
      </c>
      <c r="H937">
        <v>-0.56767529867140909</v>
      </c>
      <c r="I937">
        <v>2</v>
      </c>
      <c r="J937" t="s">
        <v>23</v>
      </c>
      <c r="K937" s="59" t="s">
        <v>4376</v>
      </c>
    </row>
    <row r="938" spans="1:11" x14ac:dyDescent="0.2">
      <c r="A938" t="s">
        <v>977</v>
      </c>
      <c r="B938">
        <v>2021</v>
      </c>
      <c r="C938" t="s">
        <v>33</v>
      </c>
      <c r="D938">
        <v>310</v>
      </c>
      <c r="E938" t="s">
        <v>29</v>
      </c>
      <c r="F938" t="s">
        <v>30</v>
      </c>
      <c r="G938" t="s">
        <v>15</v>
      </c>
      <c r="H938">
        <v>0.53094834150343062</v>
      </c>
      <c r="I938">
        <v>4</v>
      </c>
      <c r="J938" t="s">
        <v>16</v>
      </c>
      <c r="K938" s="59" t="s">
        <v>4376</v>
      </c>
    </row>
    <row r="939" spans="1:11" x14ac:dyDescent="0.2">
      <c r="A939" t="s">
        <v>978</v>
      </c>
      <c r="B939">
        <v>2024</v>
      </c>
      <c r="C939" t="s">
        <v>33</v>
      </c>
      <c r="D939">
        <v>116</v>
      </c>
      <c r="E939" t="s">
        <v>25</v>
      </c>
      <c r="F939" t="s">
        <v>26</v>
      </c>
      <c r="G939" t="s">
        <v>15</v>
      </c>
      <c r="H939">
        <v>0.38917812567565119</v>
      </c>
      <c r="I939">
        <v>2</v>
      </c>
      <c r="J939" t="s">
        <v>16</v>
      </c>
      <c r="K939" s="59" t="s">
        <v>4376</v>
      </c>
    </row>
    <row r="940" spans="1:11" x14ac:dyDescent="0.2">
      <c r="A940" t="s">
        <v>979</v>
      </c>
      <c r="B940">
        <v>2021</v>
      </c>
      <c r="C940" t="s">
        <v>12</v>
      </c>
      <c r="D940">
        <v>143</v>
      </c>
      <c r="E940" t="s">
        <v>25</v>
      </c>
      <c r="F940" t="s">
        <v>26</v>
      </c>
      <c r="G940" t="s">
        <v>15</v>
      </c>
      <c r="H940">
        <v>0.85350616078658537</v>
      </c>
      <c r="I940">
        <v>2</v>
      </c>
      <c r="J940" t="s">
        <v>23</v>
      </c>
      <c r="K940" s="59" t="s">
        <v>17</v>
      </c>
    </row>
    <row r="941" spans="1:11" x14ac:dyDescent="0.2">
      <c r="A941" t="s">
        <v>980</v>
      </c>
      <c r="B941">
        <v>2023</v>
      </c>
      <c r="C941" t="s">
        <v>33</v>
      </c>
      <c r="D941">
        <v>82</v>
      </c>
      <c r="E941" t="s">
        <v>25</v>
      </c>
      <c r="F941" t="s">
        <v>26</v>
      </c>
      <c r="G941" t="s">
        <v>48</v>
      </c>
      <c r="H941">
        <v>-1.928362023078922</v>
      </c>
      <c r="I941">
        <v>2</v>
      </c>
      <c r="J941" t="s">
        <v>23</v>
      </c>
      <c r="K941" s="59" t="s">
        <v>4376</v>
      </c>
    </row>
    <row r="942" spans="1:11" x14ac:dyDescent="0.2">
      <c r="A942" t="s">
        <v>981</v>
      </c>
      <c r="B942">
        <v>2022</v>
      </c>
      <c r="C942" t="s">
        <v>33</v>
      </c>
      <c r="D942">
        <v>352</v>
      </c>
      <c r="E942" t="s">
        <v>53</v>
      </c>
      <c r="F942" t="s">
        <v>54</v>
      </c>
      <c r="G942" t="s">
        <v>36</v>
      </c>
      <c r="H942">
        <v>5.4377775466296963E-2</v>
      </c>
      <c r="I942">
        <v>3</v>
      </c>
      <c r="J942" t="s">
        <v>16</v>
      </c>
      <c r="K942" s="59" t="s">
        <v>23</v>
      </c>
    </row>
    <row r="943" spans="1:11" x14ac:dyDescent="0.2">
      <c r="A943" t="s">
        <v>982</v>
      </c>
      <c r="B943">
        <v>2025</v>
      </c>
      <c r="C943" t="s">
        <v>19</v>
      </c>
      <c r="D943">
        <v>73</v>
      </c>
      <c r="E943" t="s">
        <v>20</v>
      </c>
      <c r="F943" t="s">
        <v>21</v>
      </c>
      <c r="G943" t="s">
        <v>15</v>
      </c>
      <c r="H943">
        <v>-1.000961946982436</v>
      </c>
      <c r="I943">
        <v>3</v>
      </c>
      <c r="J943" t="s">
        <v>23</v>
      </c>
      <c r="K943" s="59" t="s">
        <v>17</v>
      </c>
    </row>
    <row r="944" spans="1:11" x14ac:dyDescent="0.2">
      <c r="A944" t="s">
        <v>983</v>
      </c>
      <c r="B944">
        <v>2018</v>
      </c>
      <c r="C944" t="s">
        <v>19</v>
      </c>
      <c r="D944">
        <v>63</v>
      </c>
      <c r="E944" t="s">
        <v>38</v>
      </c>
      <c r="F944" t="s">
        <v>39</v>
      </c>
      <c r="G944" t="s">
        <v>15</v>
      </c>
      <c r="H944">
        <v>-0.33491349264303921</v>
      </c>
      <c r="I944">
        <v>3</v>
      </c>
      <c r="J944" t="s">
        <v>23</v>
      </c>
      <c r="K944" s="59" t="s">
        <v>23</v>
      </c>
    </row>
    <row r="945" spans="1:11" x14ac:dyDescent="0.2">
      <c r="A945" t="s">
        <v>984</v>
      </c>
      <c r="B945">
        <v>2016</v>
      </c>
      <c r="C945" t="s">
        <v>19</v>
      </c>
      <c r="D945">
        <v>81</v>
      </c>
      <c r="E945" t="s">
        <v>20</v>
      </c>
      <c r="F945" t="s">
        <v>21</v>
      </c>
      <c r="G945" t="s">
        <v>57</v>
      </c>
      <c r="H945">
        <v>-1.4488149279308931E-2</v>
      </c>
      <c r="I945">
        <v>3</v>
      </c>
      <c r="J945" t="s">
        <v>23</v>
      </c>
      <c r="K945" s="59" t="s">
        <v>17</v>
      </c>
    </row>
    <row r="946" spans="1:11" x14ac:dyDescent="0.2">
      <c r="A946" t="s">
        <v>985</v>
      </c>
      <c r="B946">
        <v>2018</v>
      </c>
      <c r="C946" t="s">
        <v>19</v>
      </c>
      <c r="D946">
        <v>268</v>
      </c>
      <c r="E946" t="s">
        <v>20</v>
      </c>
      <c r="F946" t="s">
        <v>21</v>
      </c>
      <c r="G946" t="s">
        <v>48</v>
      </c>
      <c r="H946">
        <v>-0.84162778888685474</v>
      </c>
      <c r="I946">
        <v>3</v>
      </c>
      <c r="J946" t="s">
        <v>23</v>
      </c>
      <c r="K946" s="59" t="s">
        <v>16</v>
      </c>
    </row>
    <row r="947" spans="1:11" x14ac:dyDescent="0.2">
      <c r="A947" t="s">
        <v>986</v>
      </c>
      <c r="B947">
        <v>2018</v>
      </c>
      <c r="C947" t="s">
        <v>19</v>
      </c>
      <c r="D947">
        <v>193</v>
      </c>
      <c r="E947" t="s">
        <v>20</v>
      </c>
      <c r="F947" t="s">
        <v>21</v>
      </c>
      <c r="G947" t="s">
        <v>48</v>
      </c>
      <c r="H947">
        <v>1.457305985223676</v>
      </c>
      <c r="I947">
        <v>3</v>
      </c>
      <c r="J947" t="s">
        <v>16</v>
      </c>
      <c r="K947" s="59" t="s">
        <v>23</v>
      </c>
    </row>
    <row r="948" spans="1:11" x14ac:dyDescent="0.2">
      <c r="A948" t="s">
        <v>987</v>
      </c>
      <c r="B948">
        <v>2020</v>
      </c>
      <c r="C948" t="s">
        <v>19</v>
      </c>
      <c r="D948">
        <v>102</v>
      </c>
      <c r="E948" t="s">
        <v>20</v>
      </c>
      <c r="F948" t="s">
        <v>21</v>
      </c>
      <c r="G948" t="s">
        <v>36</v>
      </c>
      <c r="H948">
        <v>1.207133472294913</v>
      </c>
      <c r="I948">
        <v>3</v>
      </c>
      <c r="J948" t="s">
        <v>16</v>
      </c>
      <c r="K948" s="59" t="s">
        <v>16</v>
      </c>
    </row>
    <row r="949" spans="1:11" x14ac:dyDescent="0.2">
      <c r="A949" t="s">
        <v>988</v>
      </c>
      <c r="B949">
        <v>2021</v>
      </c>
      <c r="C949" t="s">
        <v>19</v>
      </c>
      <c r="D949">
        <v>156</v>
      </c>
      <c r="E949" t="s">
        <v>13</v>
      </c>
      <c r="F949" t="s">
        <v>14</v>
      </c>
      <c r="G949" t="s">
        <v>15</v>
      </c>
      <c r="H949">
        <v>-0.36061427539200458</v>
      </c>
      <c r="I949">
        <v>4</v>
      </c>
      <c r="J949" t="s">
        <v>23</v>
      </c>
      <c r="K949" s="59" t="s">
        <v>17</v>
      </c>
    </row>
    <row r="950" spans="1:11" x14ac:dyDescent="0.2">
      <c r="A950" t="s">
        <v>989</v>
      </c>
      <c r="B950">
        <v>2021</v>
      </c>
      <c r="C950" t="s">
        <v>33</v>
      </c>
      <c r="D950">
        <v>236</v>
      </c>
      <c r="E950" t="s">
        <v>13</v>
      </c>
      <c r="F950" t="s">
        <v>14</v>
      </c>
      <c r="G950" t="s">
        <v>15</v>
      </c>
      <c r="H950">
        <v>0.37470103989477938</v>
      </c>
      <c r="I950">
        <v>4</v>
      </c>
      <c r="J950" t="s">
        <v>23</v>
      </c>
      <c r="K950" s="59" t="s">
        <v>4376</v>
      </c>
    </row>
    <row r="951" spans="1:11" x14ac:dyDescent="0.2">
      <c r="A951" t="s">
        <v>990</v>
      </c>
      <c r="B951">
        <v>2019</v>
      </c>
      <c r="C951" t="s">
        <v>19</v>
      </c>
      <c r="D951">
        <v>120</v>
      </c>
      <c r="E951" t="s">
        <v>25</v>
      </c>
      <c r="F951" t="s">
        <v>26</v>
      </c>
      <c r="G951" t="s">
        <v>15</v>
      </c>
      <c r="H951">
        <v>-1.1444881492354639</v>
      </c>
      <c r="I951">
        <v>2</v>
      </c>
      <c r="J951" t="s">
        <v>16</v>
      </c>
      <c r="K951" s="59" t="s">
        <v>4376</v>
      </c>
    </row>
    <row r="952" spans="1:11" x14ac:dyDescent="0.2">
      <c r="A952" t="s">
        <v>991</v>
      </c>
      <c r="B952">
        <v>2018</v>
      </c>
      <c r="C952" t="s">
        <v>19</v>
      </c>
      <c r="D952">
        <v>135</v>
      </c>
      <c r="E952" t="s">
        <v>13</v>
      </c>
      <c r="F952" t="s">
        <v>14</v>
      </c>
      <c r="G952" t="s">
        <v>15</v>
      </c>
      <c r="H952">
        <v>1.796512324808792</v>
      </c>
      <c r="I952">
        <v>4</v>
      </c>
      <c r="J952" t="s">
        <v>17</v>
      </c>
      <c r="K952" s="59" t="s">
        <v>17</v>
      </c>
    </row>
    <row r="953" spans="1:11" x14ac:dyDescent="0.2">
      <c r="A953" t="s">
        <v>992</v>
      </c>
      <c r="B953">
        <v>2023</v>
      </c>
      <c r="C953" t="s">
        <v>12</v>
      </c>
      <c r="D953">
        <v>393</v>
      </c>
      <c r="E953" t="s">
        <v>38</v>
      </c>
      <c r="F953" t="s">
        <v>39</v>
      </c>
      <c r="G953" t="s">
        <v>15</v>
      </c>
      <c r="H953">
        <v>-5.0426212774462454E-3</v>
      </c>
      <c r="I953">
        <v>3</v>
      </c>
      <c r="J953" t="s">
        <v>16</v>
      </c>
      <c r="K953" s="59" t="s">
        <v>4376</v>
      </c>
    </row>
    <row r="954" spans="1:11" x14ac:dyDescent="0.2">
      <c r="A954" t="s">
        <v>993</v>
      </c>
      <c r="B954">
        <v>2018</v>
      </c>
      <c r="C954" t="s">
        <v>33</v>
      </c>
      <c r="D954">
        <v>67</v>
      </c>
      <c r="E954" t="s">
        <v>38</v>
      </c>
      <c r="F954" t="s">
        <v>39</v>
      </c>
      <c r="G954" t="s">
        <v>15</v>
      </c>
      <c r="H954">
        <v>-0.24001829480070361</v>
      </c>
      <c r="I954">
        <v>3</v>
      </c>
      <c r="J954" t="s">
        <v>23</v>
      </c>
      <c r="K954" s="59" t="s">
        <v>17</v>
      </c>
    </row>
    <row r="955" spans="1:11" x14ac:dyDescent="0.2">
      <c r="A955" t="s">
        <v>994</v>
      </c>
      <c r="B955">
        <v>2019</v>
      </c>
      <c r="C955" t="s">
        <v>33</v>
      </c>
      <c r="D955">
        <v>88</v>
      </c>
      <c r="E955" t="s">
        <v>25</v>
      </c>
      <c r="F955" t="s">
        <v>26</v>
      </c>
      <c r="G955" t="s">
        <v>15</v>
      </c>
      <c r="H955">
        <v>0.65381073781717702</v>
      </c>
      <c r="I955">
        <v>2</v>
      </c>
      <c r="J955" t="s">
        <v>17</v>
      </c>
      <c r="K955" s="59" t="s">
        <v>4376</v>
      </c>
    </row>
    <row r="956" spans="1:11" x14ac:dyDescent="0.2">
      <c r="A956" t="s">
        <v>995</v>
      </c>
      <c r="B956">
        <v>2016</v>
      </c>
      <c r="C956" t="s">
        <v>33</v>
      </c>
      <c r="D956">
        <v>65</v>
      </c>
      <c r="E956" t="s">
        <v>29</v>
      </c>
      <c r="F956" t="s">
        <v>30</v>
      </c>
      <c r="G956" t="s">
        <v>34</v>
      </c>
      <c r="H956">
        <v>-1.928362023078922</v>
      </c>
      <c r="I956">
        <v>4</v>
      </c>
      <c r="J956" t="s">
        <v>17</v>
      </c>
      <c r="K956" s="59" t="s">
        <v>4376</v>
      </c>
    </row>
    <row r="957" spans="1:11" x14ac:dyDescent="0.2">
      <c r="A957" t="s">
        <v>996</v>
      </c>
      <c r="B957">
        <v>2019</v>
      </c>
      <c r="C957" t="s">
        <v>19</v>
      </c>
      <c r="D957">
        <v>114</v>
      </c>
      <c r="E957" t="s">
        <v>20</v>
      </c>
      <c r="F957" t="s">
        <v>21</v>
      </c>
      <c r="G957" t="s">
        <v>15</v>
      </c>
      <c r="H957">
        <v>-0.2496232844053205</v>
      </c>
      <c r="I957">
        <v>3</v>
      </c>
      <c r="J957" t="s">
        <v>16</v>
      </c>
      <c r="K957" s="59" t="s">
        <v>17</v>
      </c>
    </row>
    <row r="958" spans="1:11" x14ac:dyDescent="0.2">
      <c r="A958" t="s">
        <v>997</v>
      </c>
      <c r="B958">
        <v>2020</v>
      </c>
      <c r="C958" t="s">
        <v>19</v>
      </c>
      <c r="D958">
        <v>49</v>
      </c>
      <c r="E958" t="s">
        <v>25</v>
      </c>
      <c r="F958" t="s">
        <v>26</v>
      </c>
      <c r="G958" t="s">
        <v>15</v>
      </c>
      <c r="H958">
        <v>-1.6724032071300381</v>
      </c>
      <c r="I958">
        <v>2</v>
      </c>
      <c r="J958" t="s">
        <v>23</v>
      </c>
      <c r="K958" s="59" t="s">
        <v>23</v>
      </c>
    </row>
    <row r="959" spans="1:11" x14ac:dyDescent="0.2">
      <c r="A959" t="s">
        <v>998</v>
      </c>
      <c r="B959">
        <v>2018</v>
      </c>
      <c r="C959" t="s">
        <v>19</v>
      </c>
      <c r="D959">
        <v>67</v>
      </c>
      <c r="E959" t="s">
        <v>38</v>
      </c>
      <c r="F959" t="s">
        <v>39</v>
      </c>
      <c r="G959" t="s">
        <v>15</v>
      </c>
      <c r="H959">
        <v>-0.24001829480070361</v>
      </c>
      <c r="I959">
        <v>3</v>
      </c>
      <c r="J959" t="s">
        <v>23</v>
      </c>
      <c r="K959" s="59" t="s">
        <v>17</v>
      </c>
    </row>
    <row r="960" spans="1:11" x14ac:dyDescent="0.2">
      <c r="A960" t="s">
        <v>999</v>
      </c>
      <c r="B960">
        <v>2018</v>
      </c>
      <c r="C960" t="s">
        <v>19</v>
      </c>
      <c r="D960">
        <v>41</v>
      </c>
      <c r="E960" t="s">
        <v>20</v>
      </c>
      <c r="F960" t="s">
        <v>21</v>
      </c>
      <c r="G960" t="s">
        <v>15</v>
      </c>
      <c r="H960">
        <v>-1.1444881492354639</v>
      </c>
      <c r="I960">
        <v>3</v>
      </c>
      <c r="J960" t="s">
        <v>23</v>
      </c>
      <c r="K960" s="59" t="s">
        <v>17</v>
      </c>
    </row>
    <row r="961" spans="1:11" x14ac:dyDescent="0.2">
      <c r="A961" t="s">
        <v>1000</v>
      </c>
      <c r="B961">
        <v>2021</v>
      </c>
      <c r="C961" t="s">
        <v>19</v>
      </c>
      <c r="D961">
        <v>345</v>
      </c>
      <c r="E961" t="s">
        <v>38</v>
      </c>
      <c r="F961" t="s">
        <v>39</v>
      </c>
      <c r="G961" t="s">
        <v>15</v>
      </c>
      <c r="H961">
        <v>0.86028662546152379</v>
      </c>
      <c r="I961">
        <v>3</v>
      </c>
      <c r="J961" t="s">
        <v>23</v>
      </c>
      <c r="K961" s="59" t="s">
        <v>17</v>
      </c>
    </row>
    <row r="962" spans="1:11" x14ac:dyDescent="0.2">
      <c r="A962" t="s">
        <v>1001</v>
      </c>
      <c r="B962">
        <v>2021</v>
      </c>
      <c r="C962" t="s">
        <v>19</v>
      </c>
      <c r="D962">
        <v>173</v>
      </c>
      <c r="E962" t="s">
        <v>25</v>
      </c>
      <c r="F962" t="s">
        <v>26</v>
      </c>
      <c r="G962" t="s">
        <v>15</v>
      </c>
      <c r="H962">
        <v>0.3672686074626354</v>
      </c>
      <c r="I962">
        <v>2</v>
      </c>
      <c r="J962" t="s">
        <v>23</v>
      </c>
      <c r="K962" s="59" t="s">
        <v>16</v>
      </c>
    </row>
    <row r="963" spans="1:11" x14ac:dyDescent="0.2">
      <c r="A963" t="s">
        <v>1002</v>
      </c>
      <c r="B963">
        <v>2018</v>
      </c>
      <c r="C963" t="s">
        <v>19</v>
      </c>
      <c r="D963">
        <v>67</v>
      </c>
      <c r="E963" t="s">
        <v>38</v>
      </c>
      <c r="F963" t="s">
        <v>39</v>
      </c>
      <c r="G963" t="s">
        <v>15</v>
      </c>
      <c r="H963">
        <v>-0.24001829480070361</v>
      </c>
      <c r="I963">
        <v>3</v>
      </c>
      <c r="J963" t="s">
        <v>23</v>
      </c>
      <c r="K963" s="59" t="s">
        <v>17</v>
      </c>
    </row>
    <row r="964" spans="1:11" x14ac:dyDescent="0.2">
      <c r="A964" t="s">
        <v>1003</v>
      </c>
      <c r="B964">
        <v>2021</v>
      </c>
      <c r="C964" t="s">
        <v>33</v>
      </c>
      <c r="D964">
        <v>343</v>
      </c>
      <c r="E964" t="s">
        <v>38</v>
      </c>
      <c r="F964" t="s">
        <v>39</v>
      </c>
      <c r="G964" t="s">
        <v>15</v>
      </c>
      <c r="H964">
        <v>0.79091725609484598</v>
      </c>
      <c r="I964">
        <v>3</v>
      </c>
      <c r="J964" t="s">
        <v>23</v>
      </c>
      <c r="K964" s="59" t="s">
        <v>4376</v>
      </c>
    </row>
    <row r="965" spans="1:11" x14ac:dyDescent="0.2">
      <c r="A965" t="s">
        <v>1004</v>
      </c>
      <c r="B965">
        <v>2017</v>
      </c>
      <c r="C965" t="s">
        <v>19</v>
      </c>
      <c r="D965">
        <v>163</v>
      </c>
      <c r="E965" t="s">
        <v>13</v>
      </c>
      <c r="F965" t="s">
        <v>14</v>
      </c>
      <c r="G965" t="s">
        <v>15</v>
      </c>
      <c r="H965">
        <v>1.5067031056108839</v>
      </c>
      <c r="I965">
        <v>4</v>
      </c>
      <c r="J965" t="s">
        <v>23</v>
      </c>
      <c r="K965" s="59" t="s">
        <v>16</v>
      </c>
    </row>
    <row r="966" spans="1:11" x14ac:dyDescent="0.2">
      <c r="A966" t="s">
        <v>1005</v>
      </c>
      <c r="B966">
        <v>2018</v>
      </c>
      <c r="C966" t="s">
        <v>33</v>
      </c>
      <c r="D966">
        <v>67</v>
      </c>
      <c r="E966" t="s">
        <v>38</v>
      </c>
      <c r="F966" t="s">
        <v>39</v>
      </c>
      <c r="G966" t="s">
        <v>15</v>
      </c>
      <c r="H966">
        <v>-0.24001829480070361</v>
      </c>
      <c r="I966">
        <v>3</v>
      </c>
      <c r="J966" t="s">
        <v>23</v>
      </c>
      <c r="K966" s="59" t="s">
        <v>16</v>
      </c>
    </row>
    <row r="967" spans="1:11" x14ac:dyDescent="0.2">
      <c r="A967" t="s">
        <v>1006</v>
      </c>
      <c r="B967">
        <v>2019</v>
      </c>
      <c r="C967" t="s">
        <v>33</v>
      </c>
      <c r="D967">
        <v>102</v>
      </c>
      <c r="E967" t="s">
        <v>20</v>
      </c>
      <c r="F967" t="s">
        <v>21</v>
      </c>
      <c r="G967" t="s">
        <v>15</v>
      </c>
      <c r="H967">
        <v>0.24728791248659579</v>
      </c>
      <c r="I967">
        <v>3</v>
      </c>
      <c r="J967" t="s">
        <v>17</v>
      </c>
      <c r="K967" s="59" t="s">
        <v>4376</v>
      </c>
    </row>
    <row r="968" spans="1:11" x14ac:dyDescent="0.2">
      <c r="A968" t="s">
        <v>1007</v>
      </c>
      <c r="B968">
        <v>2018</v>
      </c>
      <c r="C968" t="s">
        <v>12</v>
      </c>
      <c r="D968">
        <v>149</v>
      </c>
      <c r="E968" t="s">
        <v>20</v>
      </c>
      <c r="F968" t="s">
        <v>21</v>
      </c>
      <c r="G968" t="s">
        <v>15</v>
      </c>
      <c r="H968">
        <v>-8.1426320324471585E-2</v>
      </c>
      <c r="I968">
        <v>3</v>
      </c>
      <c r="J968" t="s">
        <v>23</v>
      </c>
      <c r="K968" s="59" t="s">
        <v>17</v>
      </c>
    </row>
    <row r="969" spans="1:11" x14ac:dyDescent="0.2">
      <c r="A969" t="s">
        <v>1008</v>
      </c>
      <c r="B969">
        <v>2021</v>
      </c>
      <c r="C969" t="s">
        <v>33</v>
      </c>
      <c r="D969">
        <v>343</v>
      </c>
      <c r="E969" t="s">
        <v>38</v>
      </c>
      <c r="F969" t="s">
        <v>39</v>
      </c>
      <c r="G969" t="s">
        <v>15</v>
      </c>
      <c r="H969">
        <v>0.79091725609484598</v>
      </c>
      <c r="I969">
        <v>3</v>
      </c>
      <c r="J969" t="s">
        <v>23</v>
      </c>
      <c r="K969" s="59" t="s">
        <v>4376</v>
      </c>
    </row>
    <row r="970" spans="1:11" x14ac:dyDescent="0.2">
      <c r="A970" t="s">
        <v>1009</v>
      </c>
      <c r="B970">
        <v>2018</v>
      </c>
      <c r="C970" t="s">
        <v>19</v>
      </c>
      <c r="D970">
        <v>67</v>
      </c>
      <c r="E970" t="s">
        <v>38</v>
      </c>
      <c r="F970" t="s">
        <v>39</v>
      </c>
      <c r="G970" t="s">
        <v>15</v>
      </c>
      <c r="H970">
        <v>-0.24001829480070361</v>
      </c>
      <c r="I970">
        <v>3</v>
      </c>
      <c r="J970" t="s">
        <v>23</v>
      </c>
      <c r="K970" s="59" t="s">
        <v>17</v>
      </c>
    </row>
    <row r="971" spans="1:11" x14ac:dyDescent="0.2">
      <c r="A971" t="s">
        <v>1010</v>
      </c>
      <c r="B971">
        <v>2021</v>
      </c>
      <c r="C971" t="s">
        <v>33</v>
      </c>
      <c r="D971">
        <v>343</v>
      </c>
      <c r="E971" t="s">
        <v>38</v>
      </c>
      <c r="F971" t="s">
        <v>39</v>
      </c>
      <c r="G971" t="s">
        <v>15</v>
      </c>
      <c r="H971">
        <v>0.79091725609484598</v>
      </c>
      <c r="I971">
        <v>3</v>
      </c>
      <c r="J971" t="s">
        <v>23</v>
      </c>
      <c r="K971" s="59" t="s">
        <v>4376</v>
      </c>
    </row>
    <row r="972" spans="1:11" x14ac:dyDescent="0.2">
      <c r="A972" t="s">
        <v>1011</v>
      </c>
      <c r="B972">
        <v>2022</v>
      </c>
      <c r="C972" t="s">
        <v>33</v>
      </c>
      <c r="D972">
        <v>257</v>
      </c>
      <c r="E972" t="s">
        <v>13</v>
      </c>
      <c r="F972" t="s">
        <v>14</v>
      </c>
      <c r="G972" t="s">
        <v>22</v>
      </c>
      <c r="H972">
        <v>-0.14556923035530381</v>
      </c>
      <c r="I972">
        <v>4</v>
      </c>
      <c r="J972" t="s">
        <v>17</v>
      </c>
      <c r="K972" s="59" t="s">
        <v>4376</v>
      </c>
    </row>
    <row r="973" spans="1:11" x14ac:dyDescent="0.2">
      <c r="A973" t="s">
        <v>1012</v>
      </c>
      <c r="B973">
        <v>2023</v>
      </c>
      <c r="C973" t="s">
        <v>12</v>
      </c>
      <c r="D973">
        <v>393</v>
      </c>
      <c r="E973" t="s">
        <v>38</v>
      </c>
      <c r="F973" t="s">
        <v>39</v>
      </c>
      <c r="G973" t="s">
        <v>15</v>
      </c>
      <c r="H973">
        <v>-5.0426212774462454E-3</v>
      </c>
      <c r="I973">
        <v>3</v>
      </c>
      <c r="J973" t="s">
        <v>16</v>
      </c>
      <c r="K973" s="59" t="s">
        <v>4376</v>
      </c>
    </row>
    <row r="974" spans="1:11" x14ac:dyDescent="0.2">
      <c r="A974" t="s">
        <v>1013</v>
      </c>
      <c r="B974">
        <v>2018</v>
      </c>
      <c r="C974" t="s">
        <v>19</v>
      </c>
      <c r="D974">
        <v>48</v>
      </c>
      <c r="E974" t="s">
        <v>38</v>
      </c>
      <c r="F974" t="s">
        <v>39</v>
      </c>
      <c r="G974" t="s">
        <v>15</v>
      </c>
      <c r="H974">
        <v>1.207133472294913</v>
      </c>
      <c r="I974">
        <v>3</v>
      </c>
      <c r="J974" t="s">
        <v>16</v>
      </c>
      <c r="K974" s="59" t="s">
        <v>17</v>
      </c>
    </row>
    <row r="975" spans="1:11" x14ac:dyDescent="0.2">
      <c r="A975" t="s">
        <v>1014</v>
      </c>
      <c r="B975">
        <v>2021</v>
      </c>
      <c r="C975" t="s">
        <v>33</v>
      </c>
      <c r="D975">
        <v>411</v>
      </c>
      <c r="E975" t="s">
        <v>29</v>
      </c>
      <c r="F975" t="s">
        <v>30</v>
      </c>
      <c r="G975" t="s">
        <v>15</v>
      </c>
      <c r="H975">
        <v>0.34487221106710803</v>
      </c>
      <c r="I975">
        <v>4</v>
      </c>
      <c r="J975" t="s">
        <v>23</v>
      </c>
      <c r="K975" s="59" t="s">
        <v>4376</v>
      </c>
    </row>
    <row r="976" spans="1:11" x14ac:dyDescent="0.2">
      <c r="A976" t="s">
        <v>1015</v>
      </c>
      <c r="B976">
        <v>2019</v>
      </c>
      <c r="C976" t="s">
        <v>33</v>
      </c>
      <c r="D976">
        <v>148</v>
      </c>
      <c r="E976" t="s">
        <v>38</v>
      </c>
      <c r="F976" t="s">
        <v>39</v>
      </c>
      <c r="G976" t="s">
        <v>15</v>
      </c>
      <c r="H976">
        <v>1.207133472294913</v>
      </c>
      <c r="I976">
        <v>3</v>
      </c>
      <c r="J976" t="s">
        <v>23</v>
      </c>
      <c r="K976" s="59" t="s">
        <v>17</v>
      </c>
    </row>
    <row r="977" spans="1:11" x14ac:dyDescent="0.2">
      <c r="A977" t="s">
        <v>1016</v>
      </c>
      <c r="B977">
        <v>2021</v>
      </c>
      <c r="C977" t="s">
        <v>19</v>
      </c>
      <c r="D977">
        <v>382</v>
      </c>
      <c r="E977" t="s">
        <v>29</v>
      </c>
      <c r="F977" t="s">
        <v>30</v>
      </c>
      <c r="G977" t="s">
        <v>15</v>
      </c>
      <c r="H977">
        <v>-0.1911280323988247</v>
      </c>
      <c r="I977">
        <v>4</v>
      </c>
      <c r="J977" t="s">
        <v>23</v>
      </c>
      <c r="K977" s="59" t="s">
        <v>16</v>
      </c>
    </row>
    <row r="978" spans="1:11" x14ac:dyDescent="0.2">
      <c r="A978" t="s">
        <v>1017</v>
      </c>
      <c r="B978">
        <v>2018</v>
      </c>
      <c r="C978" t="s">
        <v>33</v>
      </c>
      <c r="D978">
        <v>67</v>
      </c>
      <c r="E978" t="s">
        <v>38</v>
      </c>
      <c r="F978" t="s">
        <v>39</v>
      </c>
      <c r="G978" t="s">
        <v>15</v>
      </c>
      <c r="H978">
        <v>-0.24001829480070361</v>
      </c>
      <c r="I978">
        <v>3</v>
      </c>
      <c r="J978" t="s">
        <v>23</v>
      </c>
      <c r="K978" s="59" t="s">
        <v>23</v>
      </c>
    </row>
    <row r="979" spans="1:11" x14ac:dyDescent="0.2">
      <c r="A979" t="s">
        <v>1018</v>
      </c>
      <c r="B979">
        <v>2019</v>
      </c>
      <c r="C979" t="s">
        <v>19</v>
      </c>
      <c r="D979">
        <v>79</v>
      </c>
      <c r="E979" t="s">
        <v>25</v>
      </c>
      <c r="F979" t="s">
        <v>26</v>
      </c>
      <c r="G979" t="s">
        <v>48</v>
      </c>
      <c r="H979">
        <v>1.207133472294913</v>
      </c>
      <c r="I979">
        <v>2</v>
      </c>
      <c r="J979" t="s">
        <v>23</v>
      </c>
      <c r="K979" s="59" t="s">
        <v>17</v>
      </c>
    </row>
    <row r="980" spans="1:11" x14ac:dyDescent="0.2">
      <c r="A980" t="s">
        <v>1019</v>
      </c>
      <c r="B980">
        <v>2020</v>
      </c>
      <c r="C980" t="s">
        <v>12</v>
      </c>
      <c r="D980">
        <v>62</v>
      </c>
      <c r="E980" t="s">
        <v>20</v>
      </c>
      <c r="F980" t="s">
        <v>21</v>
      </c>
      <c r="G980" t="s">
        <v>22</v>
      </c>
      <c r="H980">
        <v>0.43610998982593668</v>
      </c>
      <c r="I980">
        <v>3</v>
      </c>
      <c r="J980" t="s">
        <v>23</v>
      </c>
      <c r="K980" s="59" t="s">
        <v>17</v>
      </c>
    </row>
    <row r="981" spans="1:11" x14ac:dyDescent="0.2">
      <c r="A981" t="s">
        <v>1020</v>
      </c>
      <c r="B981">
        <v>2018</v>
      </c>
      <c r="C981" t="s">
        <v>19</v>
      </c>
      <c r="D981">
        <v>68</v>
      </c>
      <c r="E981" t="s">
        <v>38</v>
      </c>
      <c r="F981" t="s">
        <v>39</v>
      </c>
      <c r="G981" t="s">
        <v>15</v>
      </c>
      <c r="H981">
        <v>-0.21809175287501251</v>
      </c>
      <c r="I981">
        <v>3</v>
      </c>
      <c r="J981" t="s">
        <v>23</v>
      </c>
      <c r="K981" s="59" t="s">
        <v>17</v>
      </c>
    </row>
    <row r="982" spans="1:11" x14ac:dyDescent="0.2">
      <c r="A982" t="s">
        <v>1021</v>
      </c>
      <c r="B982">
        <v>2022</v>
      </c>
      <c r="C982" t="s">
        <v>33</v>
      </c>
      <c r="D982">
        <v>352</v>
      </c>
      <c r="E982" t="s">
        <v>53</v>
      </c>
      <c r="F982" t="s">
        <v>54</v>
      </c>
      <c r="G982" t="s">
        <v>36</v>
      </c>
      <c r="H982">
        <v>5.4377775466296963E-2</v>
      </c>
      <c r="I982">
        <v>3</v>
      </c>
      <c r="J982" t="s">
        <v>16</v>
      </c>
      <c r="K982" s="59" t="s">
        <v>17</v>
      </c>
    </row>
    <row r="983" spans="1:11" x14ac:dyDescent="0.2">
      <c r="A983" t="s">
        <v>1022</v>
      </c>
      <c r="B983">
        <v>2019</v>
      </c>
      <c r="C983" t="s">
        <v>33</v>
      </c>
      <c r="D983">
        <v>48</v>
      </c>
      <c r="E983" t="s">
        <v>20</v>
      </c>
      <c r="F983" t="s">
        <v>21</v>
      </c>
      <c r="G983" t="s">
        <v>15</v>
      </c>
      <c r="H983">
        <v>-0.75255121231373412</v>
      </c>
      <c r="I983">
        <v>3</v>
      </c>
      <c r="J983" t="s">
        <v>23</v>
      </c>
      <c r="K983" s="59" t="s">
        <v>17</v>
      </c>
    </row>
    <row r="984" spans="1:11" x14ac:dyDescent="0.2">
      <c r="A984" t="s">
        <v>1023</v>
      </c>
      <c r="B984">
        <v>2021</v>
      </c>
      <c r="C984" t="s">
        <v>19</v>
      </c>
      <c r="D984">
        <v>92</v>
      </c>
      <c r="E984" t="s">
        <v>25</v>
      </c>
      <c r="F984" t="s">
        <v>26</v>
      </c>
      <c r="G984" t="s">
        <v>15</v>
      </c>
      <c r="H984">
        <v>-1.732393554618058</v>
      </c>
      <c r="I984">
        <v>2</v>
      </c>
      <c r="J984" t="s">
        <v>23</v>
      </c>
      <c r="K984" s="59" t="s">
        <v>17</v>
      </c>
    </row>
    <row r="985" spans="1:11" x14ac:dyDescent="0.2">
      <c r="A985" t="s">
        <v>1024</v>
      </c>
      <c r="B985">
        <v>2021</v>
      </c>
      <c r="C985" t="s">
        <v>19</v>
      </c>
      <c r="D985">
        <v>136</v>
      </c>
      <c r="E985" t="s">
        <v>25</v>
      </c>
      <c r="F985" t="s">
        <v>26</v>
      </c>
      <c r="G985" t="s">
        <v>15</v>
      </c>
      <c r="H985">
        <v>-0.54780803630984565</v>
      </c>
      <c r="I985">
        <v>2</v>
      </c>
      <c r="J985" t="s">
        <v>23</v>
      </c>
      <c r="K985" s="59" t="s">
        <v>16</v>
      </c>
    </row>
    <row r="986" spans="1:11" x14ac:dyDescent="0.2">
      <c r="A986" t="s">
        <v>1025</v>
      </c>
      <c r="B986">
        <v>2018</v>
      </c>
      <c r="C986" t="s">
        <v>19</v>
      </c>
      <c r="D986">
        <v>67</v>
      </c>
      <c r="E986" t="s">
        <v>38</v>
      </c>
      <c r="F986" t="s">
        <v>39</v>
      </c>
      <c r="G986" t="s">
        <v>15</v>
      </c>
      <c r="H986">
        <v>-0.24001829480070361</v>
      </c>
      <c r="I986">
        <v>3</v>
      </c>
      <c r="J986" t="s">
        <v>23</v>
      </c>
      <c r="K986" s="59" t="s">
        <v>23</v>
      </c>
    </row>
    <row r="987" spans="1:11" x14ac:dyDescent="0.2">
      <c r="A987" t="s">
        <v>1026</v>
      </c>
      <c r="B987">
        <v>2019</v>
      </c>
      <c r="C987" t="s">
        <v>19</v>
      </c>
      <c r="D987">
        <v>36</v>
      </c>
      <c r="E987" t="s">
        <v>25</v>
      </c>
      <c r="F987" t="s">
        <v>26</v>
      </c>
      <c r="G987" t="s">
        <v>15</v>
      </c>
      <c r="H987">
        <v>-2.712235896922381</v>
      </c>
      <c r="I987">
        <v>2</v>
      </c>
      <c r="J987" t="s">
        <v>23</v>
      </c>
      <c r="K987" s="59" t="s">
        <v>17</v>
      </c>
    </row>
    <row r="988" spans="1:11" x14ac:dyDescent="0.2">
      <c r="A988" t="s">
        <v>1027</v>
      </c>
      <c r="B988">
        <v>2018</v>
      </c>
      <c r="C988" t="s">
        <v>12</v>
      </c>
      <c r="D988">
        <v>92</v>
      </c>
      <c r="E988" t="s">
        <v>20</v>
      </c>
      <c r="F988" t="s">
        <v>21</v>
      </c>
      <c r="G988" t="s">
        <v>147</v>
      </c>
      <c r="H988">
        <v>0.7272106923907542</v>
      </c>
      <c r="I988">
        <v>3</v>
      </c>
      <c r="J988" t="s">
        <v>16</v>
      </c>
      <c r="K988" s="59" t="s">
        <v>4376</v>
      </c>
    </row>
    <row r="989" spans="1:11" x14ac:dyDescent="0.2">
      <c r="A989" t="s">
        <v>1028</v>
      </c>
      <c r="B989">
        <v>2018</v>
      </c>
      <c r="C989" t="s">
        <v>33</v>
      </c>
      <c r="D989">
        <v>63</v>
      </c>
      <c r="E989" t="s">
        <v>38</v>
      </c>
      <c r="F989" t="s">
        <v>39</v>
      </c>
      <c r="G989" t="s">
        <v>15</v>
      </c>
      <c r="H989">
        <v>-0.33491349264303921</v>
      </c>
      <c r="I989">
        <v>3</v>
      </c>
      <c r="J989" t="s">
        <v>23</v>
      </c>
      <c r="K989" s="59" t="s">
        <v>4376</v>
      </c>
    </row>
    <row r="990" spans="1:11" x14ac:dyDescent="0.2">
      <c r="A990" t="s">
        <v>1029</v>
      </c>
      <c r="B990">
        <v>2024</v>
      </c>
      <c r="C990" t="s">
        <v>33</v>
      </c>
      <c r="D990">
        <v>598</v>
      </c>
      <c r="E990" t="s">
        <v>53</v>
      </c>
      <c r="F990" t="s">
        <v>54</v>
      </c>
      <c r="G990" t="s">
        <v>15</v>
      </c>
      <c r="H990">
        <v>-0.340911879999171</v>
      </c>
      <c r="I990">
        <v>3</v>
      </c>
      <c r="J990" t="s">
        <v>16</v>
      </c>
      <c r="K990" s="59" t="s">
        <v>4376</v>
      </c>
    </row>
    <row r="991" spans="1:11" x14ac:dyDescent="0.2">
      <c r="A991" t="s">
        <v>1030</v>
      </c>
      <c r="B991">
        <v>2024</v>
      </c>
      <c r="C991" t="s">
        <v>33</v>
      </c>
      <c r="D991">
        <v>598</v>
      </c>
      <c r="E991" t="s">
        <v>53</v>
      </c>
      <c r="F991" t="s">
        <v>54</v>
      </c>
      <c r="G991" t="s">
        <v>15</v>
      </c>
      <c r="H991">
        <v>-0.340911879999171</v>
      </c>
      <c r="I991">
        <v>3</v>
      </c>
      <c r="J991" t="s">
        <v>16</v>
      </c>
      <c r="K991" s="59" t="s">
        <v>23</v>
      </c>
    </row>
    <row r="992" spans="1:11" x14ac:dyDescent="0.2">
      <c r="A992" t="s">
        <v>1031</v>
      </c>
      <c r="B992">
        <v>2024</v>
      </c>
      <c r="C992" t="s">
        <v>33</v>
      </c>
      <c r="D992">
        <v>598</v>
      </c>
      <c r="E992" t="s">
        <v>53</v>
      </c>
      <c r="F992" t="s">
        <v>54</v>
      </c>
      <c r="G992" t="s">
        <v>15</v>
      </c>
      <c r="H992">
        <v>-0.340911879999171</v>
      </c>
      <c r="I992">
        <v>3</v>
      </c>
      <c r="J992" t="s">
        <v>16</v>
      </c>
      <c r="K992" s="59" t="s">
        <v>4376</v>
      </c>
    </row>
    <row r="993" spans="1:11" x14ac:dyDescent="0.2">
      <c r="A993" t="s">
        <v>1032</v>
      </c>
      <c r="B993">
        <v>2023</v>
      </c>
      <c r="C993" t="s">
        <v>12</v>
      </c>
      <c r="D993">
        <v>393</v>
      </c>
      <c r="E993" t="s">
        <v>38</v>
      </c>
      <c r="F993" t="s">
        <v>39</v>
      </c>
      <c r="G993" t="s">
        <v>15</v>
      </c>
      <c r="H993">
        <v>-5.0426212774462454E-3</v>
      </c>
      <c r="I993">
        <v>3</v>
      </c>
      <c r="J993" t="s">
        <v>16</v>
      </c>
      <c r="K993" s="59" t="s">
        <v>4376</v>
      </c>
    </row>
    <row r="994" spans="1:11" x14ac:dyDescent="0.2">
      <c r="A994" t="s">
        <v>1033</v>
      </c>
      <c r="B994">
        <v>2023</v>
      </c>
      <c r="C994" t="s">
        <v>12</v>
      </c>
      <c r="D994">
        <v>63</v>
      </c>
      <c r="E994" t="s">
        <v>20</v>
      </c>
      <c r="F994" t="s">
        <v>21</v>
      </c>
      <c r="G994" t="s">
        <v>15</v>
      </c>
      <c r="H994">
        <v>-0.28595962074024678</v>
      </c>
      <c r="I994">
        <v>3</v>
      </c>
      <c r="J994" t="s">
        <v>23</v>
      </c>
      <c r="K994" s="59" t="s">
        <v>4376</v>
      </c>
    </row>
    <row r="995" spans="1:11" x14ac:dyDescent="0.2">
      <c r="A995" t="s">
        <v>1034</v>
      </c>
      <c r="B995">
        <v>2019</v>
      </c>
      <c r="C995" t="s">
        <v>33</v>
      </c>
      <c r="D995">
        <v>51</v>
      </c>
      <c r="E995" t="s">
        <v>20</v>
      </c>
      <c r="F995" t="s">
        <v>21</v>
      </c>
      <c r="G995" t="s">
        <v>15</v>
      </c>
      <c r="H995">
        <v>1.207133472294913</v>
      </c>
      <c r="I995">
        <v>3</v>
      </c>
      <c r="J995" t="s">
        <v>23</v>
      </c>
      <c r="K995" s="59" t="s">
        <v>4376</v>
      </c>
    </row>
    <row r="996" spans="1:11" x14ac:dyDescent="0.2">
      <c r="A996" t="s">
        <v>1035</v>
      </c>
      <c r="B996">
        <v>2019</v>
      </c>
      <c r="C996" t="s">
        <v>12</v>
      </c>
      <c r="D996">
        <v>119</v>
      </c>
      <c r="E996" t="s">
        <v>25</v>
      </c>
      <c r="F996" t="s">
        <v>26</v>
      </c>
      <c r="G996" t="s">
        <v>15</v>
      </c>
      <c r="H996">
        <v>1.069611740041674</v>
      </c>
      <c r="I996">
        <v>2</v>
      </c>
      <c r="J996" t="s">
        <v>16</v>
      </c>
      <c r="K996" s="59" t="s">
        <v>17</v>
      </c>
    </row>
    <row r="997" spans="1:11" x14ac:dyDescent="0.2">
      <c r="A997" t="s">
        <v>1036</v>
      </c>
      <c r="B997">
        <v>2018</v>
      </c>
      <c r="C997" t="s">
        <v>12</v>
      </c>
      <c r="D997">
        <v>66</v>
      </c>
      <c r="E997" t="s">
        <v>38</v>
      </c>
      <c r="F997" t="s">
        <v>39</v>
      </c>
      <c r="G997" t="s">
        <v>15</v>
      </c>
      <c r="H997">
        <v>-0.26263004116157262</v>
      </c>
      <c r="I997">
        <v>3</v>
      </c>
      <c r="J997" t="s">
        <v>23</v>
      </c>
      <c r="K997" s="59" t="s">
        <v>16</v>
      </c>
    </row>
    <row r="998" spans="1:11" x14ac:dyDescent="0.2">
      <c r="A998" t="s">
        <v>1037</v>
      </c>
      <c r="B998">
        <v>2025</v>
      </c>
      <c r="C998" t="s">
        <v>12</v>
      </c>
      <c r="D998">
        <v>37</v>
      </c>
      <c r="E998" t="s">
        <v>20</v>
      </c>
      <c r="F998" t="s">
        <v>21</v>
      </c>
      <c r="G998" t="s">
        <v>15</v>
      </c>
      <c r="H998">
        <v>-1.4804340951683741</v>
      </c>
      <c r="I998">
        <v>3</v>
      </c>
      <c r="J998" t="s">
        <v>23</v>
      </c>
      <c r="K998" s="59" t="s">
        <v>16</v>
      </c>
    </row>
    <row r="999" spans="1:11" x14ac:dyDescent="0.2">
      <c r="A999" t="s">
        <v>1038</v>
      </c>
      <c r="B999">
        <v>2019</v>
      </c>
      <c r="C999" t="s">
        <v>19</v>
      </c>
      <c r="D999">
        <v>88</v>
      </c>
      <c r="E999" t="s">
        <v>20</v>
      </c>
      <c r="F999" t="s">
        <v>21</v>
      </c>
      <c r="G999" t="s">
        <v>48</v>
      </c>
      <c r="H999">
        <v>-1.0061574656160299</v>
      </c>
      <c r="I999">
        <v>3</v>
      </c>
      <c r="J999" t="s">
        <v>23</v>
      </c>
      <c r="K999" s="59" t="s">
        <v>23</v>
      </c>
    </row>
    <row r="1000" spans="1:11" x14ac:dyDescent="0.2">
      <c r="A1000" t="s">
        <v>1039</v>
      </c>
      <c r="B1000">
        <v>2019</v>
      </c>
      <c r="C1000" t="s">
        <v>33</v>
      </c>
      <c r="D1000">
        <v>73</v>
      </c>
      <c r="E1000" t="s">
        <v>38</v>
      </c>
      <c r="F1000" t="s">
        <v>39</v>
      </c>
      <c r="G1000" t="s">
        <v>15</v>
      </c>
      <c r="H1000">
        <v>0.53524158042909076</v>
      </c>
      <c r="I1000">
        <v>3</v>
      </c>
      <c r="J1000" t="s">
        <v>23</v>
      </c>
      <c r="K1000" s="59" t="s">
        <v>16</v>
      </c>
    </row>
    <row r="1001" spans="1:11" x14ac:dyDescent="0.2">
      <c r="A1001" t="s">
        <v>1040</v>
      </c>
      <c r="B1001">
        <v>2022</v>
      </c>
      <c r="C1001" t="s">
        <v>33</v>
      </c>
      <c r="D1001">
        <v>497</v>
      </c>
      <c r="E1001" t="s">
        <v>20</v>
      </c>
      <c r="F1001" t="s">
        <v>21</v>
      </c>
      <c r="G1001" t="s">
        <v>15</v>
      </c>
      <c r="H1001">
        <v>0.4403003348393551</v>
      </c>
      <c r="I1001">
        <v>3</v>
      </c>
      <c r="J1001" t="s">
        <v>17</v>
      </c>
      <c r="K1001" s="59" t="s">
        <v>4376</v>
      </c>
    </row>
    <row r="1002" spans="1:11" x14ac:dyDescent="0.2">
      <c r="A1002" t="s">
        <v>1041</v>
      </c>
      <c r="B1002">
        <v>2024</v>
      </c>
      <c r="C1002" t="s">
        <v>33</v>
      </c>
      <c r="D1002">
        <v>598</v>
      </c>
      <c r="E1002" t="s">
        <v>53</v>
      </c>
      <c r="F1002" t="s">
        <v>54</v>
      </c>
      <c r="G1002" t="s">
        <v>15</v>
      </c>
      <c r="H1002">
        <v>-0.340911879999171</v>
      </c>
      <c r="I1002">
        <v>3</v>
      </c>
      <c r="J1002" t="s">
        <v>16</v>
      </c>
      <c r="K1002" s="59" t="s">
        <v>4376</v>
      </c>
    </row>
    <row r="1003" spans="1:11" x14ac:dyDescent="0.2">
      <c r="A1003" t="s">
        <v>1042</v>
      </c>
      <c r="B1003">
        <v>2018</v>
      </c>
      <c r="C1003" t="s">
        <v>19</v>
      </c>
      <c r="D1003">
        <v>67</v>
      </c>
      <c r="E1003" t="s">
        <v>38</v>
      </c>
      <c r="F1003" t="s">
        <v>39</v>
      </c>
      <c r="G1003" t="s">
        <v>15</v>
      </c>
      <c r="H1003">
        <v>-0.24001829480070361</v>
      </c>
      <c r="I1003">
        <v>3</v>
      </c>
      <c r="J1003" t="s">
        <v>23</v>
      </c>
      <c r="K1003" s="59" t="s">
        <v>23</v>
      </c>
    </row>
    <row r="1004" spans="1:11" x14ac:dyDescent="0.2">
      <c r="A1004" t="s">
        <v>1043</v>
      </c>
      <c r="B1004">
        <v>2018</v>
      </c>
      <c r="C1004" t="s">
        <v>12</v>
      </c>
      <c r="D1004">
        <v>120</v>
      </c>
      <c r="E1004" t="s">
        <v>20</v>
      </c>
      <c r="F1004" t="s">
        <v>21</v>
      </c>
      <c r="G1004" t="s">
        <v>15</v>
      </c>
      <c r="H1004">
        <v>1.173666381899163E-3</v>
      </c>
      <c r="I1004">
        <v>3</v>
      </c>
      <c r="J1004" t="s">
        <v>23</v>
      </c>
      <c r="K1004" s="59" t="s">
        <v>23</v>
      </c>
    </row>
    <row r="1005" spans="1:11" x14ac:dyDescent="0.2">
      <c r="A1005" t="s">
        <v>1044</v>
      </c>
      <c r="B1005">
        <v>2019</v>
      </c>
      <c r="C1005" t="s">
        <v>33</v>
      </c>
      <c r="D1005">
        <v>141</v>
      </c>
      <c r="E1005" t="s">
        <v>38</v>
      </c>
      <c r="F1005" t="s">
        <v>39</v>
      </c>
      <c r="G1005" t="s">
        <v>15</v>
      </c>
      <c r="H1005">
        <v>0.8871849523588069</v>
      </c>
      <c r="I1005">
        <v>3</v>
      </c>
      <c r="J1005" t="s">
        <v>23</v>
      </c>
      <c r="K1005" s="59" t="s">
        <v>4376</v>
      </c>
    </row>
    <row r="1006" spans="1:11" x14ac:dyDescent="0.2">
      <c r="A1006" t="s">
        <v>1045</v>
      </c>
      <c r="B1006">
        <v>2019</v>
      </c>
      <c r="C1006" t="s">
        <v>19</v>
      </c>
      <c r="D1006">
        <v>135</v>
      </c>
      <c r="E1006" t="s">
        <v>38</v>
      </c>
      <c r="F1006" t="s">
        <v>39</v>
      </c>
      <c r="G1006" t="s">
        <v>15</v>
      </c>
      <c r="H1006">
        <v>0.85614517057396089</v>
      </c>
      <c r="I1006">
        <v>3</v>
      </c>
      <c r="J1006" t="s">
        <v>23</v>
      </c>
      <c r="K1006" s="59" t="s">
        <v>17</v>
      </c>
    </row>
    <row r="1007" spans="1:11" x14ac:dyDescent="0.2">
      <c r="A1007" t="s">
        <v>1046</v>
      </c>
      <c r="B1007">
        <v>2018</v>
      </c>
      <c r="C1007" t="s">
        <v>19</v>
      </c>
      <c r="D1007">
        <v>53</v>
      </c>
      <c r="E1007" t="s">
        <v>20</v>
      </c>
      <c r="F1007" t="s">
        <v>21</v>
      </c>
      <c r="G1007" t="s">
        <v>15</v>
      </c>
      <c r="H1007">
        <v>2.3927624984031549E-2</v>
      </c>
      <c r="I1007">
        <v>3</v>
      </c>
      <c r="J1007" t="s">
        <v>16</v>
      </c>
      <c r="K1007" s="59" t="s">
        <v>23</v>
      </c>
    </row>
    <row r="1008" spans="1:11" x14ac:dyDescent="0.2">
      <c r="A1008" t="s">
        <v>1047</v>
      </c>
      <c r="B1008">
        <v>2016</v>
      </c>
      <c r="C1008" t="s">
        <v>33</v>
      </c>
      <c r="D1008">
        <v>67</v>
      </c>
      <c r="E1008" t="s">
        <v>29</v>
      </c>
      <c r="F1008" t="s">
        <v>30</v>
      </c>
      <c r="G1008" t="s">
        <v>34</v>
      </c>
      <c r="H1008">
        <v>-1.8347651426200029</v>
      </c>
      <c r="I1008">
        <v>4</v>
      </c>
      <c r="J1008" t="s">
        <v>17</v>
      </c>
      <c r="K1008" s="59" t="s">
        <v>4376</v>
      </c>
    </row>
    <row r="1009" spans="1:11" x14ac:dyDescent="0.2">
      <c r="A1009" t="s">
        <v>1048</v>
      </c>
      <c r="B1009">
        <v>2019</v>
      </c>
      <c r="C1009" t="s">
        <v>33</v>
      </c>
      <c r="D1009">
        <v>330</v>
      </c>
      <c r="E1009" t="s">
        <v>29</v>
      </c>
      <c r="F1009" t="s">
        <v>30</v>
      </c>
      <c r="G1009" t="s">
        <v>15</v>
      </c>
      <c r="H1009">
        <v>-1.76694555854916E-2</v>
      </c>
      <c r="I1009">
        <v>4</v>
      </c>
      <c r="J1009" t="s">
        <v>17</v>
      </c>
      <c r="K1009" s="59" t="s">
        <v>4376</v>
      </c>
    </row>
    <row r="1010" spans="1:11" x14ac:dyDescent="0.2">
      <c r="A1010" t="s">
        <v>1049</v>
      </c>
      <c r="B1010">
        <v>2024</v>
      </c>
      <c r="C1010" t="s">
        <v>33</v>
      </c>
      <c r="D1010">
        <v>598</v>
      </c>
      <c r="E1010" t="s">
        <v>53</v>
      </c>
      <c r="F1010" t="s">
        <v>54</v>
      </c>
      <c r="G1010" t="s">
        <v>15</v>
      </c>
      <c r="H1010">
        <v>-0.340911879999171</v>
      </c>
      <c r="I1010">
        <v>3</v>
      </c>
      <c r="J1010" t="s">
        <v>16</v>
      </c>
      <c r="K1010" s="59" t="s">
        <v>4376</v>
      </c>
    </row>
    <row r="1011" spans="1:11" x14ac:dyDescent="0.2">
      <c r="A1011" t="s">
        <v>1050</v>
      </c>
      <c r="B1011">
        <v>2025</v>
      </c>
      <c r="C1011" t="s">
        <v>33</v>
      </c>
      <c r="D1011">
        <v>31</v>
      </c>
      <c r="E1011" t="s">
        <v>29</v>
      </c>
      <c r="F1011" t="s">
        <v>30</v>
      </c>
      <c r="G1011" t="s">
        <v>15</v>
      </c>
      <c r="H1011">
        <v>-1.8272170070991209</v>
      </c>
      <c r="I1011">
        <v>4</v>
      </c>
      <c r="J1011" t="s">
        <v>23</v>
      </c>
      <c r="K1011" s="59" t="s">
        <v>23</v>
      </c>
    </row>
    <row r="1012" spans="1:11" x14ac:dyDescent="0.2">
      <c r="A1012" t="s">
        <v>1051</v>
      </c>
      <c r="B1012">
        <v>2019</v>
      </c>
      <c r="C1012" t="s">
        <v>19</v>
      </c>
      <c r="D1012">
        <v>146</v>
      </c>
      <c r="E1012" t="s">
        <v>20</v>
      </c>
      <c r="F1012" t="s">
        <v>21</v>
      </c>
      <c r="G1012" t="s">
        <v>15</v>
      </c>
      <c r="H1012">
        <v>0.25528662548499848</v>
      </c>
      <c r="I1012">
        <v>3</v>
      </c>
      <c r="J1012" t="s">
        <v>23</v>
      </c>
      <c r="K1012" s="59" t="s">
        <v>17</v>
      </c>
    </row>
    <row r="1013" spans="1:11" x14ac:dyDescent="0.2">
      <c r="A1013" t="s">
        <v>1052</v>
      </c>
      <c r="B1013">
        <v>2019</v>
      </c>
      <c r="C1013" t="s">
        <v>33</v>
      </c>
      <c r="D1013">
        <v>49</v>
      </c>
      <c r="E1013" t="s">
        <v>20</v>
      </c>
      <c r="F1013" t="s">
        <v>21</v>
      </c>
      <c r="G1013" t="s">
        <v>41</v>
      </c>
      <c r="H1013">
        <v>0.24728791248659579</v>
      </c>
      <c r="I1013">
        <v>3</v>
      </c>
      <c r="J1013" t="s">
        <v>23</v>
      </c>
      <c r="K1013" s="59" t="s">
        <v>4376</v>
      </c>
    </row>
    <row r="1014" spans="1:11" x14ac:dyDescent="0.2">
      <c r="A1014" t="s">
        <v>1053</v>
      </c>
      <c r="B1014">
        <v>2019</v>
      </c>
      <c r="C1014" t="s">
        <v>19</v>
      </c>
      <c r="D1014">
        <v>36</v>
      </c>
      <c r="E1014" t="s">
        <v>25</v>
      </c>
      <c r="F1014" t="s">
        <v>26</v>
      </c>
      <c r="G1014" t="s">
        <v>15</v>
      </c>
      <c r="H1014">
        <v>-1.4804340951683741</v>
      </c>
      <c r="I1014">
        <v>2</v>
      </c>
      <c r="J1014" t="s">
        <v>23</v>
      </c>
      <c r="K1014" s="59" t="s">
        <v>4376</v>
      </c>
    </row>
    <row r="1015" spans="1:11" x14ac:dyDescent="0.2">
      <c r="A1015" t="s">
        <v>1054</v>
      </c>
      <c r="B1015">
        <v>2018</v>
      </c>
      <c r="C1015" t="s">
        <v>19</v>
      </c>
      <c r="D1015">
        <v>67</v>
      </c>
      <c r="E1015" t="s">
        <v>38</v>
      </c>
      <c r="F1015" t="s">
        <v>39</v>
      </c>
      <c r="G1015" t="s">
        <v>15</v>
      </c>
      <c r="H1015">
        <v>-0.24001829480070361</v>
      </c>
      <c r="I1015">
        <v>3</v>
      </c>
      <c r="J1015" t="s">
        <v>23</v>
      </c>
      <c r="K1015" s="59" t="s">
        <v>17</v>
      </c>
    </row>
    <row r="1016" spans="1:11" x14ac:dyDescent="0.2">
      <c r="A1016" t="s">
        <v>1055</v>
      </c>
      <c r="B1016">
        <v>2019</v>
      </c>
      <c r="C1016" t="s">
        <v>33</v>
      </c>
      <c r="D1016">
        <v>274</v>
      </c>
      <c r="E1016" t="s">
        <v>25</v>
      </c>
      <c r="F1016" t="s">
        <v>26</v>
      </c>
      <c r="G1016" t="s">
        <v>15</v>
      </c>
      <c r="H1016">
        <v>0.31636770656370938</v>
      </c>
      <c r="I1016">
        <v>2</v>
      </c>
      <c r="J1016" t="s">
        <v>23</v>
      </c>
      <c r="K1016" s="59" t="s">
        <v>4376</v>
      </c>
    </row>
    <row r="1017" spans="1:11" x14ac:dyDescent="0.2">
      <c r="A1017" t="s">
        <v>1056</v>
      </c>
      <c r="B1017">
        <v>2018</v>
      </c>
      <c r="C1017" t="s">
        <v>12</v>
      </c>
      <c r="D1017">
        <v>67</v>
      </c>
      <c r="E1017" t="s">
        <v>38</v>
      </c>
      <c r="F1017" t="s">
        <v>39</v>
      </c>
      <c r="G1017" t="s">
        <v>15</v>
      </c>
      <c r="H1017">
        <v>-0.24001829480070361</v>
      </c>
      <c r="I1017">
        <v>3</v>
      </c>
      <c r="J1017" t="s">
        <v>23</v>
      </c>
      <c r="K1017" s="59" t="s">
        <v>17</v>
      </c>
    </row>
    <row r="1018" spans="1:11" x14ac:dyDescent="0.2">
      <c r="A1018" t="s">
        <v>1057</v>
      </c>
      <c r="B1018">
        <v>2018</v>
      </c>
      <c r="C1018" t="s">
        <v>33</v>
      </c>
      <c r="D1018">
        <v>54</v>
      </c>
      <c r="E1018" t="s">
        <v>25</v>
      </c>
      <c r="F1018" t="s">
        <v>26</v>
      </c>
      <c r="G1018" t="s">
        <v>15</v>
      </c>
      <c r="H1018">
        <v>-0.90329618805286094</v>
      </c>
      <c r="I1018">
        <v>2</v>
      </c>
      <c r="J1018" t="s">
        <v>23</v>
      </c>
      <c r="K1018" s="59" t="s">
        <v>4376</v>
      </c>
    </row>
    <row r="1019" spans="1:11" x14ac:dyDescent="0.2">
      <c r="A1019" t="s">
        <v>1058</v>
      </c>
      <c r="B1019">
        <v>2018</v>
      </c>
      <c r="C1019" t="s">
        <v>19</v>
      </c>
      <c r="D1019">
        <v>82</v>
      </c>
      <c r="E1019" t="s">
        <v>20</v>
      </c>
      <c r="F1019" t="s">
        <v>21</v>
      </c>
      <c r="G1019" t="s">
        <v>15</v>
      </c>
      <c r="H1019">
        <v>1.8259812674344851</v>
      </c>
      <c r="I1019">
        <v>3</v>
      </c>
      <c r="J1019" t="s">
        <v>23</v>
      </c>
      <c r="K1019" s="59" t="s">
        <v>23</v>
      </c>
    </row>
    <row r="1020" spans="1:11" x14ac:dyDescent="0.2">
      <c r="A1020" t="s">
        <v>1059</v>
      </c>
      <c r="B1020">
        <v>2021</v>
      </c>
      <c r="C1020" t="s">
        <v>19</v>
      </c>
      <c r="D1020">
        <v>343</v>
      </c>
      <c r="E1020" t="s">
        <v>38</v>
      </c>
      <c r="F1020" t="s">
        <v>39</v>
      </c>
      <c r="G1020" t="s">
        <v>15</v>
      </c>
      <c r="H1020">
        <v>0.79091725609484598</v>
      </c>
      <c r="I1020">
        <v>3</v>
      </c>
      <c r="J1020" t="s">
        <v>23</v>
      </c>
      <c r="K1020" s="59" t="s">
        <v>17</v>
      </c>
    </row>
    <row r="1021" spans="1:11" x14ac:dyDescent="0.2">
      <c r="A1021" t="s">
        <v>1060</v>
      </c>
      <c r="B1021">
        <v>2021</v>
      </c>
      <c r="C1021" t="s">
        <v>33</v>
      </c>
      <c r="D1021">
        <v>166</v>
      </c>
      <c r="E1021" t="s">
        <v>20</v>
      </c>
      <c r="F1021" t="s">
        <v>21</v>
      </c>
      <c r="G1021" t="s">
        <v>80</v>
      </c>
      <c r="H1021">
        <v>1.495676002544039</v>
      </c>
      <c r="I1021">
        <v>3</v>
      </c>
      <c r="J1021" t="s">
        <v>17</v>
      </c>
      <c r="K1021" s="59" t="s">
        <v>4376</v>
      </c>
    </row>
    <row r="1022" spans="1:11" x14ac:dyDescent="0.2">
      <c r="A1022" t="s">
        <v>1061</v>
      </c>
      <c r="B1022">
        <v>2019</v>
      </c>
      <c r="C1022" t="s">
        <v>19</v>
      </c>
      <c r="D1022">
        <v>53</v>
      </c>
      <c r="E1022" t="s">
        <v>20</v>
      </c>
      <c r="F1022" t="s">
        <v>21</v>
      </c>
      <c r="G1022" t="s">
        <v>15</v>
      </c>
      <c r="H1022">
        <v>-2.3424840696377309</v>
      </c>
      <c r="I1022">
        <v>3</v>
      </c>
      <c r="J1022" t="s">
        <v>23</v>
      </c>
      <c r="K1022" s="59" t="s">
        <v>4376</v>
      </c>
    </row>
    <row r="1023" spans="1:11" x14ac:dyDescent="0.2">
      <c r="A1023" t="s">
        <v>1062</v>
      </c>
      <c r="B1023">
        <v>2020</v>
      </c>
      <c r="C1023" t="s">
        <v>33</v>
      </c>
      <c r="D1023">
        <v>53</v>
      </c>
      <c r="E1023" t="s">
        <v>25</v>
      </c>
      <c r="F1023" t="s">
        <v>26</v>
      </c>
      <c r="G1023" t="s">
        <v>15</v>
      </c>
      <c r="H1023">
        <v>1.207133472294913</v>
      </c>
      <c r="I1023">
        <v>2</v>
      </c>
      <c r="J1023" t="s">
        <v>16</v>
      </c>
      <c r="K1023" s="59" t="s">
        <v>4376</v>
      </c>
    </row>
    <row r="1024" spans="1:11" x14ac:dyDescent="0.2">
      <c r="A1024" t="s">
        <v>1063</v>
      </c>
      <c r="B1024">
        <v>2024</v>
      </c>
      <c r="C1024" t="s">
        <v>33</v>
      </c>
      <c r="D1024">
        <v>596</v>
      </c>
      <c r="E1024" t="s">
        <v>53</v>
      </c>
      <c r="F1024" t="s">
        <v>54</v>
      </c>
      <c r="G1024" t="s">
        <v>15</v>
      </c>
      <c r="H1024">
        <v>-0.34369613422991568</v>
      </c>
      <c r="I1024">
        <v>3</v>
      </c>
      <c r="J1024" t="s">
        <v>16</v>
      </c>
      <c r="K1024" s="59" t="s">
        <v>17</v>
      </c>
    </row>
    <row r="1025" spans="1:11" x14ac:dyDescent="0.2">
      <c r="A1025" t="s">
        <v>1064</v>
      </c>
      <c r="B1025">
        <v>2024</v>
      </c>
      <c r="C1025" t="s">
        <v>33</v>
      </c>
      <c r="D1025">
        <v>596</v>
      </c>
      <c r="E1025" t="s">
        <v>53</v>
      </c>
      <c r="F1025" t="s">
        <v>54</v>
      </c>
      <c r="G1025" t="s">
        <v>15</v>
      </c>
      <c r="H1025">
        <v>-0.34369613422991568</v>
      </c>
      <c r="I1025">
        <v>3</v>
      </c>
      <c r="J1025" t="s">
        <v>16</v>
      </c>
      <c r="K1025" s="59" t="s">
        <v>16</v>
      </c>
    </row>
    <row r="1026" spans="1:11" x14ac:dyDescent="0.2">
      <c r="A1026" t="s">
        <v>1065</v>
      </c>
      <c r="B1026">
        <v>2024</v>
      </c>
      <c r="C1026" t="s">
        <v>33</v>
      </c>
      <c r="D1026">
        <v>596</v>
      </c>
      <c r="E1026" t="s">
        <v>53</v>
      </c>
      <c r="F1026" t="s">
        <v>54</v>
      </c>
      <c r="G1026" t="s">
        <v>15</v>
      </c>
      <c r="H1026">
        <v>-0.34369613422991568</v>
      </c>
      <c r="I1026">
        <v>3</v>
      </c>
      <c r="J1026" t="s">
        <v>16</v>
      </c>
      <c r="K1026" s="59" t="s">
        <v>4376</v>
      </c>
    </row>
    <row r="1027" spans="1:11" x14ac:dyDescent="0.2">
      <c r="A1027" t="s">
        <v>1066</v>
      </c>
      <c r="B1027">
        <v>2016</v>
      </c>
      <c r="C1027" t="s">
        <v>33</v>
      </c>
      <c r="D1027">
        <v>65</v>
      </c>
      <c r="E1027" t="s">
        <v>29</v>
      </c>
      <c r="F1027" t="s">
        <v>30</v>
      </c>
      <c r="G1027" t="s">
        <v>34</v>
      </c>
      <c r="H1027">
        <v>-1.928362023078922</v>
      </c>
      <c r="I1027">
        <v>4</v>
      </c>
      <c r="J1027" t="s">
        <v>17</v>
      </c>
      <c r="K1027" s="59" t="s">
        <v>4376</v>
      </c>
    </row>
    <row r="1028" spans="1:11" x14ac:dyDescent="0.2">
      <c r="A1028" t="s">
        <v>1067</v>
      </c>
      <c r="B1028">
        <v>2018</v>
      </c>
      <c r="C1028" t="s">
        <v>19</v>
      </c>
      <c r="D1028">
        <v>62</v>
      </c>
      <c r="E1028" t="s">
        <v>38</v>
      </c>
      <c r="F1028" t="s">
        <v>39</v>
      </c>
      <c r="G1028" t="s">
        <v>15</v>
      </c>
      <c r="H1028">
        <v>0.42325959845145378</v>
      </c>
      <c r="I1028">
        <v>3</v>
      </c>
      <c r="J1028" t="s">
        <v>23</v>
      </c>
      <c r="K1028" s="59" t="s">
        <v>17</v>
      </c>
    </row>
    <row r="1029" spans="1:11" x14ac:dyDescent="0.2">
      <c r="A1029" t="s">
        <v>1068</v>
      </c>
      <c r="B1029">
        <v>2018</v>
      </c>
      <c r="C1029" t="s">
        <v>12</v>
      </c>
      <c r="D1029">
        <v>65</v>
      </c>
      <c r="E1029" t="s">
        <v>38</v>
      </c>
      <c r="F1029" t="s">
        <v>39</v>
      </c>
      <c r="G1029" t="s">
        <v>15</v>
      </c>
      <c r="H1029">
        <v>0.46058692577733279</v>
      </c>
      <c r="I1029">
        <v>3</v>
      </c>
      <c r="J1029" t="s">
        <v>23</v>
      </c>
      <c r="K1029" s="59" t="s">
        <v>4376</v>
      </c>
    </row>
    <row r="1030" spans="1:11" x14ac:dyDescent="0.2">
      <c r="A1030" t="s">
        <v>1069</v>
      </c>
      <c r="B1030">
        <v>2019</v>
      </c>
      <c r="C1030" t="s">
        <v>19</v>
      </c>
      <c r="D1030">
        <v>172</v>
      </c>
      <c r="E1030" t="s">
        <v>13</v>
      </c>
      <c r="F1030" t="s">
        <v>14</v>
      </c>
      <c r="G1030" t="s">
        <v>48</v>
      </c>
      <c r="H1030">
        <v>1.4974571292739709</v>
      </c>
      <c r="I1030">
        <v>4</v>
      </c>
      <c r="J1030" t="s">
        <v>16</v>
      </c>
      <c r="K1030" s="59" t="s">
        <v>17</v>
      </c>
    </row>
    <row r="1031" spans="1:11" x14ac:dyDescent="0.2">
      <c r="A1031" t="s">
        <v>1070</v>
      </c>
      <c r="B1031">
        <v>2022</v>
      </c>
      <c r="C1031" t="s">
        <v>33</v>
      </c>
      <c r="D1031">
        <v>353</v>
      </c>
      <c r="E1031" t="s">
        <v>53</v>
      </c>
      <c r="F1031" t="s">
        <v>54</v>
      </c>
      <c r="G1031" t="s">
        <v>15</v>
      </c>
      <c r="H1031">
        <v>0.46058692577733279</v>
      </c>
      <c r="I1031">
        <v>3</v>
      </c>
      <c r="J1031" t="s">
        <v>16</v>
      </c>
      <c r="K1031" s="59" t="s">
        <v>17</v>
      </c>
    </row>
    <row r="1032" spans="1:11" x14ac:dyDescent="0.2">
      <c r="A1032" t="s">
        <v>1071</v>
      </c>
      <c r="B1032">
        <v>2019</v>
      </c>
      <c r="C1032" t="s">
        <v>19</v>
      </c>
      <c r="D1032">
        <v>68</v>
      </c>
      <c r="E1032" t="s">
        <v>20</v>
      </c>
      <c r="F1032" t="s">
        <v>21</v>
      </c>
      <c r="G1032" t="s">
        <v>15</v>
      </c>
      <c r="H1032">
        <v>-0.21809175287501251</v>
      </c>
      <c r="I1032">
        <v>3</v>
      </c>
      <c r="J1032" t="s">
        <v>16</v>
      </c>
      <c r="K1032" s="59" t="s">
        <v>17</v>
      </c>
    </row>
    <row r="1033" spans="1:11" x14ac:dyDescent="0.2">
      <c r="A1033" t="s">
        <v>1072</v>
      </c>
      <c r="B1033">
        <v>2019</v>
      </c>
      <c r="C1033" t="s">
        <v>33</v>
      </c>
      <c r="D1033">
        <v>62</v>
      </c>
      <c r="E1033" t="s">
        <v>20</v>
      </c>
      <c r="F1033" t="s">
        <v>21</v>
      </c>
      <c r="G1033" t="s">
        <v>15</v>
      </c>
      <c r="H1033">
        <v>-1.068629387250613</v>
      </c>
      <c r="I1033">
        <v>3</v>
      </c>
      <c r="J1033" t="s">
        <v>23</v>
      </c>
      <c r="K1033" s="59" t="s">
        <v>23</v>
      </c>
    </row>
    <row r="1034" spans="1:11" x14ac:dyDescent="0.2">
      <c r="A1034" t="s">
        <v>1073</v>
      </c>
      <c r="B1034">
        <v>2018</v>
      </c>
      <c r="C1034" t="s">
        <v>12</v>
      </c>
      <c r="D1034">
        <v>67</v>
      </c>
      <c r="E1034" t="s">
        <v>38</v>
      </c>
      <c r="F1034" t="s">
        <v>39</v>
      </c>
      <c r="G1034" t="s">
        <v>15</v>
      </c>
      <c r="H1034">
        <v>-0.24001829480070361</v>
      </c>
      <c r="I1034">
        <v>3</v>
      </c>
      <c r="J1034" t="s">
        <v>23</v>
      </c>
      <c r="K1034" s="59" t="s">
        <v>16</v>
      </c>
    </row>
    <row r="1035" spans="1:11" x14ac:dyDescent="0.2">
      <c r="A1035" t="s">
        <v>1074</v>
      </c>
      <c r="B1035">
        <v>2019</v>
      </c>
      <c r="C1035" t="s">
        <v>33</v>
      </c>
      <c r="D1035">
        <v>147</v>
      </c>
      <c r="E1035" t="s">
        <v>25</v>
      </c>
      <c r="F1035" t="s">
        <v>26</v>
      </c>
      <c r="G1035" t="s">
        <v>15</v>
      </c>
      <c r="H1035">
        <v>-0.78015240505470107</v>
      </c>
      <c r="I1035">
        <v>2</v>
      </c>
      <c r="J1035" t="s">
        <v>23</v>
      </c>
      <c r="K1035" s="59" t="s">
        <v>4376</v>
      </c>
    </row>
    <row r="1036" spans="1:11" x14ac:dyDescent="0.2">
      <c r="A1036" t="s">
        <v>1075</v>
      </c>
      <c r="B1036">
        <v>2019</v>
      </c>
      <c r="C1036" t="s">
        <v>19</v>
      </c>
      <c r="D1036">
        <v>227</v>
      </c>
      <c r="E1036" t="s">
        <v>20</v>
      </c>
      <c r="F1036" t="s">
        <v>21</v>
      </c>
      <c r="G1036" t="s">
        <v>15</v>
      </c>
      <c r="H1036">
        <v>0.14305129060695959</v>
      </c>
      <c r="I1036">
        <v>3</v>
      </c>
      <c r="J1036" t="s">
        <v>23</v>
      </c>
      <c r="K1036" s="59" t="s">
        <v>4376</v>
      </c>
    </row>
    <row r="1037" spans="1:11" x14ac:dyDescent="0.2">
      <c r="A1037" t="s">
        <v>1076</v>
      </c>
      <c r="B1037">
        <v>2025</v>
      </c>
      <c r="C1037" t="s">
        <v>19</v>
      </c>
      <c r="D1037">
        <v>107</v>
      </c>
      <c r="E1037" t="s">
        <v>25</v>
      </c>
      <c r="F1037" t="s">
        <v>26</v>
      </c>
      <c r="G1037" t="s">
        <v>41</v>
      </c>
      <c r="H1037">
        <v>-0.43526893004376288</v>
      </c>
      <c r="I1037">
        <v>2</v>
      </c>
      <c r="J1037" t="s">
        <v>23</v>
      </c>
      <c r="K1037" s="59" t="s">
        <v>4376</v>
      </c>
    </row>
    <row r="1038" spans="1:11" x14ac:dyDescent="0.2">
      <c r="A1038" t="s">
        <v>1077</v>
      </c>
      <c r="B1038">
        <v>2021</v>
      </c>
      <c r="C1038" t="s">
        <v>12</v>
      </c>
      <c r="D1038">
        <v>260</v>
      </c>
      <c r="E1038" t="s">
        <v>38</v>
      </c>
      <c r="F1038" t="s">
        <v>39</v>
      </c>
      <c r="G1038" t="s">
        <v>15</v>
      </c>
      <c r="H1038">
        <v>0.93786382097464049</v>
      </c>
      <c r="I1038">
        <v>3</v>
      </c>
      <c r="J1038" t="s">
        <v>23</v>
      </c>
      <c r="K1038" s="59" t="s">
        <v>4376</v>
      </c>
    </row>
    <row r="1039" spans="1:11" x14ac:dyDescent="0.2">
      <c r="A1039" t="s">
        <v>1078</v>
      </c>
      <c r="B1039">
        <v>2018</v>
      </c>
      <c r="C1039" t="s">
        <v>19</v>
      </c>
      <c r="D1039">
        <v>66</v>
      </c>
      <c r="E1039" t="s">
        <v>38</v>
      </c>
      <c r="F1039" t="s">
        <v>39</v>
      </c>
      <c r="G1039" t="s">
        <v>15</v>
      </c>
      <c r="H1039">
        <v>-0.26263004116157262</v>
      </c>
      <c r="I1039">
        <v>3</v>
      </c>
      <c r="J1039" t="s">
        <v>23</v>
      </c>
      <c r="K1039" s="59" t="s">
        <v>23</v>
      </c>
    </row>
    <row r="1040" spans="1:11" x14ac:dyDescent="0.2">
      <c r="A1040" t="s">
        <v>1079</v>
      </c>
      <c r="B1040">
        <v>2016</v>
      </c>
      <c r="C1040" t="s">
        <v>33</v>
      </c>
      <c r="D1040">
        <v>65</v>
      </c>
      <c r="E1040" t="s">
        <v>29</v>
      </c>
      <c r="F1040" t="s">
        <v>30</v>
      </c>
      <c r="G1040" t="s">
        <v>34</v>
      </c>
      <c r="H1040">
        <v>-1.928362023078922</v>
      </c>
      <c r="I1040">
        <v>4</v>
      </c>
      <c r="J1040" t="s">
        <v>17</v>
      </c>
      <c r="K1040" s="59" t="s">
        <v>4376</v>
      </c>
    </row>
    <row r="1041" spans="1:11" x14ac:dyDescent="0.2">
      <c r="A1041" t="s">
        <v>1080</v>
      </c>
      <c r="B1041">
        <v>2018</v>
      </c>
      <c r="C1041" t="s">
        <v>19</v>
      </c>
      <c r="D1041">
        <v>149</v>
      </c>
      <c r="E1041" t="s">
        <v>20</v>
      </c>
      <c r="F1041" t="s">
        <v>21</v>
      </c>
      <c r="G1041" t="s">
        <v>15</v>
      </c>
      <c r="H1041">
        <v>-8.1426320324471585E-2</v>
      </c>
      <c r="I1041">
        <v>3</v>
      </c>
      <c r="J1041" t="s">
        <v>23</v>
      </c>
      <c r="K1041" s="59" t="s">
        <v>23</v>
      </c>
    </row>
    <row r="1042" spans="1:11" x14ac:dyDescent="0.2">
      <c r="A1042" t="s">
        <v>1081</v>
      </c>
      <c r="B1042">
        <v>2016</v>
      </c>
      <c r="C1042" t="s">
        <v>33</v>
      </c>
      <c r="D1042">
        <v>108</v>
      </c>
      <c r="E1042" t="s">
        <v>53</v>
      </c>
      <c r="F1042" t="s">
        <v>54</v>
      </c>
      <c r="G1042" t="s">
        <v>15</v>
      </c>
      <c r="H1042">
        <v>-2.4219122399433219</v>
      </c>
      <c r="I1042">
        <v>3</v>
      </c>
      <c r="J1042" t="s">
        <v>17</v>
      </c>
      <c r="K1042" s="59" t="s">
        <v>16</v>
      </c>
    </row>
    <row r="1043" spans="1:11" x14ac:dyDescent="0.2">
      <c r="A1043" t="s">
        <v>1082</v>
      </c>
      <c r="B1043">
        <v>2023</v>
      </c>
      <c r="C1043" t="s">
        <v>12</v>
      </c>
      <c r="D1043">
        <v>393</v>
      </c>
      <c r="E1043" t="s">
        <v>38</v>
      </c>
      <c r="F1043" t="s">
        <v>39</v>
      </c>
      <c r="G1043" t="s">
        <v>15</v>
      </c>
      <c r="H1043">
        <v>-5.0426212774462454E-3</v>
      </c>
      <c r="I1043">
        <v>3</v>
      </c>
      <c r="J1043" t="s">
        <v>16</v>
      </c>
      <c r="K1043" s="59" t="s">
        <v>4376</v>
      </c>
    </row>
    <row r="1044" spans="1:11" x14ac:dyDescent="0.2">
      <c r="A1044" t="s">
        <v>1083</v>
      </c>
      <c r="B1044">
        <v>2025</v>
      </c>
      <c r="C1044" t="s">
        <v>33</v>
      </c>
      <c r="D1044">
        <v>455</v>
      </c>
      <c r="E1044" t="s">
        <v>20</v>
      </c>
      <c r="F1044" t="s">
        <v>21</v>
      </c>
      <c r="G1044" t="s">
        <v>48</v>
      </c>
      <c r="H1044">
        <v>0.40046237169538018</v>
      </c>
      <c r="I1044">
        <v>3</v>
      </c>
      <c r="J1044" t="s">
        <v>16</v>
      </c>
      <c r="K1044" s="59" t="s">
        <v>17</v>
      </c>
    </row>
    <row r="1045" spans="1:11" x14ac:dyDescent="0.2">
      <c r="A1045" t="s">
        <v>1084</v>
      </c>
      <c r="B1045">
        <v>2023</v>
      </c>
      <c r="C1045" t="s">
        <v>33</v>
      </c>
      <c r="D1045">
        <v>66</v>
      </c>
      <c r="E1045" t="s">
        <v>13</v>
      </c>
      <c r="F1045" t="s">
        <v>14</v>
      </c>
      <c r="G1045" t="s">
        <v>15</v>
      </c>
      <c r="H1045">
        <v>-1.1059369751120149</v>
      </c>
      <c r="I1045">
        <v>4</v>
      </c>
      <c r="J1045" t="s">
        <v>23</v>
      </c>
      <c r="K1045" s="59" t="s">
        <v>4376</v>
      </c>
    </row>
    <row r="1046" spans="1:11" x14ac:dyDescent="0.2">
      <c r="A1046" t="s">
        <v>1085</v>
      </c>
      <c r="B1046">
        <v>2023</v>
      </c>
      <c r="C1046" t="s">
        <v>33</v>
      </c>
      <c r="D1046">
        <v>383</v>
      </c>
      <c r="E1046" t="s">
        <v>29</v>
      </c>
      <c r="F1046" t="s">
        <v>30</v>
      </c>
      <c r="G1046" t="s">
        <v>15</v>
      </c>
      <c r="H1046">
        <v>0.21436445001295959</v>
      </c>
      <c r="I1046">
        <v>4</v>
      </c>
      <c r="J1046" t="s">
        <v>16</v>
      </c>
      <c r="K1046" s="59" t="s">
        <v>4376</v>
      </c>
    </row>
    <row r="1047" spans="1:11" x14ac:dyDescent="0.2">
      <c r="A1047" t="s">
        <v>1086</v>
      </c>
      <c r="B1047">
        <v>2025</v>
      </c>
      <c r="C1047" t="s">
        <v>19</v>
      </c>
      <c r="D1047">
        <v>38</v>
      </c>
      <c r="E1047" t="s">
        <v>20</v>
      </c>
      <c r="F1047" t="s">
        <v>21</v>
      </c>
      <c r="G1047" t="s">
        <v>80</v>
      </c>
      <c r="H1047">
        <v>-1.405779440516616</v>
      </c>
      <c r="I1047">
        <v>3</v>
      </c>
      <c r="J1047" t="s">
        <v>23</v>
      </c>
      <c r="K1047" s="59" t="s">
        <v>17</v>
      </c>
    </row>
    <row r="1048" spans="1:11" x14ac:dyDescent="0.2">
      <c r="A1048" t="s">
        <v>1087</v>
      </c>
      <c r="B1048">
        <v>2024</v>
      </c>
      <c r="C1048" t="s">
        <v>33</v>
      </c>
      <c r="D1048">
        <v>596</v>
      </c>
      <c r="E1048" t="s">
        <v>53</v>
      </c>
      <c r="F1048" t="s">
        <v>54</v>
      </c>
      <c r="G1048" t="s">
        <v>15</v>
      </c>
      <c r="H1048">
        <v>-0.34369613422991568</v>
      </c>
      <c r="I1048">
        <v>3</v>
      </c>
      <c r="J1048" t="s">
        <v>16</v>
      </c>
      <c r="K1048" s="59" t="s">
        <v>4376</v>
      </c>
    </row>
    <row r="1049" spans="1:11" x14ac:dyDescent="0.2">
      <c r="A1049" t="s">
        <v>1088</v>
      </c>
      <c r="B1049">
        <v>2018</v>
      </c>
      <c r="C1049" t="s">
        <v>19</v>
      </c>
      <c r="D1049">
        <v>48</v>
      </c>
      <c r="E1049" t="s">
        <v>38</v>
      </c>
      <c r="F1049" t="s">
        <v>39</v>
      </c>
      <c r="G1049" t="s">
        <v>15</v>
      </c>
      <c r="H1049">
        <v>1.207133472294913</v>
      </c>
      <c r="I1049">
        <v>3</v>
      </c>
      <c r="J1049" t="s">
        <v>16</v>
      </c>
      <c r="K1049" s="59" t="s">
        <v>16</v>
      </c>
    </row>
    <row r="1050" spans="1:11" x14ac:dyDescent="0.2">
      <c r="A1050" t="s">
        <v>1089</v>
      </c>
      <c r="B1050">
        <v>2018</v>
      </c>
      <c r="C1050" t="s">
        <v>19</v>
      </c>
      <c r="D1050">
        <v>120</v>
      </c>
      <c r="E1050" t="s">
        <v>20</v>
      </c>
      <c r="F1050" t="s">
        <v>21</v>
      </c>
      <c r="G1050" t="s">
        <v>15</v>
      </c>
      <c r="H1050">
        <v>1.173666381899163E-3</v>
      </c>
      <c r="I1050">
        <v>3</v>
      </c>
      <c r="J1050" t="s">
        <v>23</v>
      </c>
      <c r="K1050" s="59" t="s">
        <v>17</v>
      </c>
    </row>
    <row r="1051" spans="1:11" x14ac:dyDescent="0.2">
      <c r="A1051" t="s">
        <v>1090</v>
      </c>
      <c r="B1051">
        <v>2018</v>
      </c>
      <c r="C1051" t="s">
        <v>12</v>
      </c>
      <c r="D1051">
        <v>67</v>
      </c>
      <c r="E1051" t="s">
        <v>38</v>
      </c>
      <c r="F1051" t="s">
        <v>39</v>
      </c>
      <c r="G1051" t="s">
        <v>15</v>
      </c>
      <c r="H1051">
        <v>1.207133472294913</v>
      </c>
      <c r="I1051">
        <v>3</v>
      </c>
      <c r="J1051" t="s">
        <v>23</v>
      </c>
      <c r="K1051" s="59" t="s">
        <v>16</v>
      </c>
    </row>
    <row r="1052" spans="1:11" x14ac:dyDescent="0.2">
      <c r="A1052" t="s">
        <v>1091</v>
      </c>
      <c r="B1052">
        <v>2024</v>
      </c>
      <c r="C1052" t="s">
        <v>33</v>
      </c>
      <c r="D1052">
        <v>596</v>
      </c>
      <c r="E1052" t="s">
        <v>53</v>
      </c>
      <c r="F1052" t="s">
        <v>54</v>
      </c>
      <c r="G1052" t="s">
        <v>15</v>
      </c>
      <c r="H1052">
        <v>-0.34369613422991568</v>
      </c>
      <c r="I1052">
        <v>3</v>
      </c>
      <c r="J1052" t="s">
        <v>16</v>
      </c>
      <c r="K1052" s="59" t="s">
        <v>4376</v>
      </c>
    </row>
    <row r="1053" spans="1:11" x14ac:dyDescent="0.2">
      <c r="A1053" t="s">
        <v>1092</v>
      </c>
      <c r="B1053">
        <v>2016</v>
      </c>
      <c r="C1053" t="s">
        <v>19</v>
      </c>
      <c r="D1053">
        <v>88</v>
      </c>
      <c r="E1053" t="s">
        <v>38</v>
      </c>
      <c r="F1053" t="s">
        <v>39</v>
      </c>
      <c r="G1053" t="s">
        <v>15</v>
      </c>
      <c r="H1053">
        <v>0.1382145534174688</v>
      </c>
      <c r="I1053">
        <v>3</v>
      </c>
      <c r="J1053" t="s">
        <v>23</v>
      </c>
      <c r="K1053" s="59" t="s">
        <v>23</v>
      </c>
    </row>
    <row r="1054" spans="1:11" x14ac:dyDescent="0.2">
      <c r="A1054" t="s">
        <v>1093</v>
      </c>
      <c r="B1054">
        <v>2022</v>
      </c>
      <c r="C1054" t="s">
        <v>33</v>
      </c>
      <c r="D1054">
        <v>496</v>
      </c>
      <c r="E1054" t="s">
        <v>20</v>
      </c>
      <c r="F1054" t="s">
        <v>21</v>
      </c>
      <c r="G1054" t="s">
        <v>15</v>
      </c>
      <c r="H1054">
        <v>0.43862967440916872</v>
      </c>
      <c r="I1054">
        <v>3</v>
      </c>
      <c r="J1054" t="s">
        <v>17</v>
      </c>
      <c r="K1054" s="59" t="s">
        <v>4376</v>
      </c>
    </row>
    <row r="1055" spans="1:11" x14ac:dyDescent="0.2">
      <c r="A1055" t="s">
        <v>1094</v>
      </c>
      <c r="B1055">
        <v>2021</v>
      </c>
      <c r="C1055" t="s">
        <v>33</v>
      </c>
      <c r="D1055">
        <v>343</v>
      </c>
      <c r="E1055" t="s">
        <v>38</v>
      </c>
      <c r="F1055" t="s">
        <v>39</v>
      </c>
      <c r="G1055" t="s">
        <v>15</v>
      </c>
      <c r="H1055">
        <v>0.79091725609484598</v>
      </c>
      <c r="I1055">
        <v>3</v>
      </c>
      <c r="J1055" t="s">
        <v>23</v>
      </c>
      <c r="K1055" s="59" t="s">
        <v>4376</v>
      </c>
    </row>
    <row r="1056" spans="1:11" x14ac:dyDescent="0.2">
      <c r="A1056" t="s">
        <v>1095</v>
      </c>
      <c r="B1056">
        <v>2019</v>
      </c>
      <c r="C1056" t="s">
        <v>19</v>
      </c>
      <c r="D1056">
        <v>175</v>
      </c>
      <c r="E1056" t="s">
        <v>20</v>
      </c>
      <c r="F1056" t="s">
        <v>21</v>
      </c>
      <c r="G1056" t="s">
        <v>15</v>
      </c>
      <c r="H1056">
        <v>-0.45283473113829409</v>
      </c>
      <c r="I1056">
        <v>3</v>
      </c>
      <c r="J1056" t="s">
        <v>23</v>
      </c>
      <c r="K1056" s="59" t="s">
        <v>16</v>
      </c>
    </row>
    <row r="1057" spans="1:11" x14ac:dyDescent="0.2">
      <c r="A1057" t="s">
        <v>1096</v>
      </c>
      <c r="B1057">
        <v>2019</v>
      </c>
      <c r="C1057" t="s">
        <v>33</v>
      </c>
      <c r="D1057">
        <v>69</v>
      </c>
      <c r="E1057" t="s">
        <v>20</v>
      </c>
      <c r="F1057" t="s">
        <v>21</v>
      </c>
      <c r="G1057" t="s">
        <v>15</v>
      </c>
      <c r="H1057">
        <v>-0.83775489425324057</v>
      </c>
      <c r="I1057">
        <v>3</v>
      </c>
      <c r="J1057" t="s">
        <v>23</v>
      </c>
      <c r="K1057" s="59" t="s">
        <v>23</v>
      </c>
    </row>
    <row r="1058" spans="1:11" x14ac:dyDescent="0.2">
      <c r="A1058" t="s">
        <v>1097</v>
      </c>
      <c r="B1058">
        <v>2018</v>
      </c>
      <c r="C1058" t="s">
        <v>19</v>
      </c>
      <c r="D1058">
        <v>50</v>
      </c>
      <c r="E1058" t="s">
        <v>20</v>
      </c>
      <c r="F1058" t="s">
        <v>21</v>
      </c>
      <c r="G1058" t="s">
        <v>15</v>
      </c>
      <c r="H1058">
        <v>3.0884307695192139</v>
      </c>
      <c r="I1058">
        <v>3</v>
      </c>
      <c r="J1058" t="s">
        <v>23</v>
      </c>
      <c r="K1058" s="59" t="s">
        <v>17</v>
      </c>
    </row>
    <row r="1059" spans="1:11" x14ac:dyDescent="0.2">
      <c r="A1059" t="s">
        <v>1098</v>
      </c>
      <c r="B1059">
        <v>2024</v>
      </c>
      <c r="C1059" t="s">
        <v>33</v>
      </c>
      <c r="D1059">
        <v>596</v>
      </c>
      <c r="E1059" t="s">
        <v>53</v>
      </c>
      <c r="F1059" t="s">
        <v>54</v>
      </c>
      <c r="G1059" t="s">
        <v>15</v>
      </c>
      <c r="H1059">
        <v>-0.34369613422991568</v>
      </c>
      <c r="I1059">
        <v>3</v>
      </c>
      <c r="J1059" t="s">
        <v>16</v>
      </c>
      <c r="K1059" s="59" t="s">
        <v>4376</v>
      </c>
    </row>
    <row r="1060" spans="1:11" x14ac:dyDescent="0.2">
      <c r="A1060" t="s">
        <v>1099</v>
      </c>
      <c r="B1060">
        <v>2018</v>
      </c>
      <c r="C1060" t="s">
        <v>12</v>
      </c>
      <c r="D1060">
        <v>69</v>
      </c>
      <c r="E1060" t="s">
        <v>38</v>
      </c>
      <c r="F1060" t="s">
        <v>39</v>
      </c>
      <c r="G1060" t="s">
        <v>15</v>
      </c>
      <c r="H1060">
        <v>-0.1968197345888941</v>
      </c>
      <c r="I1060">
        <v>3</v>
      </c>
      <c r="J1060" t="s">
        <v>23</v>
      </c>
      <c r="K1060" s="59" t="s">
        <v>4376</v>
      </c>
    </row>
    <row r="1061" spans="1:11" x14ac:dyDescent="0.2">
      <c r="A1061" t="s">
        <v>1100</v>
      </c>
      <c r="B1061">
        <v>2020</v>
      </c>
      <c r="C1061" t="s">
        <v>33</v>
      </c>
      <c r="D1061">
        <v>48</v>
      </c>
      <c r="E1061" t="s">
        <v>25</v>
      </c>
      <c r="F1061" t="s">
        <v>26</v>
      </c>
      <c r="G1061" t="s">
        <v>36</v>
      </c>
      <c r="H1061">
        <v>-0.83775489425324057</v>
      </c>
      <c r="I1061">
        <v>2</v>
      </c>
      <c r="J1061" t="s">
        <v>23</v>
      </c>
      <c r="K1061" s="59" t="s">
        <v>4376</v>
      </c>
    </row>
    <row r="1062" spans="1:11" x14ac:dyDescent="0.2">
      <c r="A1062" t="s">
        <v>1101</v>
      </c>
      <c r="B1062">
        <v>2020</v>
      </c>
      <c r="C1062" t="s">
        <v>19</v>
      </c>
      <c r="D1062">
        <v>53</v>
      </c>
      <c r="E1062" t="s">
        <v>25</v>
      </c>
      <c r="F1062" t="s">
        <v>26</v>
      </c>
      <c r="G1062" t="s">
        <v>15</v>
      </c>
      <c r="H1062">
        <v>1.207133472294913</v>
      </c>
      <c r="I1062">
        <v>2</v>
      </c>
      <c r="J1062" t="s">
        <v>16</v>
      </c>
      <c r="K1062" s="59" t="s">
        <v>17</v>
      </c>
    </row>
    <row r="1063" spans="1:11" x14ac:dyDescent="0.2">
      <c r="A1063" t="s">
        <v>1102</v>
      </c>
      <c r="B1063">
        <v>2023</v>
      </c>
      <c r="C1063" t="s">
        <v>33</v>
      </c>
      <c r="D1063">
        <v>383</v>
      </c>
      <c r="E1063" t="s">
        <v>29</v>
      </c>
      <c r="F1063" t="s">
        <v>30</v>
      </c>
      <c r="G1063" t="s">
        <v>15</v>
      </c>
      <c r="H1063">
        <v>0.21436445001295959</v>
      </c>
      <c r="I1063">
        <v>4</v>
      </c>
      <c r="J1063" t="s">
        <v>16</v>
      </c>
      <c r="K1063" s="59" t="s">
        <v>4376</v>
      </c>
    </row>
    <row r="1064" spans="1:11" x14ac:dyDescent="0.2">
      <c r="A1064" t="s">
        <v>1103</v>
      </c>
      <c r="B1064">
        <v>2021</v>
      </c>
      <c r="C1064" t="s">
        <v>19</v>
      </c>
      <c r="D1064">
        <v>69</v>
      </c>
      <c r="E1064" t="s">
        <v>13</v>
      </c>
      <c r="F1064" t="s">
        <v>14</v>
      </c>
      <c r="G1064" t="s">
        <v>48</v>
      </c>
      <c r="H1064">
        <v>-0.83775489425324057</v>
      </c>
      <c r="I1064">
        <v>4</v>
      </c>
      <c r="J1064" t="s">
        <v>23</v>
      </c>
      <c r="K1064" s="59" t="s">
        <v>4376</v>
      </c>
    </row>
    <row r="1065" spans="1:11" x14ac:dyDescent="0.2">
      <c r="A1065" t="s">
        <v>1104</v>
      </c>
      <c r="B1065">
        <v>2024</v>
      </c>
      <c r="C1065" t="s">
        <v>33</v>
      </c>
      <c r="D1065">
        <v>596</v>
      </c>
      <c r="E1065" t="s">
        <v>53</v>
      </c>
      <c r="F1065" t="s">
        <v>54</v>
      </c>
      <c r="G1065" t="s">
        <v>15</v>
      </c>
      <c r="H1065">
        <v>-0.34369613422991568</v>
      </c>
      <c r="I1065">
        <v>3</v>
      </c>
      <c r="J1065" t="s">
        <v>16</v>
      </c>
      <c r="K1065" s="59" t="s">
        <v>4376</v>
      </c>
    </row>
    <row r="1066" spans="1:11" x14ac:dyDescent="0.2">
      <c r="A1066" t="s">
        <v>1105</v>
      </c>
      <c r="B1066">
        <v>2024</v>
      </c>
      <c r="C1066" t="s">
        <v>33</v>
      </c>
      <c r="D1066">
        <v>45</v>
      </c>
      <c r="E1066" t="s">
        <v>20</v>
      </c>
      <c r="F1066" t="s">
        <v>21</v>
      </c>
      <c r="G1066" t="s">
        <v>15</v>
      </c>
      <c r="H1066">
        <v>-0.83775489425324057</v>
      </c>
      <c r="I1066">
        <v>3</v>
      </c>
      <c r="J1066" t="s">
        <v>23</v>
      </c>
      <c r="K1066" s="59" t="s">
        <v>17</v>
      </c>
    </row>
    <row r="1067" spans="1:11" x14ac:dyDescent="0.2">
      <c r="A1067" t="s">
        <v>1106</v>
      </c>
      <c r="B1067">
        <v>2016</v>
      </c>
      <c r="C1067" t="s">
        <v>33</v>
      </c>
      <c r="D1067">
        <v>68</v>
      </c>
      <c r="E1067" t="s">
        <v>29</v>
      </c>
      <c r="F1067" t="s">
        <v>30</v>
      </c>
      <c r="G1067" t="s">
        <v>167</v>
      </c>
      <c r="H1067">
        <v>-1.790031339459488</v>
      </c>
      <c r="I1067">
        <v>4</v>
      </c>
      <c r="J1067" t="s">
        <v>17</v>
      </c>
      <c r="K1067" s="59" t="s">
        <v>4376</v>
      </c>
    </row>
    <row r="1068" spans="1:11" x14ac:dyDescent="0.2">
      <c r="A1068" t="s">
        <v>1107</v>
      </c>
      <c r="B1068">
        <v>2019</v>
      </c>
      <c r="C1068" t="s">
        <v>19</v>
      </c>
      <c r="D1068">
        <v>181</v>
      </c>
      <c r="E1068" t="s">
        <v>20</v>
      </c>
      <c r="F1068" t="s">
        <v>21</v>
      </c>
      <c r="G1068" t="s">
        <v>15</v>
      </c>
      <c r="H1068">
        <v>0.59060345915960799</v>
      </c>
      <c r="I1068">
        <v>3</v>
      </c>
      <c r="J1068" t="s">
        <v>23</v>
      </c>
      <c r="K1068" s="59" t="s">
        <v>17</v>
      </c>
    </row>
    <row r="1069" spans="1:11" x14ac:dyDescent="0.2">
      <c r="A1069" t="s">
        <v>1108</v>
      </c>
      <c r="B1069">
        <v>2018</v>
      </c>
      <c r="C1069" t="s">
        <v>12</v>
      </c>
      <c r="D1069">
        <v>63</v>
      </c>
      <c r="E1069" t="s">
        <v>38</v>
      </c>
      <c r="F1069" t="s">
        <v>39</v>
      </c>
      <c r="G1069" t="s">
        <v>15</v>
      </c>
      <c r="H1069">
        <v>-0.33491349264303921</v>
      </c>
      <c r="I1069">
        <v>3</v>
      </c>
      <c r="J1069" t="s">
        <v>23</v>
      </c>
      <c r="K1069" s="59" t="s">
        <v>23</v>
      </c>
    </row>
    <row r="1070" spans="1:11" x14ac:dyDescent="0.2">
      <c r="A1070" t="s">
        <v>1109</v>
      </c>
      <c r="B1070">
        <v>2017</v>
      </c>
      <c r="C1070" t="s">
        <v>33</v>
      </c>
      <c r="D1070">
        <v>148</v>
      </c>
      <c r="E1070" t="s">
        <v>29</v>
      </c>
      <c r="F1070" t="s">
        <v>30</v>
      </c>
      <c r="G1070" t="s">
        <v>15</v>
      </c>
      <c r="H1070">
        <v>0.4450338727248831</v>
      </c>
      <c r="I1070">
        <v>4</v>
      </c>
      <c r="J1070" t="s">
        <v>23</v>
      </c>
      <c r="K1070" s="59" t="s">
        <v>23</v>
      </c>
    </row>
    <row r="1071" spans="1:11" x14ac:dyDescent="0.2">
      <c r="A1071" t="s">
        <v>1110</v>
      </c>
      <c r="B1071">
        <v>2018</v>
      </c>
      <c r="C1071" t="s">
        <v>12</v>
      </c>
      <c r="D1071">
        <v>67</v>
      </c>
      <c r="E1071" t="s">
        <v>38</v>
      </c>
      <c r="F1071" t="s">
        <v>39</v>
      </c>
      <c r="G1071" t="s">
        <v>15</v>
      </c>
      <c r="H1071">
        <v>-0.24001829480070361</v>
      </c>
      <c r="I1071">
        <v>3</v>
      </c>
      <c r="J1071" t="s">
        <v>23</v>
      </c>
      <c r="K1071" s="59" t="s">
        <v>4376</v>
      </c>
    </row>
    <row r="1072" spans="1:11" x14ac:dyDescent="0.2">
      <c r="A1072" t="s">
        <v>1111</v>
      </c>
      <c r="B1072">
        <v>2023</v>
      </c>
      <c r="C1072" t="s">
        <v>12</v>
      </c>
      <c r="D1072">
        <v>383</v>
      </c>
      <c r="E1072" t="s">
        <v>29</v>
      </c>
      <c r="F1072" t="s">
        <v>30</v>
      </c>
      <c r="G1072" t="s">
        <v>15</v>
      </c>
      <c r="H1072">
        <v>0.21436445001295959</v>
      </c>
      <c r="I1072">
        <v>4</v>
      </c>
      <c r="J1072" t="s">
        <v>16</v>
      </c>
      <c r="K1072" s="59" t="s">
        <v>23</v>
      </c>
    </row>
    <row r="1073" spans="1:11" x14ac:dyDescent="0.2">
      <c r="A1073" t="s">
        <v>1112</v>
      </c>
      <c r="B1073">
        <v>2018</v>
      </c>
      <c r="C1073" t="s">
        <v>33</v>
      </c>
      <c r="D1073">
        <v>43</v>
      </c>
      <c r="E1073" t="s">
        <v>20</v>
      </c>
      <c r="F1073" t="s">
        <v>21</v>
      </c>
      <c r="G1073" t="s">
        <v>41</v>
      </c>
      <c r="H1073">
        <v>-1.087131524320089</v>
      </c>
      <c r="I1073">
        <v>3</v>
      </c>
      <c r="J1073" t="s">
        <v>16</v>
      </c>
      <c r="K1073" s="59" t="s">
        <v>4376</v>
      </c>
    </row>
    <row r="1074" spans="1:11" x14ac:dyDescent="0.2">
      <c r="A1074" t="s">
        <v>1113</v>
      </c>
      <c r="B1074">
        <v>2025</v>
      </c>
      <c r="C1074" t="s">
        <v>33</v>
      </c>
      <c r="D1074">
        <v>315</v>
      </c>
      <c r="E1074" t="s">
        <v>20</v>
      </c>
      <c r="F1074" t="s">
        <v>21</v>
      </c>
      <c r="G1074" t="s">
        <v>15</v>
      </c>
      <c r="H1074">
        <v>0.74753315538343834</v>
      </c>
      <c r="I1074">
        <v>3</v>
      </c>
      <c r="J1074" t="s">
        <v>16</v>
      </c>
      <c r="K1074" s="59" t="s">
        <v>4376</v>
      </c>
    </row>
    <row r="1075" spans="1:11" x14ac:dyDescent="0.2">
      <c r="A1075" t="s">
        <v>1114</v>
      </c>
      <c r="B1075">
        <v>2018</v>
      </c>
      <c r="C1075" t="s">
        <v>12</v>
      </c>
      <c r="D1075">
        <v>63</v>
      </c>
      <c r="E1075" t="s">
        <v>38</v>
      </c>
      <c r="F1075" t="s">
        <v>39</v>
      </c>
      <c r="G1075" t="s">
        <v>15</v>
      </c>
      <c r="H1075">
        <v>-0.33491349264303921</v>
      </c>
      <c r="I1075">
        <v>3</v>
      </c>
      <c r="J1075" t="s">
        <v>23</v>
      </c>
      <c r="K1075" s="59" t="s">
        <v>17</v>
      </c>
    </row>
    <row r="1076" spans="1:11" x14ac:dyDescent="0.2">
      <c r="A1076" t="s">
        <v>1115</v>
      </c>
      <c r="B1076">
        <v>2024</v>
      </c>
      <c r="C1076" t="s">
        <v>33</v>
      </c>
      <c r="D1076">
        <v>596</v>
      </c>
      <c r="E1076" t="s">
        <v>53</v>
      </c>
      <c r="F1076" t="s">
        <v>54</v>
      </c>
      <c r="G1076" t="s">
        <v>15</v>
      </c>
      <c r="H1076">
        <v>-0.34369613422991568</v>
      </c>
      <c r="I1076">
        <v>3</v>
      </c>
      <c r="J1076" t="s">
        <v>16</v>
      </c>
      <c r="K1076" s="59" t="s">
        <v>4376</v>
      </c>
    </row>
    <row r="1077" spans="1:11" x14ac:dyDescent="0.2">
      <c r="A1077" t="s">
        <v>1116</v>
      </c>
      <c r="B1077">
        <v>2018</v>
      </c>
      <c r="C1077" t="s">
        <v>33</v>
      </c>
      <c r="D1077">
        <v>63</v>
      </c>
      <c r="E1077" t="s">
        <v>20</v>
      </c>
      <c r="F1077" t="s">
        <v>21</v>
      </c>
      <c r="G1077" t="s">
        <v>22</v>
      </c>
      <c r="H1077">
        <v>-0.8831968579543108</v>
      </c>
      <c r="I1077">
        <v>3</v>
      </c>
      <c r="J1077" t="s">
        <v>23</v>
      </c>
      <c r="K1077" s="59" t="s">
        <v>4376</v>
      </c>
    </row>
    <row r="1078" spans="1:11" x14ac:dyDescent="0.2">
      <c r="A1078" t="s">
        <v>1117</v>
      </c>
      <c r="B1078">
        <v>2023</v>
      </c>
      <c r="C1078" t="s">
        <v>12</v>
      </c>
      <c r="D1078">
        <v>393</v>
      </c>
      <c r="E1078" t="s">
        <v>38</v>
      </c>
      <c r="F1078" t="s">
        <v>39</v>
      </c>
      <c r="G1078" t="s">
        <v>15</v>
      </c>
      <c r="H1078">
        <v>-5.0426212774462454E-3</v>
      </c>
      <c r="I1078">
        <v>3</v>
      </c>
      <c r="J1078" t="s">
        <v>16</v>
      </c>
      <c r="K1078" s="59" t="s">
        <v>4376</v>
      </c>
    </row>
    <row r="1079" spans="1:11" x14ac:dyDescent="0.2">
      <c r="A1079" t="s">
        <v>1118</v>
      </c>
      <c r="B1079">
        <v>2018</v>
      </c>
      <c r="C1079" t="s">
        <v>12</v>
      </c>
      <c r="D1079">
        <v>67</v>
      </c>
      <c r="E1079" t="s">
        <v>38</v>
      </c>
      <c r="F1079" t="s">
        <v>39</v>
      </c>
      <c r="G1079" t="s">
        <v>15</v>
      </c>
      <c r="H1079">
        <v>-0.24001829480070361</v>
      </c>
      <c r="I1079">
        <v>3</v>
      </c>
      <c r="J1079" t="s">
        <v>23</v>
      </c>
      <c r="K1079" s="59" t="s">
        <v>4376</v>
      </c>
    </row>
    <row r="1080" spans="1:11" x14ac:dyDescent="0.2">
      <c r="A1080" t="s">
        <v>1119</v>
      </c>
      <c r="B1080">
        <v>2022</v>
      </c>
      <c r="C1080" t="s">
        <v>19</v>
      </c>
      <c r="D1080">
        <v>353</v>
      </c>
      <c r="E1080" t="s">
        <v>53</v>
      </c>
      <c r="F1080" t="s">
        <v>54</v>
      </c>
      <c r="G1080" t="s">
        <v>15</v>
      </c>
      <c r="H1080">
        <v>0.46058692577733279</v>
      </c>
      <c r="I1080">
        <v>3</v>
      </c>
      <c r="J1080" t="s">
        <v>16</v>
      </c>
      <c r="K1080" s="59" t="s">
        <v>17</v>
      </c>
    </row>
    <row r="1081" spans="1:11" x14ac:dyDescent="0.2">
      <c r="A1081" t="s">
        <v>1120</v>
      </c>
      <c r="B1081">
        <v>2025</v>
      </c>
      <c r="C1081" t="s">
        <v>33</v>
      </c>
      <c r="D1081">
        <v>362</v>
      </c>
      <c r="E1081" t="s">
        <v>20</v>
      </c>
      <c r="F1081" t="s">
        <v>21</v>
      </c>
      <c r="G1081" t="s">
        <v>15</v>
      </c>
      <c r="H1081">
        <v>0.41445202683523519</v>
      </c>
      <c r="I1081">
        <v>3</v>
      </c>
      <c r="J1081" t="s">
        <v>16</v>
      </c>
      <c r="K1081" s="59" t="s">
        <v>4376</v>
      </c>
    </row>
    <row r="1082" spans="1:11" x14ac:dyDescent="0.2">
      <c r="A1082" t="s">
        <v>1121</v>
      </c>
      <c r="B1082">
        <v>2022</v>
      </c>
      <c r="C1082" t="s">
        <v>19</v>
      </c>
      <c r="D1082">
        <v>353</v>
      </c>
      <c r="E1082" t="s">
        <v>53</v>
      </c>
      <c r="F1082" t="s">
        <v>54</v>
      </c>
      <c r="G1082" t="s">
        <v>15</v>
      </c>
      <c r="H1082">
        <v>0.46058692577733279</v>
      </c>
      <c r="I1082">
        <v>3</v>
      </c>
      <c r="J1082" t="s">
        <v>16</v>
      </c>
      <c r="K1082" s="59" t="s">
        <v>17</v>
      </c>
    </row>
    <row r="1083" spans="1:11" x14ac:dyDescent="0.2">
      <c r="A1083" t="s">
        <v>1122</v>
      </c>
      <c r="B1083">
        <v>2021</v>
      </c>
      <c r="C1083" t="s">
        <v>19</v>
      </c>
      <c r="D1083">
        <v>84</v>
      </c>
      <c r="E1083" t="s">
        <v>25</v>
      </c>
      <c r="F1083" t="s">
        <v>26</v>
      </c>
      <c r="G1083" t="s">
        <v>15</v>
      </c>
      <c r="H1083">
        <v>-0.55658274385286954</v>
      </c>
      <c r="I1083">
        <v>2</v>
      </c>
      <c r="J1083" t="s">
        <v>23</v>
      </c>
      <c r="K1083" s="59" t="s">
        <v>17</v>
      </c>
    </row>
    <row r="1084" spans="1:11" x14ac:dyDescent="0.2">
      <c r="A1084" t="s">
        <v>1123</v>
      </c>
      <c r="B1084">
        <v>2025</v>
      </c>
      <c r="C1084" t="s">
        <v>12</v>
      </c>
      <c r="D1084">
        <v>53</v>
      </c>
      <c r="E1084" t="s">
        <v>13</v>
      </c>
      <c r="F1084" t="s">
        <v>14</v>
      </c>
      <c r="G1084" t="s">
        <v>41</v>
      </c>
      <c r="H1084">
        <v>-0.56767529867140909</v>
      </c>
      <c r="I1084">
        <v>4</v>
      </c>
      <c r="J1084" t="s">
        <v>16</v>
      </c>
      <c r="K1084" s="59" t="s">
        <v>23</v>
      </c>
    </row>
    <row r="1085" spans="1:11" x14ac:dyDescent="0.2">
      <c r="A1085" t="s">
        <v>1124</v>
      </c>
      <c r="B1085">
        <v>2025</v>
      </c>
      <c r="C1085" t="s">
        <v>19</v>
      </c>
      <c r="D1085">
        <v>226</v>
      </c>
      <c r="E1085" t="s">
        <v>20</v>
      </c>
      <c r="F1085" t="s">
        <v>21</v>
      </c>
      <c r="G1085" t="s">
        <v>15</v>
      </c>
      <c r="H1085">
        <v>-0.26922090893492012</v>
      </c>
      <c r="I1085">
        <v>3</v>
      </c>
      <c r="J1085" t="s">
        <v>16</v>
      </c>
      <c r="K1085" s="59" t="s">
        <v>4376</v>
      </c>
    </row>
    <row r="1086" spans="1:11" x14ac:dyDescent="0.2">
      <c r="A1086" t="s">
        <v>1125</v>
      </c>
      <c r="B1086">
        <v>2018</v>
      </c>
      <c r="C1086" t="s">
        <v>19</v>
      </c>
      <c r="D1086">
        <v>82</v>
      </c>
      <c r="E1086" t="s">
        <v>29</v>
      </c>
      <c r="F1086" t="s">
        <v>30</v>
      </c>
      <c r="G1086" t="s">
        <v>48</v>
      </c>
      <c r="H1086">
        <v>0.61922806691231846</v>
      </c>
      <c r="I1086">
        <v>4</v>
      </c>
      <c r="J1086" t="s">
        <v>23</v>
      </c>
      <c r="K1086" s="59" t="s">
        <v>23</v>
      </c>
    </row>
    <row r="1087" spans="1:11" x14ac:dyDescent="0.2">
      <c r="A1087" t="s">
        <v>1126</v>
      </c>
      <c r="B1087">
        <v>2016</v>
      </c>
      <c r="C1087" t="s">
        <v>19</v>
      </c>
      <c r="D1087">
        <v>88</v>
      </c>
      <c r="E1087" t="s">
        <v>38</v>
      </c>
      <c r="F1087" t="s">
        <v>39</v>
      </c>
      <c r="G1087" t="s">
        <v>15</v>
      </c>
      <c r="H1087">
        <v>0.1382145534174688</v>
      </c>
      <c r="I1087">
        <v>3</v>
      </c>
      <c r="J1087" t="s">
        <v>23</v>
      </c>
      <c r="K1087" s="59" t="s">
        <v>23</v>
      </c>
    </row>
    <row r="1088" spans="1:11" x14ac:dyDescent="0.2">
      <c r="A1088" t="s">
        <v>1127</v>
      </c>
      <c r="B1088">
        <v>2019</v>
      </c>
      <c r="C1088" t="s">
        <v>33</v>
      </c>
      <c r="D1088">
        <v>81</v>
      </c>
      <c r="E1088" t="s">
        <v>20</v>
      </c>
      <c r="F1088" t="s">
        <v>21</v>
      </c>
      <c r="G1088" t="s">
        <v>15</v>
      </c>
      <c r="H1088">
        <v>-0.6252989600664195</v>
      </c>
      <c r="I1088">
        <v>3</v>
      </c>
      <c r="J1088" t="s">
        <v>17</v>
      </c>
      <c r="K1088" s="59" t="s">
        <v>4376</v>
      </c>
    </row>
    <row r="1089" spans="1:11" x14ac:dyDescent="0.2">
      <c r="A1089" t="s">
        <v>1128</v>
      </c>
      <c r="B1089">
        <v>2018</v>
      </c>
      <c r="C1089" t="s">
        <v>12</v>
      </c>
      <c r="D1089">
        <v>67</v>
      </c>
      <c r="E1089" t="s">
        <v>38</v>
      </c>
      <c r="F1089" t="s">
        <v>39</v>
      </c>
      <c r="G1089" t="s">
        <v>15</v>
      </c>
      <c r="H1089">
        <v>-0.24001829480070361</v>
      </c>
      <c r="I1089">
        <v>3</v>
      </c>
      <c r="J1089" t="s">
        <v>23</v>
      </c>
      <c r="K1089" s="59" t="s">
        <v>4376</v>
      </c>
    </row>
    <row r="1090" spans="1:11" x14ac:dyDescent="0.2">
      <c r="A1090" t="s">
        <v>1129</v>
      </c>
      <c r="B1090">
        <v>2022</v>
      </c>
      <c r="C1090" t="s">
        <v>33</v>
      </c>
      <c r="D1090">
        <v>496</v>
      </c>
      <c r="E1090" t="s">
        <v>20</v>
      </c>
      <c r="F1090" t="s">
        <v>21</v>
      </c>
      <c r="G1090" t="s">
        <v>15</v>
      </c>
      <c r="H1090">
        <v>0.43862967440916872</v>
      </c>
      <c r="I1090">
        <v>3</v>
      </c>
      <c r="J1090" t="s">
        <v>17</v>
      </c>
      <c r="K1090" s="59" t="s">
        <v>4376</v>
      </c>
    </row>
    <row r="1091" spans="1:11" x14ac:dyDescent="0.2">
      <c r="A1091" t="s">
        <v>1130</v>
      </c>
      <c r="B1091">
        <v>2019</v>
      </c>
      <c r="C1091" t="s">
        <v>33</v>
      </c>
      <c r="D1091">
        <v>64</v>
      </c>
      <c r="E1091" t="s">
        <v>20</v>
      </c>
      <c r="F1091" t="s">
        <v>21</v>
      </c>
      <c r="G1091" t="s">
        <v>15</v>
      </c>
      <c r="H1091">
        <v>-0.99751179788981514</v>
      </c>
      <c r="I1091">
        <v>3</v>
      </c>
      <c r="J1091" t="s">
        <v>16</v>
      </c>
      <c r="K1091" s="59" t="s">
        <v>4376</v>
      </c>
    </row>
    <row r="1092" spans="1:11" x14ac:dyDescent="0.2">
      <c r="A1092" t="s">
        <v>1131</v>
      </c>
      <c r="B1092">
        <v>2021</v>
      </c>
      <c r="C1092" t="s">
        <v>19</v>
      </c>
      <c r="D1092">
        <v>147</v>
      </c>
      <c r="E1092" t="s">
        <v>25</v>
      </c>
      <c r="F1092" t="s">
        <v>26</v>
      </c>
      <c r="G1092" t="s">
        <v>15</v>
      </c>
      <c r="H1092">
        <v>0.4998788492782581</v>
      </c>
      <c r="I1092">
        <v>2</v>
      </c>
      <c r="J1092" t="s">
        <v>23</v>
      </c>
      <c r="K1092" s="59" t="s">
        <v>16</v>
      </c>
    </row>
    <row r="1093" spans="1:11" x14ac:dyDescent="0.2">
      <c r="A1093" t="s">
        <v>1132</v>
      </c>
      <c r="B1093">
        <v>2016</v>
      </c>
      <c r="C1093" t="s">
        <v>33</v>
      </c>
      <c r="D1093">
        <v>65</v>
      </c>
      <c r="E1093" t="s">
        <v>29</v>
      </c>
      <c r="F1093" t="s">
        <v>30</v>
      </c>
      <c r="G1093" t="s">
        <v>34</v>
      </c>
      <c r="H1093">
        <v>-1.928362023078922</v>
      </c>
      <c r="I1093">
        <v>4</v>
      </c>
      <c r="J1093" t="s">
        <v>17</v>
      </c>
      <c r="K1093" s="59" t="s">
        <v>4376</v>
      </c>
    </row>
    <row r="1094" spans="1:11" x14ac:dyDescent="0.2">
      <c r="A1094" t="s">
        <v>1133</v>
      </c>
      <c r="B1094">
        <v>2019</v>
      </c>
      <c r="C1094" t="s">
        <v>33</v>
      </c>
      <c r="D1094">
        <v>186</v>
      </c>
      <c r="E1094" t="s">
        <v>25</v>
      </c>
      <c r="F1094" t="s">
        <v>26</v>
      </c>
      <c r="G1094" t="s">
        <v>15</v>
      </c>
      <c r="H1094">
        <v>-0.36937264269751841</v>
      </c>
      <c r="I1094">
        <v>2</v>
      </c>
      <c r="J1094" t="s">
        <v>23</v>
      </c>
      <c r="K1094" s="59" t="s">
        <v>4376</v>
      </c>
    </row>
    <row r="1095" spans="1:11" x14ac:dyDescent="0.2">
      <c r="A1095" t="s">
        <v>1134</v>
      </c>
      <c r="B1095">
        <v>2017</v>
      </c>
      <c r="C1095" t="s">
        <v>19</v>
      </c>
      <c r="D1095">
        <v>120</v>
      </c>
      <c r="E1095" t="s">
        <v>20</v>
      </c>
      <c r="F1095" t="s">
        <v>21</v>
      </c>
      <c r="G1095" t="s">
        <v>15</v>
      </c>
      <c r="H1095">
        <v>-0.88319685795431047</v>
      </c>
      <c r="I1095">
        <v>3</v>
      </c>
      <c r="J1095" t="s">
        <v>23</v>
      </c>
      <c r="K1095" s="59" t="s">
        <v>16</v>
      </c>
    </row>
    <row r="1096" spans="1:11" x14ac:dyDescent="0.2">
      <c r="A1096" t="s">
        <v>1135</v>
      </c>
      <c r="B1096">
        <v>2025</v>
      </c>
      <c r="C1096" t="s">
        <v>33</v>
      </c>
      <c r="D1096">
        <v>733</v>
      </c>
      <c r="E1096" t="s">
        <v>13</v>
      </c>
      <c r="F1096" t="s">
        <v>14</v>
      </c>
      <c r="G1096" t="s">
        <v>15</v>
      </c>
      <c r="H1096">
        <v>-0.20788240312451151</v>
      </c>
      <c r="I1096">
        <v>4</v>
      </c>
      <c r="J1096" t="s">
        <v>16</v>
      </c>
      <c r="K1096" s="59" t="s">
        <v>4376</v>
      </c>
    </row>
    <row r="1097" spans="1:11" x14ac:dyDescent="0.2">
      <c r="A1097" t="s">
        <v>1136</v>
      </c>
      <c r="B1097">
        <v>2019</v>
      </c>
      <c r="C1097" t="s">
        <v>33</v>
      </c>
      <c r="D1097">
        <v>53</v>
      </c>
      <c r="E1097" t="s">
        <v>13</v>
      </c>
      <c r="F1097" t="s">
        <v>14</v>
      </c>
      <c r="G1097" t="s">
        <v>15</v>
      </c>
      <c r="H1097">
        <v>-1.506276091009368</v>
      </c>
      <c r="I1097">
        <v>4</v>
      </c>
      <c r="J1097" t="s">
        <v>17</v>
      </c>
      <c r="K1097" s="59" t="s">
        <v>4376</v>
      </c>
    </row>
    <row r="1098" spans="1:11" x14ac:dyDescent="0.2">
      <c r="A1098" t="s">
        <v>1137</v>
      </c>
      <c r="B1098">
        <v>2019</v>
      </c>
      <c r="C1098" t="s">
        <v>33</v>
      </c>
      <c r="D1098">
        <v>93</v>
      </c>
      <c r="E1098" t="s">
        <v>20</v>
      </c>
      <c r="F1098" t="s">
        <v>21</v>
      </c>
      <c r="G1098" t="s">
        <v>15</v>
      </c>
      <c r="H1098">
        <v>-0.90668371559756034</v>
      </c>
      <c r="I1098">
        <v>3</v>
      </c>
      <c r="J1098" t="s">
        <v>16</v>
      </c>
      <c r="K1098" s="59" t="s">
        <v>4376</v>
      </c>
    </row>
    <row r="1099" spans="1:11" x14ac:dyDescent="0.2">
      <c r="A1099" t="s">
        <v>1138</v>
      </c>
      <c r="B1099">
        <v>2019</v>
      </c>
      <c r="C1099" t="s">
        <v>19</v>
      </c>
      <c r="D1099">
        <v>82</v>
      </c>
      <c r="E1099" t="s">
        <v>20</v>
      </c>
      <c r="F1099" t="s">
        <v>21</v>
      </c>
      <c r="G1099" t="s">
        <v>57</v>
      </c>
      <c r="H1099">
        <v>1.207133472294913</v>
      </c>
      <c r="I1099">
        <v>3</v>
      </c>
      <c r="J1099" t="s">
        <v>23</v>
      </c>
      <c r="K1099" s="59" t="s">
        <v>4376</v>
      </c>
    </row>
    <row r="1100" spans="1:11" x14ac:dyDescent="0.2">
      <c r="A1100" t="s">
        <v>1139</v>
      </c>
      <c r="B1100">
        <v>2020</v>
      </c>
      <c r="C1100" t="s">
        <v>12</v>
      </c>
      <c r="D1100">
        <v>96</v>
      </c>
      <c r="E1100" t="s">
        <v>20</v>
      </c>
      <c r="F1100" t="s">
        <v>21</v>
      </c>
      <c r="G1100" t="s">
        <v>48</v>
      </c>
      <c r="H1100">
        <v>0.68455088973260669</v>
      </c>
      <c r="I1100">
        <v>3</v>
      </c>
      <c r="J1100" t="s">
        <v>16</v>
      </c>
      <c r="K1100" s="59" t="s">
        <v>4376</v>
      </c>
    </row>
    <row r="1101" spans="1:11" x14ac:dyDescent="0.2">
      <c r="A1101" t="s">
        <v>1140</v>
      </c>
      <c r="B1101">
        <v>2020</v>
      </c>
      <c r="C1101" t="s">
        <v>33</v>
      </c>
      <c r="D1101">
        <v>367</v>
      </c>
      <c r="E1101" t="s">
        <v>20</v>
      </c>
      <c r="F1101" t="s">
        <v>21</v>
      </c>
      <c r="G1101" t="s">
        <v>15</v>
      </c>
      <c r="H1101">
        <v>7.1407120987628622E-2</v>
      </c>
      <c r="I1101">
        <v>3</v>
      </c>
      <c r="J1101" t="s">
        <v>23</v>
      </c>
      <c r="K1101" s="59" t="s">
        <v>4376</v>
      </c>
    </row>
    <row r="1102" spans="1:11" x14ac:dyDescent="0.2">
      <c r="A1102" t="s">
        <v>1141</v>
      </c>
      <c r="B1102">
        <v>2018</v>
      </c>
      <c r="C1102" t="s">
        <v>19</v>
      </c>
      <c r="D1102">
        <v>149</v>
      </c>
      <c r="E1102" t="s">
        <v>20</v>
      </c>
      <c r="F1102" t="s">
        <v>21</v>
      </c>
      <c r="G1102" t="s">
        <v>15</v>
      </c>
      <c r="H1102">
        <v>-8.1426320324471585E-2</v>
      </c>
      <c r="I1102">
        <v>3</v>
      </c>
      <c r="J1102" t="s">
        <v>23</v>
      </c>
      <c r="K1102" s="59" t="s">
        <v>23</v>
      </c>
    </row>
    <row r="1103" spans="1:11" x14ac:dyDescent="0.2">
      <c r="A1103" t="s">
        <v>1142</v>
      </c>
      <c r="B1103">
        <v>2018</v>
      </c>
      <c r="C1103" t="s">
        <v>33</v>
      </c>
      <c r="D1103">
        <v>59</v>
      </c>
      <c r="E1103" t="s">
        <v>20</v>
      </c>
      <c r="F1103" t="s">
        <v>21</v>
      </c>
      <c r="G1103" t="s">
        <v>48</v>
      </c>
      <c r="H1103">
        <v>0.1069596142690056</v>
      </c>
      <c r="I1103">
        <v>3</v>
      </c>
      <c r="J1103" t="s">
        <v>16</v>
      </c>
      <c r="K1103" s="59" t="s">
        <v>4376</v>
      </c>
    </row>
    <row r="1104" spans="1:11" x14ac:dyDescent="0.2">
      <c r="A1104" t="s">
        <v>1143</v>
      </c>
      <c r="B1104">
        <v>2025</v>
      </c>
      <c r="C1104" t="s">
        <v>33</v>
      </c>
      <c r="D1104">
        <v>500</v>
      </c>
      <c r="E1104" t="s">
        <v>20</v>
      </c>
      <c r="F1104" t="s">
        <v>21</v>
      </c>
      <c r="G1104" t="s">
        <v>15</v>
      </c>
      <c r="H1104">
        <v>-0.37027185905332061</v>
      </c>
      <c r="I1104">
        <v>3</v>
      </c>
      <c r="J1104" t="s">
        <v>17</v>
      </c>
      <c r="K1104" s="59" t="s">
        <v>4376</v>
      </c>
    </row>
    <row r="1105" spans="1:11" x14ac:dyDescent="0.2">
      <c r="A1105" t="s">
        <v>1144</v>
      </c>
      <c r="B1105">
        <v>2018</v>
      </c>
      <c r="C1105" t="s">
        <v>12</v>
      </c>
      <c r="D1105">
        <v>104</v>
      </c>
      <c r="E1105" t="s">
        <v>20</v>
      </c>
      <c r="F1105" t="s">
        <v>21</v>
      </c>
      <c r="G1105" t="s">
        <v>22</v>
      </c>
      <c r="H1105">
        <v>-0.18986947118847919</v>
      </c>
      <c r="I1105">
        <v>3</v>
      </c>
      <c r="J1105" t="s">
        <v>23</v>
      </c>
      <c r="K1105" s="59" t="s">
        <v>16</v>
      </c>
    </row>
    <row r="1106" spans="1:11" x14ac:dyDescent="0.2">
      <c r="A1106" t="s">
        <v>1145</v>
      </c>
      <c r="B1106">
        <v>2018</v>
      </c>
      <c r="C1106" t="s">
        <v>19</v>
      </c>
      <c r="D1106">
        <v>107</v>
      </c>
      <c r="E1106" t="s">
        <v>38</v>
      </c>
      <c r="F1106" t="s">
        <v>39</v>
      </c>
      <c r="G1106" t="s">
        <v>15</v>
      </c>
      <c r="H1106">
        <v>0.29388235713748501</v>
      </c>
      <c r="I1106">
        <v>3</v>
      </c>
      <c r="J1106" t="s">
        <v>23</v>
      </c>
      <c r="K1106" s="59" t="s">
        <v>16</v>
      </c>
    </row>
    <row r="1107" spans="1:11" x14ac:dyDescent="0.2">
      <c r="A1107" t="s">
        <v>1146</v>
      </c>
      <c r="B1107">
        <v>2016</v>
      </c>
      <c r="C1107" t="s">
        <v>33</v>
      </c>
      <c r="D1107">
        <v>65</v>
      </c>
      <c r="E1107" t="s">
        <v>29</v>
      </c>
      <c r="F1107" t="s">
        <v>30</v>
      </c>
      <c r="G1107" t="s">
        <v>34</v>
      </c>
      <c r="H1107">
        <v>-1.928362023078922</v>
      </c>
      <c r="I1107">
        <v>4</v>
      </c>
      <c r="J1107" t="s">
        <v>17</v>
      </c>
      <c r="K1107" s="59" t="s">
        <v>4376</v>
      </c>
    </row>
    <row r="1108" spans="1:11" x14ac:dyDescent="0.2">
      <c r="A1108" t="s">
        <v>1147</v>
      </c>
      <c r="B1108">
        <v>2019</v>
      </c>
      <c r="C1108" t="s">
        <v>19</v>
      </c>
      <c r="D1108">
        <v>140</v>
      </c>
      <c r="E1108" t="s">
        <v>20</v>
      </c>
      <c r="F1108" t="s">
        <v>21</v>
      </c>
      <c r="G1108" t="s">
        <v>48</v>
      </c>
      <c r="H1108">
        <v>-0.1463178206722105</v>
      </c>
      <c r="I1108">
        <v>3</v>
      </c>
      <c r="J1108" t="s">
        <v>23</v>
      </c>
      <c r="K1108" s="59" t="s">
        <v>23</v>
      </c>
    </row>
    <row r="1109" spans="1:11" x14ac:dyDescent="0.2">
      <c r="A1109" t="s">
        <v>1148</v>
      </c>
      <c r="B1109">
        <v>2018</v>
      </c>
      <c r="C1109" t="s">
        <v>12</v>
      </c>
      <c r="D1109">
        <v>122</v>
      </c>
      <c r="E1109" t="s">
        <v>20</v>
      </c>
      <c r="F1109" t="s">
        <v>21</v>
      </c>
      <c r="G1109" t="s">
        <v>15</v>
      </c>
      <c r="H1109">
        <v>0.41667242304100482</v>
      </c>
      <c r="I1109">
        <v>3</v>
      </c>
      <c r="J1109" t="s">
        <v>23</v>
      </c>
      <c r="K1109" s="59" t="s">
        <v>16</v>
      </c>
    </row>
    <row r="1110" spans="1:11" x14ac:dyDescent="0.2">
      <c r="A1110" t="s">
        <v>1149</v>
      </c>
      <c r="B1110">
        <v>2022</v>
      </c>
      <c r="C1110" t="s">
        <v>33</v>
      </c>
      <c r="D1110">
        <v>504</v>
      </c>
      <c r="E1110" t="s">
        <v>20</v>
      </c>
      <c r="F1110" t="s">
        <v>21</v>
      </c>
      <c r="G1110" t="s">
        <v>15</v>
      </c>
      <c r="H1110">
        <v>0.4485458524464041</v>
      </c>
      <c r="I1110">
        <v>3</v>
      </c>
      <c r="J1110" t="s">
        <v>17</v>
      </c>
      <c r="K1110" s="59" t="s">
        <v>4376</v>
      </c>
    </row>
    <row r="1111" spans="1:11" x14ac:dyDescent="0.2">
      <c r="A1111" t="s">
        <v>1150</v>
      </c>
      <c r="B1111">
        <v>2017</v>
      </c>
      <c r="C1111" t="s">
        <v>19</v>
      </c>
      <c r="D1111">
        <v>65</v>
      </c>
      <c r="E1111" t="s">
        <v>38</v>
      </c>
      <c r="F1111" t="s">
        <v>39</v>
      </c>
      <c r="G1111" t="s">
        <v>15</v>
      </c>
      <c r="H1111">
        <v>0.40997360058970028</v>
      </c>
      <c r="I1111">
        <v>3</v>
      </c>
      <c r="J1111" t="s">
        <v>23</v>
      </c>
      <c r="K1111" s="59" t="s">
        <v>17</v>
      </c>
    </row>
    <row r="1112" spans="1:11" x14ac:dyDescent="0.2">
      <c r="A1112" t="s">
        <v>1151</v>
      </c>
      <c r="B1112">
        <v>2025</v>
      </c>
      <c r="C1112" t="s">
        <v>33</v>
      </c>
      <c r="D1112">
        <v>52</v>
      </c>
      <c r="E1112" t="s">
        <v>20</v>
      </c>
      <c r="F1112" t="s">
        <v>21</v>
      </c>
      <c r="G1112" t="s">
        <v>15</v>
      </c>
      <c r="H1112">
        <v>0.30266361786015239</v>
      </c>
      <c r="I1112">
        <v>3</v>
      </c>
      <c r="J1112" t="s">
        <v>17</v>
      </c>
      <c r="K1112" s="59" t="s">
        <v>4376</v>
      </c>
    </row>
    <row r="1113" spans="1:11" x14ac:dyDescent="0.2">
      <c r="A1113" t="s">
        <v>1152</v>
      </c>
      <c r="B1113">
        <v>2018</v>
      </c>
      <c r="C1113" t="s">
        <v>33</v>
      </c>
      <c r="D1113">
        <v>122</v>
      </c>
      <c r="E1113" t="s">
        <v>20</v>
      </c>
      <c r="F1113" t="s">
        <v>21</v>
      </c>
      <c r="G1113" t="s">
        <v>15</v>
      </c>
      <c r="H1113">
        <v>0.41667242304100482</v>
      </c>
      <c r="I1113">
        <v>3</v>
      </c>
      <c r="J1113" t="s">
        <v>23</v>
      </c>
      <c r="K1113" s="59" t="s">
        <v>4376</v>
      </c>
    </row>
    <row r="1114" spans="1:11" x14ac:dyDescent="0.2">
      <c r="A1114" t="s">
        <v>1153</v>
      </c>
      <c r="B1114">
        <v>2020</v>
      </c>
      <c r="C1114" t="s">
        <v>19</v>
      </c>
      <c r="D1114">
        <v>229</v>
      </c>
      <c r="E1114" t="s">
        <v>20</v>
      </c>
      <c r="F1114" t="s">
        <v>21</v>
      </c>
      <c r="G1114" t="s">
        <v>15</v>
      </c>
      <c r="H1114">
        <v>-0.84668453777528485</v>
      </c>
      <c r="I1114">
        <v>3</v>
      </c>
      <c r="J1114" t="s">
        <v>23</v>
      </c>
      <c r="K1114" s="59" t="s">
        <v>16</v>
      </c>
    </row>
    <row r="1115" spans="1:11" x14ac:dyDescent="0.2">
      <c r="A1115" t="s">
        <v>1154</v>
      </c>
      <c r="B1115">
        <v>2020</v>
      </c>
      <c r="C1115" t="s">
        <v>33</v>
      </c>
      <c r="D1115">
        <v>49</v>
      </c>
      <c r="E1115" t="s">
        <v>25</v>
      </c>
      <c r="F1115" t="s">
        <v>26</v>
      </c>
      <c r="G1115" t="s">
        <v>34</v>
      </c>
      <c r="H1115">
        <v>0.18468928902083601</v>
      </c>
      <c r="I1115">
        <v>2</v>
      </c>
      <c r="J1115" t="s">
        <v>17</v>
      </c>
      <c r="K1115" s="59" t="s">
        <v>4376</v>
      </c>
    </row>
    <row r="1116" spans="1:11" x14ac:dyDescent="0.2">
      <c r="A1116" t="s">
        <v>1155</v>
      </c>
      <c r="B1116">
        <v>2025</v>
      </c>
      <c r="C1116" t="s">
        <v>19</v>
      </c>
      <c r="D1116">
        <v>86</v>
      </c>
      <c r="E1116" t="s">
        <v>25</v>
      </c>
      <c r="F1116" t="s">
        <v>26</v>
      </c>
      <c r="G1116" t="s">
        <v>15</v>
      </c>
      <c r="H1116">
        <v>8.7313652518543006E-2</v>
      </c>
      <c r="I1116">
        <v>2</v>
      </c>
      <c r="J1116" t="s">
        <v>16</v>
      </c>
      <c r="K1116" s="59" t="s">
        <v>23</v>
      </c>
    </row>
    <row r="1117" spans="1:11" x14ac:dyDescent="0.2">
      <c r="A1117" t="s">
        <v>1156</v>
      </c>
      <c r="B1117">
        <v>2025</v>
      </c>
      <c r="C1117" t="s">
        <v>19</v>
      </c>
      <c r="D1117">
        <v>302</v>
      </c>
      <c r="E1117" t="s">
        <v>13</v>
      </c>
      <c r="F1117" t="s">
        <v>14</v>
      </c>
      <c r="G1117" t="s">
        <v>15</v>
      </c>
      <c r="H1117">
        <v>-0.53480846957944006</v>
      </c>
      <c r="I1117">
        <v>4</v>
      </c>
      <c r="J1117" t="s">
        <v>17</v>
      </c>
      <c r="K1117" s="59" t="s">
        <v>17</v>
      </c>
    </row>
    <row r="1118" spans="1:11" x14ac:dyDescent="0.2">
      <c r="A1118" t="s">
        <v>1157</v>
      </c>
      <c r="B1118">
        <v>2021</v>
      </c>
      <c r="C1118" t="s">
        <v>33</v>
      </c>
      <c r="D1118">
        <v>344</v>
      </c>
      <c r="E1118" t="s">
        <v>38</v>
      </c>
      <c r="F1118" t="s">
        <v>39</v>
      </c>
      <c r="G1118" t="s">
        <v>15</v>
      </c>
      <c r="H1118">
        <v>0.79091725609484598</v>
      </c>
      <c r="I1118">
        <v>3</v>
      </c>
      <c r="J1118" t="s">
        <v>23</v>
      </c>
      <c r="K1118" s="59" t="s">
        <v>4376</v>
      </c>
    </row>
    <row r="1119" spans="1:11" x14ac:dyDescent="0.2">
      <c r="A1119" t="s">
        <v>1158</v>
      </c>
      <c r="B1119">
        <v>2025</v>
      </c>
      <c r="C1119" t="s">
        <v>33</v>
      </c>
      <c r="D1119">
        <v>130</v>
      </c>
      <c r="E1119" t="s">
        <v>25</v>
      </c>
      <c r="F1119" t="s">
        <v>26</v>
      </c>
      <c r="G1119" t="s">
        <v>48</v>
      </c>
      <c r="H1119">
        <v>-6.745819249119929E-2</v>
      </c>
      <c r="I1119">
        <v>2</v>
      </c>
      <c r="J1119" t="s">
        <v>23</v>
      </c>
      <c r="K1119" s="59" t="s">
        <v>4376</v>
      </c>
    </row>
    <row r="1120" spans="1:11" x14ac:dyDescent="0.2">
      <c r="A1120" t="s">
        <v>1159</v>
      </c>
      <c r="B1120">
        <v>2025</v>
      </c>
      <c r="C1120" t="s">
        <v>19</v>
      </c>
      <c r="D1120">
        <v>281</v>
      </c>
      <c r="E1120" t="s">
        <v>20</v>
      </c>
      <c r="F1120" t="s">
        <v>21</v>
      </c>
      <c r="G1120" t="s">
        <v>15</v>
      </c>
      <c r="H1120">
        <v>1.207133472294913</v>
      </c>
      <c r="I1120">
        <v>3</v>
      </c>
      <c r="J1120" t="s">
        <v>23</v>
      </c>
      <c r="K1120" s="59" t="s">
        <v>17</v>
      </c>
    </row>
    <row r="1121" spans="1:11" x14ac:dyDescent="0.2">
      <c r="A1121" t="s">
        <v>1160</v>
      </c>
      <c r="B1121">
        <v>2025</v>
      </c>
      <c r="C1121" t="s">
        <v>19</v>
      </c>
      <c r="D1121">
        <v>235</v>
      </c>
      <c r="E1121" t="s">
        <v>20</v>
      </c>
      <c r="F1121" t="s">
        <v>21</v>
      </c>
      <c r="G1121" t="s">
        <v>15</v>
      </c>
      <c r="H1121">
        <v>0.80342160593776646</v>
      </c>
      <c r="I1121">
        <v>3</v>
      </c>
      <c r="J1121" t="s">
        <v>23</v>
      </c>
      <c r="K1121" s="59" t="s">
        <v>17</v>
      </c>
    </row>
    <row r="1122" spans="1:11" x14ac:dyDescent="0.2">
      <c r="A1122" t="s">
        <v>1161</v>
      </c>
      <c r="B1122">
        <v>2016</v>
      </c>
      <c r="C1122" t="s">
        <v>33</v>
      </c>
      <c r="D1122">
        <v>109</v>
      </c>
      <c r="E1122" t="s">
        <v>13</v>
      </c>
      <c r="F1122" t="s">
        <v>14</v>
      </c>
      <c r="G1122" t="s">
        <v>15</v>
      </c>
      <c r="H1122">
        <v>-2.8201084483687291</v>
      </c>
      <c r="I1122">
        <v>4</v>
      </c>
      <c r="J1122" t="s">
        <v>17</v>
      </c>
      <c r="K1122" s="59" t="s">
        <v>23</v>
      </c>
    </row>
    <row r="1123" spans="1:11" x14ac:dyDescent="0.2">
      <c r="A1123" t="s">
        <v>1162</v>
      </c>
      <c r="B1123">
        <v>2018</v>
      </c>
      <c r="C1123" t="s">
        <v>19</v>
      </c>
      <c r="D1123">
        <v>201</v>
      </c>
      <c r="E1123" t="s">
        <v>13</v>
      </c>
      <c r="F1123" t="s">
        <v>14</v>
      </c>
      <c r="G1123" t="s">
        <v>48</v>
      </c>
      <c r="H1123">
        <v>1.173666381899163E-3</v>
      </c>
      <c r="I1123">
        <v>4</v>
      </c>
      <c r="J1123" t="s">
        <v>23</v>
      </c>
      <c r="K1123" s="59" t="s">
        <v>4376</v>
      </c>
    </row>
    <row r="1124" spans="1:11" x14ac:dyDescent="0.2">
      <c r="A1124" t="s">
        <v>1163</v>
      </c>
      <c r="B1124">
        <v>2019</v>
      </c>
      <c r="C1124" t="s">
        <v>33</v>
      </c>
      <c r="D1124">
        <v>124</v>
      </c>
      <c r="E1124" t="s">
        <v>25</v>
      </c>
      <c r="F1124" t="s">
        <v>26</v>
      </c>
      <c r="G1124" t="s">
        <v>48</v>
      </c>
      <c r="H1124">
        <v>3.1322661529724391E-2</v>
      </c>
      <c r="I1124">
        <v>2</v>
      </c>
      <c r="J1124" t="s">
        <v>23</v>
      </c>
      <c r="K1124" s="59" t="s">
        <v>23</v>
      </c>
    </row>
    <row r="1125" spans="1:11" x14ac:dyDescent="0.2">
      <c r="A1125" t="s">
        <v>1164</v>
      </c>
      <c r="B1125">
        <v>2018</v>
      </c>
      <c r="C1125" t="s">
        <v>19</v>
      </c>
      <c r="D1125">
        <v>120</v>
      </c>
      <c r="E1125" t="s">
        <v>20</v>
      </c>
      <c r="F1125" t="s">
        <v>21</v>
      </c>
      <c r="G1125" t="s">
        <v>15</v>
      </c>
      <c r="H1125">
        <v>1.173666381899163E-3</v>
      </c>
      <c r="I1125">
        <v>3</v>
      </c>
      <c r="J1125" t="s">
        <v>23</v>
      </c>
      <c r="K1125" s="59" t="s">
        <v>17</v>
      </c>
    </row>
    <row r="1126" spans="1:11" x14ac:dyDescent="0.2">
      <c r="A1126" t="s">
        <v>1165</v>
      </c>
      <c r="B1126">
        <v>2019</v>
      </c>
      <c r="C1126" t="s">
        <v>33</v>
      </c>
      <c r="D1126">
        <v>69</v>
      </c>
      <c r="E1126" t="s">
        <v>29</v>
      </c>
      <c r="F1126" t="s">
        <v>30</v>
      </c>
      <c r="G1126" t="s">
        <v>36</v>
      </c>
      <c r="H1126">
        <v>-1.6433169780449379</v>
      </c>
      <c r="I1126">
        <v>4</v>
      </c>
      <c r="J1126" t="s">
        <v>23</v>
      </c>
      <c r="K1126" s="59" t="s">
        <v>4376</v>
      </c>
    </row>
    <row r="1127" spans="1:11" x14ac:dyDescent="0.2">
      <c r="A1127" t="s">
        <v>1166</v>
      </c>
      <c r="B1127">
        <v>2022</v>
      </c>
      <c r="C1127" t="s">
        <v>12</v>
      </c>
      <c r="D1127">
        <v>68</v>
      </c>
      <c r="E1127" t="s">
        <v>25</v>
      </c>
      <c r="F1127" t="s">
        <v>26</v>
      </c>
      <c r="G1127" t="s">
        <v>80</v>
      </c>
      <c r="H1127">
        <v>-0.26263004116157262</v>
      </c>
      <c r="I1127">
        <v>2</v>
      </c>
      <c r="J1127" t="s">
        <v>23</v>
      </c>
      <c r="K1127" s="59" t="s">
        <v>17</v>
      </c>
    </row>
    <row r="1128" spans="1:11" x14ac:dyDescent="0.2">
      <c r="A1128" t="s">
        <v>1167</v>
      </c>
      <c r="B1128">
        <v>2023</v>
      </c>
      <c r="C1128" t="s">
        <v>19</v>
      </c>
      <c r="D1128">
        <v>74</v>
      </c>
      <c r="E1128" t="s">
        <v>25</v>
      </c>
      <c r="F1128" t="s">
        <v>26</v>
      </c>
      <c r="G1128" t="s">
        <v>15</v>
      </c>
      <c r="H1128">
        <v>-0.80854220330255278</v>
      </c>
      <c r="I1128">
        <v>2</v>
      </c>
      <c r="J1128" t="s">
        <v>17</v>
      </c>
      <c r="K1128" s="59" t="s">
        <v>16</v>
      </c>
    </row>
    <row r="1129" spans="1:11" x14ac:dyDescent="0.2">
      <c r="A1129" t="s">
        <v>1168</v>
      </c>
      <c r="B1129">
        <v>2018</v>
      </c>
      <c r="C1129" t="s">
        <v>19</v>
      </c>
      <c r="D1129">
        <v>141</v>
      </c>
      <c r="E1129" t="s">
        <v>20</v>
      </c>
      <c r="F1129" t="s">
        <v>21</v>
      </c>
      <c r="G1129" t="s">
        <v>48</v>
      </c>
      <c r="H1129">
        <v>0.51035669554517138</v>
      </c>
      <c r="I1129">
        <v>3</v>
      </c>
      <c r="J1129" t="s">
        <v>16</v>
      </c>
      <c r="K1129" s="59" t="s">
        <v>23</v>
      </c>
    </row>
    <row r="1130" spans="1:11" x14ac:dyDescent="0.2">
      <c r="A1130" t="s">
        <v>1169</v>
      </c>
      <c r="B1130">
        <v>2022</v>
      </c>
      <c r="C1130" t="s">
        <v>33</v>
      </c>
      <c r="D1130">
        <v>305</v>
      </c>
      <c r="E1130" t="s">
        <v>53</v>
      </c>
      <c r="F1130" t="s">
        <v>54</v>
      </c>
      <c r="G1130" t="s">
        <v>44</v>
      </c>
      <c r="H1130">
        <v>0.73205839723827082</v>
      </c>
      <c r="I1130">
        <v>3</v>
      </c>
      <c r="J1130" t="s">
        <v>23</v>
      </c>
      <c r="K1130" s="59" t="s">
        <v>4376</v>
      </c>
    </row>
    <row r="1131" spans="1:11" x14ac:dyDescent="0.2">
      <c r="A1131" t="s">
        <v>1170</v>
      </c>
      <c r="B1131">
        <v>2018</v>
      </c>
      <c r="C1131" t="s">
        <v>19</v>
      </c>
      <c r="D1131">
        <v>73</v>
      </c>
      <c r="E1131" t="s">
        <v>20</v>
      </c>
      <c r="F1131" t="s">
        <v>21</v>
      </c>
      <c r="G1131" t="s">
        <v>15</v>
      </c>
      <c r="H1131">
        <v>-0.1177237792714966</v>
      </c>
      <c r="I1131">
        <v>3</v>
      </c>
      <c r="J1131" t="s">
        <v>23</v>
      </c>
      <c r="K1131" s="59" t="s">
        <v>17</v>
      </c>
    </row>
    <row r="1132" spans="1:11" x14ac:dyDescent="0.2">
      <c r="A1132" t="s">
        <v>1171</v>
      </c>
      <c r="B1132">
        <v>2018</v>
      </c>
      <c r="C1132" t="s">
        <v>33</v>
      </c>
      <c r="D1132">
        <v>120</v>
      </c>
      <c r="E1132" t="s">
        <v>20</v>
      </c>
      <c r="F1132" t="s">
        <v>21</v>
      </c>
      <c r="G1132" t="s">
        <v>15</v>
      </c>
      <c r="H1132">
        <v>1.173666381899163E-3</v>
      </c>
      <c r="I1132">
        <v>3</v>
      </c>
      <c r="J1132" t="s">
        <v>23</v>
      </c>
      <c r="K1132" s="59" t="s">
        <v>4376</v>
      </c>
    </row>
    <row r="1133" spans="1:11" x14ac:dyDescent="0.2">
      <c r="A1133" t="s">
        <v>1172</v>
      </c>
      <c r="B1133">
        <v>2024</v>
      </c>
      <c r="C1133" t="s">
        <v>33</v>
      </c>
      <c r="D1133">
        <v>54</v>
      </c>
      <c r="E1133" t="s">
        <v>20</v>
      </c>
      <c r="F1133" t="s">
        <v>21</v>
      </c>
      <c r="G1133" t="s">
        <v>15</v>
      </c>
      <c r="H1133">
        <v>0.31972908681175177</v>
      </c>
      <c r="I1133">
        <v>3</v>
      </c>
      <c r="J1133" t="s">
        <v>23</v>
      </c>
      <c r="K1133" s="59" t="s">
        <v>17</v>
      </c>
    </row>
    <row r="1134" spans="1:11" x14ac:dyDescent="0.2">
      <c r="A1134" t="s">
        <v>1173</v>
      </c>
      <c r="B1134">
        <v>2020</v>
      </c>
      <c r="C1134" t="s">
        <v>33</v>
      </c>
      <c r="D1134">
        <v>718</v>
      </c>
      <c r="E1134" t="s">
        <v>20</v>
      </c>
      <c r="F1134" t="s">
        <v>21</v>
      </c>
      <c r="G1134" t="s">
        <v>15</v>
      </c>
      <c r="H1134">
        <v>-0.22125892004205669</v>
      </c>
      <c r="I1134">
        <v>3</v>
      </c>
      <c r="J1134" t="s">
        <v>23</v>
      </c>
      <c r="K1134" s="59" t="s">
        <v>4376</v>
      </c>
    </row>
    <row r="1135" spans="1:11" x14ac:dyDescent="0.2">
      <c r="A1135" t="s">
        <v>1174</v>
      </c>
      <c r="B1135">
        <v>2020</v>
      </c>
      <c r="C1135" t="s">
        <v>33</v>
      </c>
      <c r="D1135">
        <v>854</v>
      </c>
      <c r="E1135" t="s">
        <v>13</v>
      </c>
      <c r="F1135" t="s">
        <v>14</v>
      </c>
      <c r="G1135" t="s">
        <v>15</v>
      </c>
      <c r="H1135">
        <v>2.2437441297241879E-2</v>
      </c>
      <c r="I1135">
        <v>4</v>
      </c>
      <c r="J1135" t="s">
        <v>23</v>
      </c>
      <c r="K1135" s="59" t="s">
        <v>4376</v>
      </c>
    </row>
    <row r="1136" spans="1:11" x14ac:dyDescent="0.2">
      <c r="A1136" t="s">
        <v>1175</v>
      </c>
      <c r="B1136">
        <v>2021</v>
      </c>
      <c r="C1136" t="s">
        <v>12</v>
      </c>
      <c r="D1136">
        <v>382</v>
      </c>
      <c r="E1136" t="s">
        <v>29</v>
      </c>
      <c r="F1136" t="s">
        <v>30</v>
      </c>
      <c r="G1136" t="s">
        <v>15</v>
      </c>
      <c r="H1136">
        <v>-0.1911280323988247</v>
      </c>
      <c r="I1136">
        <v>4</v>
      </c>
      <c r="J1136" t="s">
        <v>17</v>
      </c>
      <c r="K1136" s="59" t="s">
        <v>17</v>
      </c>
    </row>
    <row r="1137" spans="1:11" x14ac:dyDescent="0.2">
      <c r="A1137" t="s">
        <v>1176</v>
      </c>
      <c r="B1137">
        <v>2024</v>
      </c>
      <c r="C1137" t="s">
        <v>33</v>
      </c>
      <c r="D1137">
        <v>195</v>
      </c>
      <c r="E1137" t="s">
        <v>25</v>
      </c>
      <c r="F1137" t="s">
        <v>26</v>
      </c>
      <c r="G1137" t="s">
        <v>15</v>
      </c>
      <c r="H1137">
        <v>0.21697700007159629</v>
      </c>
      <c r="I1137">
        <v>2</v>
      </c>
      <c r="J1137" t="s">
        <v>17</v>
      </c>
      <c r="K1137" s="59" t="s">
        <v>4376</v>
      </c>
    </row>
    <row r="1138" spans="1:11" x14ac:dyDescent="0.2">
      <c r="A1138" t="s">
        <v>1177</v>
      </c>
      <c r="B1138">
        <v>2022</v>
      </c>
      <c r="C1138" t="s">
        <v>19</v>
      </c>
      <c r="D1138">
        <v>49</v>
      </c>
      <c r="E1138" t="s">
        <v>38</v>
      </c>
      <c r="F1138" t="s">
        <v>39</v>
      </c>
      <c r="G1138" t="s">
        <v>15</v>
      </c>
      <c r="H1138">
        <v>-0.79424663113519478</v>
      </c>
      <c r="I1138">
        <v>3</v>
      </c>
      <c r="J1138" t="s">
        <v>23</v>
      </c>
      <c r="K1138" s="59" t="s">
        <v>17</v>
      </c>
    </row>
    <row r="1139" spans="1:11" x14ac:dyDescent="0.2">
      <c r="A1139" t="s">
        <v>1178</v>
      </c>
      <c r="B1139">
        <v>2023</v>
      </c>
      <c r="C1139" t="s">
        <v>12</v>
      </c>
      <c r="D1139">
        <v>393</v>
      </c>
      <c r="E1139" t="s">
        <v>38</v>
      </c>
      <c r="F1139" t="s">
        <v>39</v>
      </c>
      <c r="G1139" t="s">
        <v>15</v>
      </c>
      <c r="H1139">
        <v>-5.0426212774462454E-3</v>
      </c>
      <c r="I1139">
        <v>3</v>
      </c>
      <c r="J1139" t="s">
        <v>16</v>
      </c>
      <c r="K1139" s="59" t="s">
        <v>16</v>
      </c>
    </row>
    <row r="1140" spans="1:11" x14ac:dyDescent="0.2">
      <c r="A1140" t="s">
        <v>1179</v>
      </c>
      <c r="B1140">
        <v>2022</v>
      </c>
      <c r="C1140" t="s">
        <v>12</v>
      </c>
      <c r="D1140">
        <v>99</v>
      </c>
      <c r="E1140" t="s">
        <v>20</v>
      </c>
      <c r="F1140" t="s">
        <v>21</v>
      </c>
      <c r="G1140" t="s">
        <v>36</v>
      </c>
      <c r="H1140">
        <v>-0.77317947215172</v>
      </c>
      <c r="I1140">
        <v>3</v>
      </c>
      <c r="J1140" t="s">
        <v>16</v>
      </c>
      <c r="K1140" s="59" t="s">
        <v>17</v>
      </c>
    </row>
    <row r="1141" spans="1:11" x14ac:dyDescent="0.2">
      <c r="A1141" t="s">
        <v>1180</v>
      </c>
      <c r="B1141">
        <v>2024</v>
      </c>
      <c r="C1141" t="s">
        <v>33</v>
      </c>
      <c r="D1141">
        <v>196</v>
      </c>
      <c r="E1141" t="s">
        <v>25</v>
      </c>
      <c r="F1141" t="s">
        <v>26</v>
      </c>
      <c r="G1141" t="s">
        <v>15</v>
      </c>
      <c r="H1141">
        <v>0.2221610653711947</v>
      </c>
      <c r="I1141">
        <v>2</v>
      </c>
      <c r="J1141" t="s">
        <v>17</v>
      </c>
      <c r="K1141" s="59" t="s">
        <v>4376</v>
      </c>
    </row>
    <row r="1142" spans="1:11" x14ac:dyDescent="0.2">
      <c r="A1142" t="s">
        <v>1181</v>
      </c>
      <c r="B1142">
        <v>2018</v>
      </c>
      <c r="C1142" t="s">
        <v>12</v>
      </c>
      <c r="D1142">
        <v>747</v>
      </c>
      <c r="E1142" t="s">
        <v>20</v>
      </c>
      <c r="F1142" t="s">
        <v>21</v>
      </c>
      <c r="G1142" t="s">
        <v>15</v>
      </c>
      <c r="H1142">
        <v>0.87823534340954534</v>
      </c>
      <c r="I1142">
        <v>3</v>
      </c>
      <c r="J1142" t="s">
        <v>16</v>
      </c>
      <c r="K1142" s="59" t="s">
        <v>4376</v>
      </c>
    </row>
    <row r="1143" spans="1:11" x14ac:dyDescent="0.2">
      <c r="A1143" t="s">
        <v>1182</v>
      </c>
      <c r="B1143">
        <v>2025</v>
      </c>
      <c r="C1143" t="s">
        <v>33</v>
      </c>
      <c r="D1143">
        <v>77</v>
      </c>
      <c r="E1143" t="s">
        <v>20</v>
      </c>
      <c r="F1143" t="s">
        <v>21</v>
      </c>
      <c r="G1143" t="s">
        <v>15</v>
      </c>
      <c r="H1143">
        <v>-1.4425810308379059</v>
      </c>
      <c r="I1143">
        <v>3</v>
      </c>
      <c r="J1143" t="s">
        <v>16</v>
      </c>
      <c r="K1143" s="59" t="s">
        <v>4376</v>
      </c>
    </row>
    <row r="1144" spans="1:11" x14ac:dyDescent="0.2">
      <c r="A1144" t="s">
        <v>1183</v>
      </c>
      <c r="B1144">
        <v>2019</v>
      </c>
      <c r="C1144" t="s">
        <v>33</v>
      </c>
      <c r="D1144">
        <v>113</v>
      </c>
      <c r="E1144" t="s">
        <v>20</v>
      </c>
      <c r="F1144" t="s">
        <v>21</v>
      </c>
      <c r="G1144" t="s">
        <v>15</v>
      </c>
      <c r="H1144">
        <v>-0.51882735084664811</v>
      </c>
      <c r="I1144">
        <v>3</v>
      </c>
      <c r="J1144" t="s">
        <v>17</v>
      </c>
      <c r="K1144" s="59" t="s">
        <v>4376</v>
      </c>
    </row>
    <row r="1145" spans="1:11" x14ac:dyDescent="0.2">
      <c r="A1145" t="s">
        <v>1184</v>
      </c>
      <c r="B1145">
        <v>2021</v>
      </c>
      <c r="C1145" t="s">
        <v>33</v>
      </c>
      <c r="D1145">
        <v>344</v>
      </c>
      <c r="E1145" t="s">
        <v>38</v>
      </c>
      <c r="F1145" t="s">
        <v>39</v>
      </c>
      <c r="G1145" t="s">
        <v>15</v>
      </c>
      <c r="H1145">
        <v>0.79214142143661093</v>
      </c>
      <c r="I1145">
        <v>3</v>
      </c>
      <c r="J1145" t="s">
        <v>23</v>
      </c>
      <c r="K1145" s="59" t="s">
        <v>4376</v>
      </c>
    </row>
    <row r="1146" spans="1:11" x14ac:dyDescent="0.2">
      <c r="A1146" t="s">
        <v>1185</v>
      </c>
      <c r="B1146">
        <v>2018</v>
      </c>
      <c r="C1146" t="s">
        <v>19</v>
      </c>
      <c r="D1146">
        <v>149</v>
      </c>
      <c r="E1146" t="s">
        <v>20</v>
      </c>
      <c r="F1146" t="s">
        <v>21</v>
      </c>
      <c r="G1146" t="s">
        <v>15</v>
      </c>
      <c r="H1146">
        <v>-8.1426320324471585E-2</v>
      </c>
      <c r="I1146">
        <v>3</v>
      </c>
      <c r="J1146" t="s">
        <v>23</v>
      </c>
      <c r="K1146" s="59" t="s">
        <v>16</v>
      </c>
    </row>
    <row r="1147" spans="1:11" x14ac:dyDescent="0.2">
      <c r="A1147" t="s">
        <v>1186</v>
      </c>
      <c r="B1147">
        <v>2024</v>
      </c>
      <c r="C1147" t="s">
        <v>12</v>
      </c>
      <c r="D1147">
        <v>725</v>
      </c>
      <c r="E1147" t="s">
        <v>25</v>
      </c>
      <c r="F1147" t="s">
        <v>26</v>
      </c>
      <c r="G1147" t="s">
        <v>15</v>
      </c>
      <c r="H1147">
        <v>0.61428768535448153</v>
      </c>
      <c r="I1147">
        <v>2</v>
      </c>
      <c r="J1147" t="s">
        <v>23</v>
      </c>
      <c r="K1147" s="59" t="s">
        <v>17</v>
      </c>
    </row>
    <row r="1148" spans="1:11" x14ac:dyDescent="0.2">
      <c r="A1148" t="s">
        <v>1187</v>
      </c>
      <c r="B1148">
        <v>2024</v>
      </c>
      <c r="C1148" t="s">
        <v>33</v>
      </c>
      <c r="D1148">
        <v>283</v>
      </c>
      <c r="E1148" t="s">
        <v>20</v>
      </c>
      <c r="F1148" t="s">
        <v>21</v>
      </c>
      <c r="G1148" t="s">
        <v>48</v>
      </c>
      <c r="H1148">
        <v>3.1322661529724391E-2</v>
      </c>
      <c r="I1148">
        <v>3</v>
      </c>
      <c r="J1148" t="s">
        <v>23</v>
      </c>
      <c r="K1148" s="59" t="s">
        <v>4376</v>
      </c>
    </row>
    <row r="1149" spans="1:11" x14ac:dyDescent="0.2">
      <c r="A1149" t="s">
        <v>1188</v>
      </c>
      <c r="B1149">
        <v>2018</v>
      </c>
      <c r="C1149" t="s">
        <v>19</v>
      </c>
      <c r="D1149">
        <v>39</v>
      </c>
      <c r="E1149" t="s">
        <v>25</v>
      </c>
      <c r="F1149" t="s">
        <v>26</v>
      </c>
      <c r="G1149" t="s">
        <v>15</v>
      </c>
      <c r="H1149">
        <v>1.207133472294913</v>
      </c>
      <c r="I1149">
        <v>2</v>
      </c>
      <c r="J1149" t="s">
        <v>16</v>
      </c>
      <c r="K1149" s="59" t="s">
        <v>17</v>
      </c>
    </row>
    <row r="1150" spans="1:11" x14ac:dyDescent="0.2">
      <c r="A1150" t="s">
        <v>1189</v>
      </c>
      <c r="B1150">
        <v>2018</v>
      </c>
      <c r="C1150" t="s">
        <v>33</v>
      </c>
      <c r="D1150">
        <v>123</v>
      </c>
      <c r="E1150" t="s">
        <v>20</v>
      </c>
      <c r="F1150" t="s">
        <v>21</v>
      </c>
      <c r="G1150" t="s">
        <v>15</v>
      </c>
      <c r="H1150">
        <v>0.42325959845145378</v>
      </c>
      <c r="I1150">
        <v>3</v>
      </c>
      <c r="J1150" t="s">
        <v>23</v>
      </c>
      <c r="K1150" s="59" t="s">
        <v>4376</v>
      </c>
    </row>
    <row r="1151" spans="1:11" x14ac:dyDescent="0.2">
      <c r="A1151" t="s">
        <v>1190</v>
      </c>
      <c r="B1151">
        <v>2016</v>
      </c>
      <c r="C1151" t="s">
        <v>33</v>
      </c>
      <c r="D1151">
        <v>67</v>
      </c>
      <c r="E1151" t="s">
        <v>29</v>
      </c>
      <c r="F1151" t="s">
        <v>30</v>
      </c>
      <c r="G1151" t="s">
        <v>34</v>
      </c>
      <c r="H1151">
        <v>-1.8347651426200029</v>
      </c>
      <c r="I1151">
        <v>4</v>
      </c>
      <c r="J1151" t="s">
        <v>17</v>
      </c>
      <c r="K1151" s="59" t="s">
        <v>17</v>
      </c>
    </row>
    <row r="1152" spans="1:11" x14ac:dyDescent="0.2">
      <c r="A1152" t="s">
        <v>1191</v>
      </c>
      <c r="B1152">
        <v>2019</v>
      </c>
      <c r="C1152" t="s">
        <v>19</v>
      </c>
      <c r="D1152">
        <v>73</v>
      </c>
      <c r="E1152" t="s">
        <v>20</v>
      </c>
      <c r="F1152" t="s">
        <v>21</v>
      </c>
      <c r="G1152" t="s">
        <v>15</v>
      </c>
      <c r="H1152">
        <v>1.8101133752514189</v>
      </c>
      <c r="I1152">
        <v>3</v>
      </c>
      <c r="J1152" t="s">
        <v>23</v>
      </c>
      <c r="K1152" s="59" t="s">
        <v>17</v>
      </c>
    </row>
    <row r="1153" spans="1:11" x14ac:dyDescent="0.2">
      <c r="A1153" t="s">
        <v>1192</v>
      </c>
      <c r="B1153">
        <v>2018</v>
      </c>
      <c r="C1153" t="s">
        <v>33</v>
      </c>
      <c r="D1153">
        <v>117</v>
      </c>
      <c r="E1153" t="s">
        <v>20</v>
      </c>
      <c r="F1153" t="s">
        <v>21</v>
      </c>
      <c r="G1153" t="s">
        <v>15</v>
      </c>
      <c r="H1153">
        <v>-0.47259625736964178</v>
      </c>
      <c r="I1153">
        <v>3</v>
      </c>
      <c r="J1153" t="s">
        <v>23</v>
      </c>
      <c r="K1153" s="59" t="s">
        <v>4376</v>
      </c>
    </row>
    <row r="1154" spans="1:11" x14ac:dyDescent="0.2">
      <c r="A1154" t="s">
        <v>1193</v>
      </c>
      <c r="B1154">
        <v>2019</v>
      </c>
      <c r="C1154" t="s">
        <v>19</v>
      </c>
      <c r="D1154">
        <v>56</v>
      </c>
      <c r="E1154" t="s">
        <v>13</v>
      </c>
      <c r="F1154" t="s">
        <v>14</v>
      </c>
      <c r="G1154" t="s">
        <v>15</v>
      </c>
      <c r="H1154">
        <v>0.3672686074626354</v>
      </c>
      <c r="I1154">
        <v>4</v>
      </c>
      <c r="J1154" t="s">
        <v>17</v>
      </c>
      <c r="K1154" s="59" t="s">
        <v>17</v>
      </c>
    </row>
    <row r="1155" spans="1:11" x14ac:dyDescent="0.2">
      <c r="A1155" t="s">
        <v>1194</v>
      </c>
      <c r="B1155">
        <v>2019</v>
      </c>
      <c r="C1155" t="s">
        <v>12</v>
      </c>
      <c r="D1155">
        <v>230</v>
      </c>
      <c r="E1155" t="s">
        <v>25</v>
      </c>
      <c r="F1155" t="s">
        <v>26</v>
      </c>
      <c r="G1155" t="s">
        <v>48</v>
      </c>
      <c r="H1155">
        <v>-0.22763567179356101</v>
      </c>
      <c r="I1155">
        <v>2</v>
      </c>
      <c r="J1155" t="s">
        <v>16</v>
      </c>
      <c r="K1155" s="59" t="s">
        <v>23</v>
      </c>
    </row>
    <row r="1156" spans="1:11" x14ac:dyDescent="0.2">
      <c r="A1156" t="s">
        <v>1195</v>
      </c>
      <c r="B1156">
        <v>2022</v>
      </c>
      <c r="C1156" t="s">
        <v>33</v>
      </c>
      <c r="D1156">
        <v>225</v>
      </c>
      <c r="E1156" t="s">
        <v>25</v>
      </c>
      <c r="F1156" t="s">
        <v>26</v>
      </c>
      <c r="G1156" t="s">
        <v>41</v>
      </c>
      <c r="H1156">
        <v>0.25377335545827351</v>
      </c>
      <c r="I1156">
        <v>2</v>
      </c>
      <c r="J1156" t="s">
        <v>17</v>
      </c>
      <c r="K1156" s="59" t="s">
        <v>4376</v>
      </c>
    </row>
    <row r="1157" spans="1:11" x14ac:dyDescent="0.2">
      <c r="A1157" t="s">
        <v>1196</v>
      </c>
      <c r="B1157">
        <v>2023</v>
      </c>
      <c r="C1157" t="s">
        <v>19</v>
      </c>
      <c r="D1157">
        <v>537</v>
      </c>
      <c r="E1157" t="s">
        <v>53</v>
      </c>
      <c r="F1157" t="s">
        <v>54</v>
      </c>
      <c r="G1157" t="s">
        <v>36</v>
      </c>
      <c r="H1157">
        <v>-0.35126389121096929</v>
      </c>
      <c r="I1157">
        <v>3</v>
      </c>
      <c r="J1157" t="s">
        <v>16</v>
      </c>
      <c r="K1157" s="59" t="s">
        <v>16</v>
      </c>
    </row>
    <row r="1158" spans="1:11" x14ac:dyDescent="0.2">
      <c r="A1158" t="s">
        <v>1197</v>
      </c>
      <c r="B1158">
        <v>2024</v>
      </c>
      <c r="C1158" t="s">
        <v>19</v>
      </c>
      <c r="D1158">
        <v>47</v>
      </c>
      <c r="E1158" t="s">
        <v>25</v>
      </c>
      <c r="F1158" t="s">
        <v>26</v>
      </c>
      <c r="G1158" t="s">
        <v>48</v>
      </c>
      <c r="H1158">
        <v>0.18468928902083601</v>
      </c>
      <c r="I1158">
        <v>2</v>
      </c>
      <c r="J1158" t="s">
        <v>16</v>
      </c>
      <c r="K1158" s="59" t="s">
        <v>16</v>
      </c>
    </row>
    <row r="1159" spans="1:11" x14ac:dyDescent="0.2">
      <c r="A1159" t="s">
        <v>1198</v>
      </c>
      <c r="B1159">
        <v>2024</v>
      </c>
      <c r="C1159" t="s">
        <v>19</v>
      </c>
      <c r="D1159">
        <v>61</v>
      </c>
      <c r="E1159" t="s">
        <v>25</v>
      </c>
      <c r="F1159" t="s">
        <v>26</v>
      </c>
      <c r="G1159" t="s">
        <v>15</v>
      </c>
      <c r="H1159">
        <v>-2.152325987034196</v>
      </c>
      <c r="I1159">
        <v>2</v>
      </c>
      <c r="J1159" t="s">
        <v>16</v>
      </c>
      <c r="K1159" s="59" t="s">
        <v>16</v>
      </c>
    </row>
    <row r="1160" spans="1:11" x14ac:dyDescent="0.2">
      <c r="A1160" t="s">
        <v>1199</v>
      </c>
      <c r="B1160">
        <v>2024</v>
      </c>
      <c r="C1160" t="s">
        <v>19</v>
      </c>
      <c r="D1160">
        <v>412</v>
      </c>
      <c r="E1160" t="s">
        <v>53</v>
      </c>
      <c r="F1160" t="s">
        <v>54</v>
      </c>
      <c r="G1160" t="s">
        <v>36</v>
      </c>
      <c r="H1160">
        <v>-0.28404047794714238</v>
      </c>
      <c r="I1160">
        <v>3</v>
      </c>
      <c r="J1160" t="s">
        <v>16</v>
      </c>
      <c r="K1160" s="59" t="s">
        <v>23</v>
      </c>
    </row>
    <row r="1161" spans="1:11" x14ac:dyDescent="0.2">
      <c r="A1161" t="s">
        <v>1200</v>
      </c>
      <c r="B1161">
        <v>2023</v>
      </c>
      <c r="C1161" t="s">
        <v>33</v>
      </c>
      <c r="D1161">
        <v>181</v>
      </c>
      <c r="E1161" t="s">
        <v>20</v>
      </c>
      <c r="F1161" t="s">
        <v>21</v>
      </c>
      <c r="G1161" t="s">
        <v>167</v>
      </c>
      <c r="H1161">
        <v>0.67867917532179434</v>
      </c>
      <c r="I1161">
        <v>3</v>
      </c>
      <c r="J1161" t="s">
        <v>23</v>
      </c>
      <c r="K1161" s="59" t="s">
        <v>4376</v>
      </c>
    </row>
    <row r="1162" spans="1:11" x14ac:dyDescent="0.2">
      <c r="A1162" t="s">
        <v>1201</v>
      </c>
      <c r="B1162">
        <v>2019</v>
      </c>
      <c r="C1162" t="s">
        <v>19</v>
      </c>
      <c r="D1162">
        <v>169</v>
      </c>
      <c r="E1162" t="s">
        <v>25</v>
      </c>
      <c r="F1162" t="s">
        <v>26</v>
      </c>
      <c r="G1162" t="s">
        <v>15</v>
      </c>
      <c r="H1162">
        <v>0.92717851735082013</v>
      </c>
      <c r="I1162">
        <v>2</v>
      </c>
      <c r="J1162" t="s">
        <v>16</v>
      </c>
      <c r="K1162" s="59" t="s">
        <v>23</v>
      </c>
    </row>
    <row r="1163" spans="1:11" x14ac:dyDescent="0.2">
      <c r="A1163" t="s">
        <v>1202</v>
      </c>
      <c r="B1163">
        <v>2018</v>
      </c>
      <c r="C1163" t="s">
        <v>12</v>
      </c>
      <c r="D1163">
        <v>120</v>
      </c>
      <c r="E1163" t="s">
        <v>20</v>
      </c>
      <c r="F1163" t="s">
        <v>21</v>
      </c>
      <c r="G1163" t="s">
        <v>15</v>
      </c>
      <c r="H1163">
        <v>1.173666381899163E-3</v>
      </c>
      <c r="I1163">
        <v>3</v>
      </c>
      <c r="J1163" t="s">
        <v>23</v>
      </c>
      <c r="K1163" s="59" t="s">
        <v>23</v>
      </c>
    </row>
    <row r="1164" spans="1:11" x14ac:dyDescent="0.2">
      <c r="A1164" t="s">
        <v>1203</v>
      </c>
      <c r="B1164">
        <v>2018</v>
      </c>
      <c r="C1164" t="s">
        <v>33</v>
      </c>
      <c r="D1164">
        <v>65</v>
      </c>
      <c r="E1164" t="s">
        <v>13</v>
      </c>
      <c r="F1164" t="s">
        <v>14</v>
      </c>
      <c r="G1164" t="s">
        <v>22</v>
      </c>
      <c r="H1164">
        <v>-1.6871700618963199</v>
      </c>
      <c r="I1164">
        <v>4</v>
      </c>
      <c r="J1164" t="s">
        <v>17</v>
      </c>
      <c r="K1164" s="59" t="s">
        <v>4376</v>
      </c>
    </row>
    <row r="1165" spans="1:11" x14ac:dyDescent="0.2">
      <c r="A1165" t="s">
        <v>1204</v>
      </c>
      <c r="B1165">
        <v>2023</v>
      </c>
      <c r="C1165" t="s">
        <v>12</v>
      </c>
      <c r="D1165">
        <v>393</v>
      </c>
      <c r="E1165" t="s">
        <v>38</v>
      </c>
      <c r="F1165" t="s">
        <v>39</v>
      </c>
      <c r="G1165" t="s">
        <v>15</v>
      </c>
      <c r="H1165">
        <v>-5.0426212774462454E-3</v>
      </c>
      <c r="I1165">
        <v>3</v>
      </c>
      <c r="J1165" t="s">
        <v>16</v>
      </c>
      <c r="K1165" s="59" t="s">
        <v>4376</v>
      </c>
    </row>
    <row r="1166" spans="1:11" x14ac:dyDescent="0.2">
      <c r="A1166" t="s">
        <v>1205</v>
      </c>
      <c r="B1166">
        <v>2018</v>
      </c>
      <c r="C1166" t="s">
        <v>19</v>
      </c>
      <c r="D1166">
        <v>80</v>
      </c>
      <c r="E1166" t="s">
        <v>20</v>
      </c>
      <c r="F1166" t="s">
        <v>21</v>
      </c>
      <c r="G1166" t="s">
        <v>15</v>
      </c>
      <c r="H1166">
        <v>1.842706883519339</v>
      </c>
      <c r="I1166">
        <v>3</v>
      </c>
      <c r="J1166" t="s">
        <v>23</v>
      </c>
      <c r="K1166" s="59" t="s">
        <v>23</v>
      </c>
    </row>
    <row r="1167" spans="1:11" x14ac:dyDescent="0.2">
      <c r="A1167" t="s">
        <v>1206</v>
      </c>
      <c r="B1167">
        <v>2018</v>
      </c>
      <c r="C1167" t="s">
        <v>33</v>
      </c>
      <c r="D1167">
        <v>120</v>
      </c>
      <c r="E1167" t="s">
        <v>20</v>
      </c>
      <c r="F1167" t="s">
        <v>21</v>
      </c>
      <c r="G1167" t="s">
        <v>15</v>
      </c>
      <c r="H1167">
        <v>1.173666381899163E-3</v>
      </c>
      <c r="I1167">
        <v>3</v>
      </c>
      <c r="J1167" t="s">
        <v>23</v>
      </c>
      <c r="K1167" s="59" t="s">
        <v>4376</v>
      </c>
    </row>
    <row r="1168" spans="1:11" x14ac:dyDescent="0.2">
      <c r="A1168" t="s">
        <v>1207</v>
      </c>
      <c r="B1168">
        <v>2022</v>
      </c>
      <c r="C1168" t="s">
        <v>33</v>
      </c>
      <c r="D1168">
        <v>495</v>
      </c>
      <c r="E1168" t="s">
        <v>20</v>
      </c>
      <c r="F1168" t="s">
        <v>21</v>
      </c>
      <c r="G1168" t="s">
        <v>15</v>
      </c>
      <c r="H1168">
        <v>0.53964261902209831</v>
      </c>
      <c r="I1168">
        <v>3</v>
      </c>
      <c r="J1168" t="s">
        <v>17</v>
      </c>
      <c r="K1168" s="59" t="s">
        <v>4376</v>
      </c>
    </row>
    <row r="1169" spans="1:11" x14ac:dyDescent="0.2">
      <c r="A1169" t="s">
        <v>1208</v>
      </c>
      <c r="B1169">
        <v>2018</v>
      </c>
      <c r="C1169" t="s">
        <v>33</v>
      </c>
      <c r="D1169">
        <v>149</v>
      </c>
      <c r="E1169" t="s">
        <v>20</v>
      </c>
      <c r="F1169" t="s">
        <v>21</v>
      </c>
      <c r="G1169" t="s">
        <v>15</v>
      </c>
      <c r="H1169">
        <v>-8.1426320324471585E-2</v>
      </c>
      <c r="I1169">
        <v>3</v>
      </c>
      <c r="J1169" t="s">
        <v>23</v>
      </c>
      <c r="K1169" s="59" t="s">
        <v>4376</v>
      </c>
    </row>
    <row r="1170" spans="1:11" x14ac:dyDescent="0.2">
      <c r="A1170" t="s">
        <v>1209</v>
      </c>
      <c r="B1170">
        <v>2018</v>
      </c>
      <c r="C1170" t="s">
        <v>19</v>
      </c>
      <c r="D1170">
        <v>39</v>
      </c>
      <c r="E1170" t="s">
        <v>20</v>
      </c>
      <c r="F1170" t="s">
        <v>21</v>
      </c>
      <c r="G1170" t="s">
        <v>15</v>
      </c>
      <c r="H1170">
        <v>1.207133472294913</v>
      </c>
      <c r="I1170">
        <v>3</v>
      </c>
      <c r="J1170" t="s">
        <v>16</v>
      </c>
      <c r="K1170" s="59" t="s">
        <v>17</v>
      </c>
    </row>
    <row r="1171" spans="1:11" x14ac:dyDescent="0.2">
      <c r="A1171" t="s">
        <v>1210</v>
      </c>
      <c r="B1171">
        <v>2016</v>
      </c>
      <c r="C1171" t="s">
        <v>19</v>
      </c>
      <c r="D1171">
        <v>88</v>
      </c>
      <c r="E1171" t="s">
        <v>38</v>
      </c>
      <c r="F1171" t="s">
        <v>39</v>
      </c>
      <c r="G1171" t="s">
        <v>15</v>
      </c>
      <c r="H1171">
        <v>0.1382145534174688</v>
      </c>
      <c r="I1171">
        <v>3</v>
      </c>
      <c r="J1171" t="s">
        <v>23</v>
      </c>
      <c r="K1171" s="59" t="s">
        <v>17</v>
      </c>
    </row>
    <row r="1172" spans="1:11" x14ac:dyDescent="0.2">
      <c r="A1172" t="s">
        <v>1211</v>
      </c>
      <c r="B1172">
        <v>2016</v>
      </c>
      <c r="C1172" t="s">
        <v>33</v>
      </c>
      <c r="D1172">
        <v>67</v>
      </c>
      <c r="E1172" t="s">
        <v>29</v>
      </c>
      <c r="F1172" t="s">
        <v>30</v>
      </c>
      <c r="G1172" t="s">
        <v>34</v>
      </c>
      <c r="H1172">
        <v>-1.8347651426200029</v>
      </c>
      <c r="I1172">
        <v>4</v>
      </c>
      <c r="J1172" t="s">
        <v>17</v>
      </c>
      <c r="K1172" s="59" t="s">
        <v>4376</v>
      </c>
    </row>
    <row r="1173" spans="1:11" x14ac:dyDescent="0.2">
      <c r="A1173" t="s">
        <v>1212</v>
      </c>
      <c r="B1173">
        <v>2021</v>
      </c>
      <c r="C1173" t="s">
        <v>19</v>
      </c>
      <c r="D1173">
        <v>141</v>
      </c>
      <c r="E1173" t="s">
        <v>25</v>
      </c>
      <c r="F1173" t="s">
        <v>26</v>
      </c>
      <c r="G1173" t="s">
        <v>15</v>
      </c>
      <c r="H1173">
        <v>6.9252042522149906E-2</v>
      </c>
      <c r="I1173">
        <v>2</v>
      </c>
      <c r="J1173" t="s">
        <v>23</v>
      </c>
      <c r="K1173" s="59" t="s">
        <v>16</v>
      </c>
    </row>
    <row r="1174" spans="1:11" x14ac:dyDescent="0.2">
      <c r="A1174" t="s">
        <v>1213</v>
      </c>
      <c r="B1174">
        <v>2018</v>
      </c>
      <c r="C1174" t="s">
        <v>12</v>
      </c>
      <c r="D1174">
        <v>65</v>
      </c>
      <c r="E1174" t="s">
        <v>38</v>
      </c>
      <c r="F1174" t="s">
        <v>39</v>
      </c>
      <c r="G1174" t="s">
        <v>15</v>
      </c>
      <c r="H1174">
        <v>-0.28595962074024678</v>
      </c>
      <c r="I1174">
        <v>3</v>
      </c>
      <c r="J1174" t="s">
        <v>23</v>
      </c>
      <c r="K1174" s="59" t="s">
        <v>4376</v>
      </c>
    </row>
    <row r="1175" spans="1:11" x14ac:dyDescent="0.2">
      <c r="A1175" t="s">
        <v>1214</v>
      </c>
      <c r="B1175">
        <v>2021</v>
      </c>
      <c r="C1175" t="s">
        <v>33</v>
      </c>
      <c r="D1175">
        <v>343</v>
      </c>
      <c r="E1175" t="s">
        <v>38</v>
      </c>
      <c r="F1175" t="s">
        <v>39</v>
      </c>
      <c r="G1175" t="s">
        <v>15</v>
      </c>
      <c r="H1175">
        <v>0.79091725609484598</v>
      </c>
      <c r="I1175">
        <v>3</v>
      </c>
      <c r="J1175" t="s">
        <v>23</v>
      </c>
      <c r="K1175" s="59" t="s">
        <v>4376</v>
      </c>
    </row>
    <row r="1176" spans="1:11" x14ac:dyDescent="0.2">
      <c r="A1176" t="s">
        <v>1215</v>
      </c>
      <c r="B1176">
        <v>2025</v>
      </c>
      <c r="C1176" t="s">
        <v>33</v>
      </c>
      <c r="D1176">
        <v>127</v>
      </c>
      <c r="E1176" t="s">
        <v>25</v>
      </c>
      <c r="F1176" t="s">
        <v>26</v>
      </c>
      <c r="G1176" t="s">
        <v>15</v>
      </c>
      <c r="H1176">
        <v>-1.5137510484840351</v>
      </c>
      <c r="I1176">
        <v>2</v>
      </c>
      <c r="J1176" t="s">
        <v>17</v>
      </c>
      <c r="K1176" s="59" t="s">
        <v>17</v>
      </c>
    </row>
    <row r="1177" spans="1:11" x14ac:dyDescent="0.2">
      <c r="A1177" t="s">
        <v>1216</v>
      </c>
      <c r="B1177">
        <v>2018</v>
      </c>
      <c r="C1177" t="s">
        <v>33</v>
      </c>
      <c r="D1177">
        <v>120</v>
      </c>
      <c r="E1177" t="s">
        <v>20</v>
      </c>
      <c r="F1177" t="s">
        <v>21</v>
      </c>
      <c r="G1177" t="s">
        <v>15</v>
      </c>
      <c r="H1177">
        <v>1.173666381899163E-3</v>
      </c>
      <c r="I1177">
        <v>3</v>
      </c>
      <c r="J1177" t="s">
        <v>23</v>
      </c>
      <c r="K1177" s="59" t="s">
        <v>17</v>
      </c>
    </row>
    <row r="1178" spans="1:11" x14ac:dyDescent="0.2">
      <c r="A1178" t="s">
        <v>1217</v>
      </c>
      <c r="B1178">
        <v>2018</v>
      </c>
      <c r="C1178" t="s">
        <v>19</v>
      </c>
      <c r="D1178">
        <v>58</v>
      </c>
      <c r="E1178" t="s">
        <v>20</v>
      </c>
      <c r="F1178" t="s">
        <v>21</v>
      </c>
      <c r="G1178" t="s">
        <v>15</v>
      </c>
      <c r="H1178">
        <v>0.3672686074626354</v>
      </c>
      <c r="I1178">
        <v>3</v>
      </c>
      <c r="J1178" t="s">
        <v>23</v>
      </c>
      <c r="K1178" s="59" t="s">
        <v>16</v>
      </c>
    </row>
    <row r="1179" spans="1:11" x14ac:dyDescent="0.2">
      <c r="A1179" t="s">
        <v>1218</v>
      </c>
      <c r="B1179">
        <v>2018</v>
      </c>
      <c r="C1179" t="s">
        <v>33</v>
      </c>
      <c r="D1179">
        <v>120</v>
      </c>
      <c r="E1179" t="s">
        <v>20</v>
      </c>
      <c r="F1179" t="s">
        <v>21</v>
      </c>
      <c r="G1179" t="s">
        <v>15</v>
      </c>
      <c r="H1179">
        <v>1.173666381899163E-3</v>
      </c>
      <c r="I1179">
        <v>3</v>
      </c>
      <c r="J1179" t="s">
        <v>23</v>
      </c>
      <c r="K1179" s="59" t="s">
        <v>4376</v>
      </c>
    </row>
    <row r="1180" spans="1:11" x14ac:dyDescent="0.2">
      <c r="A1180" t="s">
        <v>1219</v>
      </c>
      <c r="B1180">
        <v>2020</v>
      </c>
      <c r="C1180" t="s">
        <v>12</v>
      </c>
      <c r="D1180">
        <v>200</v>
      </c>
      <c r="E1180" t="s">
        <v>25</v>
      </c>
      <c r="F1180" t="s">
        <v>26</v>
      </c>
      <c r="G1180" t="s">
        <v>15</v>
      </c>
      <c r="H1180">
        <v>-5.3367229362910711E-2</v>
      </c>
      <c r="I1180">
        <v>2</v>
      </c>
      <c r="J1180" t="s">
        <v>23</v>
      </c>
      <c r="K1180" s="59" t="s">
        <v>16</v>
      </c>
    </row>
    <row r="1181" spans="1:11" x14ac:dyDescent="0.2">
      <c r="A1181" t="s">
        <v>1220</v>
      </c>
      <c r="B1181">
        <v>2016</v>
      </c>
      <c r="C1181" t="s">
        <v>33</v>
      </c>
      <c r="D1181">
        <v>67</v>
      </c>
      <c r="E1181" t="s">
        <v>29</v>
      </c>
      <c r="F1181" t="s">
        <v>30</v>
      </c>
      <c r="G1181" t="s">
        <v>34</v>
      </c>
      <c r="H1181">
        <v>-1.8347651426200029</v>
      </c>
      <c r="I1181">
        <v>4</v>
      </c>
      <c r="J1181" t="s">
        <v>17</v>
      </c>
      <c r="K1181" s="59" t="s">
        <v>4376</v>
      </c>
    </row>
    <row r="1182" spans="1:11" x14ac:dyDescent="0.2">
      <c r="A1182" t="s">
        <v>1221</v>
      </c>
      <c r="B1182">
        <v>2022</v>
      </c>
      <c r="C1182" t="s">
        <v>19</v>
      </c>
      <c r="D1182">
        <v>125</v>
      </c>
      <c r="E1182" t="s">
        <v>25</v>
      </c>
      <c r="F1182" t="s">
        <v>26</v>
      </c>
      <c r="G1182" t="s">
        <v>22</v>
      </c>
      <c r="H1182">
        <v>-0.47722361199681701</v>
      </c>
      <c r="I1182">
        <v>2</v>
      </c>
      <c r="J1182" t="s">
        <v>23</v>
      </c>
      <c r="K1182" s="59" t="s">
        <v>17</v>
      </c>
    </row>
    <row r="1183" spans="1:11" x14ac:dyDescent="0.2">
      <c r="A1183" t="s">
        <v>1222</v>
      </c>
      <c r="B1183">
        <v>2018</v>
      </c>
      <c r="C1183" t="s">
        <v>12</v>
      </c>
      <c r="D1183">
        <v>76</v>
      </c>
      <c r="E1183" t="s">
        <v>20</v>
      </c>
      <c r="F1183" t="s">
        <v>21</v>
      </c>
      <c r="G1183" t="s">
        <v>15</v>
      </c>
      <c r="H1183">
        <v>-4.7064725854621493E-2</v>
      </c>
      <c r="I1183">
        <v>3</v>
      </c>
      <c r="J1183" t="s">
        <v>23</v>
      </c>
      <c r="K1183" s="59" t="s">
        <v>4376</v>
      </c>
    </row>
    <row r="1184" spans="1:11" x14ac:dyDescent="0.2">
      <c r="A1184" t="s">
        <v>1223</v>
      </c>
      <c r="B1184">
        <v>2019</v>
      </c>
      <c r="C1184" t="s">
        <v>19</v>
      </c>
      <c r="D1184">
        <v>219</v>
      </c>
      <c r="E1184" t="s">
        <v>13</v>
      </c>
      <c r="F1184" t="s">
        <v>14</v>
      </c>
      <c r="G1184" t="s">
        <v>48</v>
      </c>
      <c r="H1184">
        <v>-6.1995656784972909E-2</v>
      </c>
      <c r="I1184">
        <v>4</v>
      </c>
      <c r="J1184" t="s">
        <v>23</v>
      </c>
      <c r="K1184" s="59" t="s">
        <v>23</v>
      </c>
    </row>
    <row r="1185" spans="1:11" x14ac:dyDescent="0.2">
      <c r="A1185" t="s">
        <v>1224</v>
      </c>
      <c r="B1185">
        <v>2018</v>
      </c>
      <c r="C1185" t="s">
        <v>33</v>
      </c>
      <c r="D1185">
        <v>120</v>
      </c>
      <c r="E1185" t="s">
        <v>20</v>
      </c>
      <c r="F1185" t="s">
        <v>21</v>
      </c>
      <c r="G1185" t="s">
        <v>15</v>
      </c>
      <c r="H1185">
        <v>1.173666381899163E-3</v>
      </c>
      <c r="I1185">
        <v>3</v>
      </c>
      <c r="J1185" t="s">
        <v>23</v>
      </c>
      <c r="K1185" s="59" t="s">
        <v>4376</v>
      </c>
    </row>
    <row r="1186" spans="1:11" x14ac:dyDescent="0.2">
      <c r="A1186" t="s">
        <v>1225</v>
      </c>
      <c r="B1186">
        <v>2018</v>
      </c>
      <c r="C1186" t="s">
        <v>33</v>
      </c>
      <c r="D1186">
        <v>70</v>
      </c>
      <c r="E1186" t="s">
        <v>38</v>
      </c>
      <c r="F1186" t="s">
        <v>39</v>
      </c>
      <c r="G1186" t="s">
        <v>15</v>
      </c>
      <c r="H1186">
        <v>0.49452085970995008</v>
      </c>
      <c r="I1186">
        <v>3</v>
      </c>
      <c r="J1186" t="s">
        <v>23</v>
      </c>
      <c r="K1186" s="59" t="s">
        <v>4376</v>
      </c>
    </row>
    <row r="1187" spans="1:11" x14ac:dyDescent="0.2">
      <c r="A1187" t="s">
        <v>1226</v>
      </c>
      <c r="B1187">
        <v>2018</v>
      </c>
      <c r="C1187" t="s">
        <v>19</v>
      </c>
      <c r="D1187">
        <v>67</v>
      </c>
      <c r="E1187" t="s">
        <v>38</v>
      </c>
      <c r="F1187" t="s">
        <v>39</v>
      </c>
      <c r="G1187" t="s">
        <v>15</v>
      </c>
      <c r="H1187">
        <v>-0.24001829480070361</v>
      </c>
      <c r="I1187">
        <v>3</v>
      </c>
      <c r="J1187" t="s">
        <v>23</v>
      </c>
      <c r="K1187" s="59" t="s">
        <v>17</v>
      </c>
    </row>
    <row r="1188" spans="1:11" x14ac:dyDescent="0.2">
      <c r="A1188" t="s">
        <v>1227</v>
      </c>
      <c r="B1188">
        <v>2018</v>
      </c>
      <c r="C1188" t="s">
        <v>33</v>
      </c>
      <c r="D1188">
        <v>120</v>
      </c>
      <c r="E1188" t="s">
        <v>20</v>
      </c>
      <c r="F1188" t="s">
        <v>21</v>
      </c>
      <c r="G1188" t="s">
        <v>15</v>
      </c>
      <c r="H1188">
        <v>1.173666381899163E-3</v>
      </c>
      <c r="I1188">
        <v>3</v>
      </c>
      <c r="J1188" t="s">
        <v>23</v>
      </c>
      <c r="K1188" s="59" t="s">
        <v>4376</v>
      </c>
    </row>
    <row r="1189" spans="1:11" x14ac:dyDescent="0.2">
      <c r="A1189" t="s">
        <v>1228</v>
      </c>
      <c r="B1189">
        <v>2018</v>
      </c>
      <c r="C1189" t="s">
        <v>33</v>
      </c>
      <c r="D1189">
        <v>42</v>
      </c>
      <c r="E1189" t="s">
        <v>25</v>
      </c>
      <c r="F1189" t="s">
        <v>26</v>
      </c>
      <c r="G1189" t="s">
        <v>15</v>
      </c>
      <c r="H1189">
        <v>1.207133472294913</v>
      </c>
      <c r="I1189">
        <v>2</v>
      </c>
      <c r="J1189" t="s">
        <v>16</v>
      </c>
      <c r="K1189" s="59" t="s">
        <v>4376</v>
      </c>
    </row>
    <row r="1190" spans="1:11" x14ac:dyDescent="0.2">
      <c r="A1190" t="s">
        <v>1229</v>
      </c>
      <c r="B1190">
        <v>2019</v>
      </c>
      <c r="C1190" t="s">
        <v>19</v>
      </c>
      <c r="D1190">
        <v>135</v>
      </c>
      <c r="E1190" t="s">
        <v>25</v>
      </c>
      <c r="F1190" t="s">
        <v>26</v>
      </c>
      <c r="G1190" t="s">
        <v>15</v>
      </c>
      <c r="H1190">
        <v>-0.53480846957944006</v>
      </c>
      <c r="I1190">
        <v>2</v>
      </c>
      <c r="J1190" t="s">
        <v>16</v>
      </c>
      <c r="K1190" s="59" t="s">
        <v>23</v>
      </c>
    </row>
    <row r="1191" spans="1:11" x14ac:dyDescent="0.2">
      <c r="A1191" t="s">
        <v>1230</v>
      </c>
      <c r="B1191">
        <v>2018</v>
      </c>
      <c r="C1191" t="s">
        <v>19</v>
      </c>
      <c r="D1191">
        <v>69</v>
      </c>
      <c r="E1191" t="s">
        <v>20</v>
      </c>
      <c r="F1191" t="s">
        <v>21</v>
      </c>
      <c r="G1191" t="s">
        <v>15</v>
      </c>
      <c r="H1191">
        <v>0.50515686885300926</v>
      </c>
      <c r="I1191">
        <v>3</v>
      </c>
      <c r="J1191" t="s">
        <v>23</v>
      </c>
      <c r="K1191" s="59" t="s">
        <v>17</v>
      </c>
    </row>
    <row r="1192" spans="1:11" x14ac:dyDescent="0.2">
      <c r="A1192" t="s">
        <v>1231</v>
      </c>
      <c r="B1192">
        <v>2016</v>
      </c>
      <c r="C1192" t="s">
        <v>33</v>
      </c>
      <c r="D1192">
        <v>71</v>
      </c>
      <c r="E1192" t="s">
        <v>29</v>
      </c>
      <c r="F1192" t="s">
        <v>30</v>
      </c>
      <c r="G1192" t="s">
        <v>34</v>
      </c>
      <c r="H1192">
        <v>-1.66339057276564</v>
      </c>
      <c r="I1192">
        <v>4</v>
      </c>
      <c r="J1192" t="s">
        <v>17</v>
      </c>
      <c r="K1192" s="59" t="s">
        <v>4376</v>
      </c>
    </row>
    <row r="1193" spans="1:11" x14ac:dyDescent="0.2">
      <c r="A1193" t="s">
        <v>1232</v>
      </c>
      <c r="B1193">
        <v>2021</v>
      </c>
      <c r="C1193" t="s">
        <v>19</v>
      </c>
      <c r="D1193">
        <v>382</v>
      </c>
      <c r="E1193" t="s">
        <v>29</v>
      </c>
      <c r="F1193" t="s">
        <v>30</v>
      </c>
      <c r="G1193" t="s">
        <v>15</v>
      </c>
      <c r="H1193">
        <v>-0.1911280323988247</v>
      </c>
      <c r="I1193">
        <v>4</v>
      </c>
      <c r="J1193" t="s">
        <v>23</v>
      </c>
      <c r="K1193" s="59" t="s">
        <v>16</v>
      </c>
    </row>
    <row r="1194" spans="1:11" x14ac:dyDescent="0.2">
      <c r="A1194" t="s">
        <v>1233</v>
      </c>
      <c r="B1194">
        <v>2025</v>
      </c>
      <c r="C1194" t="s">
        <v>12</v>
      </c>
      <c r="D1194">
        <v>199</v>
      </c>
      <c r="E1194" t="s">
        <v>25</v>
      </c>
      <c r="F1194" t="s">
        <v>26</v>
      </c>
      <c r="G1194" t="s">
        <v>15</v>
      </c>
      <c r="H1194">
        <v>-0.24747783999191811</v>
      </c>
      <c r="I1194">
        <v>2</v>
      </c>
      <c r="J1194" t="s">
        <v>23</v>
      </c>
      <c r="K1194" s="59" t="s">
        <v>17</v>
      </c>
    </row>
    <row r="1195" spans="1:11" x14ac:dyDescent="0.2">
      <c r="A1195" t="s">
        <v>1234</v>
      </c>
      <c r="B1195">
        <v>2024</v>
      </c>
      <c r="C1195" t="s">
        <v>19</v>
      </c>
      <c r="D1195">
        <v>580</v>
      </c>
      <c r="E1195" t="s">
        <v>53</v>
      </c>
      <c r="F1195" t="s">
        <v>54</v>
      </c>
      <c r="G1195" t="s">
        <v>15</v>
      </c>
      <c r="H1195">
        <v>0.24671142866689111</v>
      </c>
      <c r="I1195">
        <v>3</v>
      </c>
      <c r="J1195" t="s">
        <v>16</v>
      </c>
      <c r="K1195" s="59" t="s">
        <v>23</v>
      </c>
    </row>
    <row r="1196" spans="1:11" x14ac:dyDescent="0.2">
      <c r="A1196" t="s">
        <v>1235</v>
      </c>
      <c r="B1196">
        <v>2018</v>
      </c>
      <c r="C1196" t="s">
        <v>19</v>
      </c>
      <c r="D1196">
        <v>39</v>
      </c>
      <c r="E1196" t="s">
        <v>20</v>
      </c>
      <c r="F1196" t="s">
        <v>21</v>
      </c>
      <c r="G1196" t="s">
        <v>15</v>
      </c>
      <c r="H1196">
        <v>1.207133472294913</v>
      </c>
      <c r="I1196">
        <v>3</v>
      </c>
      <c r="J1196" t="s">
        <v>16</v>
      </c>
      <c r="K1196" s="59" t="s">
        <v>16</v>
      </c>
    </row>
    <row r="1197" spans="1:11" x14ac:dyDescent="0.2">
      <c r="A1197" t="s">
        <v>1236</v>
      </c>
      <c r="B1197">
        <v>2019</v>
      </c>
      <c r="C1197" t="s">
        <v>33</v>
      </c>
      <c r="D1197">
        <v>333</v>
      </c>
      <c r="E1197" t="s">
        <v>25</v>
      </c>
      <c r="F1197" t="s">
        <v>26</v>
      </c>
      <c r="G1197" t="s">
        <v>15</v>
      </c>
      <c r="H1197">
        <v>1.012985144407988</v>
      </c>
      <c r="I1197">
        <v>2</v>
      </c>
      <c r="J1197" t="s">
        <v>17</v>
      </c>
      <c r="K1197" s="59" t="s">
        <v>4376</v>
      </c>
    </row>
    <row r="1198" spans="1:11" x14ac:dyDescent="0.2">
      <c r="A1198" t="s">
        <v>1237</v>
      </c>
      <c r="B1198">
        <v>2019</v>
      </c>
      <c r="C1198" t="s">
        <v>19</v>
      </c>
      <c r="D1198">
        <v>95</v>
      </c>
      <c r="E1198" t="s">
        <v>20</v>
      </c>
      <c r="F1198" t="s">
        <v>21</v>
      </c>
      <c r="G1198" t="s">
        <v>22</v>
      </c>
      <c r="H1198">
        <v>-2.0451091957790122</v>
      </c>
      <c r="I1198">
        <v>3</v>
      </c>
      <c r="J1198" t="s">
        <v>23</v>
      </c>
      <c r="K1198" s="59" t="s">
        <v>17</v>
      </c>
    </row>
    <row r="1199" spans="1:11" x14ac:dyDescent="0.2">
      <c r="A1199" t="s">
        <v>1238</v>
      </c>
      <c r="B1199">
        <v>2019</v>
      </c>
      <c r="C1199" t="s">
        <v>33</v>
      </c>
      <c r="D1199">
        <v>91</v>
      </c>
      <c r="E1199" t="s">
        <v>13</v>
      </c>
      <c r="F1199" t="s">
        <v>14</v>
      </c>
      <c r="G1199" t="s">
        <v>15</v>
      </c>
      <c r="H1199">
        <v>1.723973389114775</v>
      </c>
      <c r="I1199">
        <v>4</v>
      </c>
      <c r="J1199" t="s">
        <v>23</v>
      </c>
      <c r="K1199" s="59" t="s">
        <v>4376</v>
      </c>
    </row>
    <row r="1200" spans="1:11" x14ac:dyDescent="0.2">
      <c r="A1200" t="s">
        <v>1239</v>
      </c>
      <c r="B1200">
        <v>2025</v>
      </c>
      <c r="C1200" t="s">
        <v>33</v>
      </c>
      <c r="D1200">
        <v>91</v>
      </c>
      <c r="E1200" t="s">
        <v>13</v>
      </c>
      <c r="F1200" t="s">
        <v>14</v>
      </c>
      <c r="G1200" t="s">
        <v>48</v>
      </c>
      <c r="H1200">
        <v>-0.86022619498453923</v>
      </c>
      <c r="I1200">
        <v>4</v>
      </c>
      <c r="J1200" t="s">
        <v>23</v>
      </c>
      <c r="K1200" s="59" t="s">
        <v>17</v>
      </c>
    </row>
    <row r="1201" spans="1:11" x14ac:dyDescent="0.2">
      <c r="A1201" t="s">
        <v>1240</v>
      </c>
      <c r="B1201">
        <v>2022</v>
      </c>
      <c r="C1201" t="s">
        <v>33</v>
      </c>
      <c r="D1201">
        <v>443</v>
      </c>
      <c r="E1201" t="s">
        <v>13</v>
      </c>
      <c r="F1201" t="s">
        <v>14</v>
      </c>
      <c r="G1201" t="s">
        <v>15</v>
      </c>
      <c r="H1201">
        <v>0.35919298376232511</v>
      </c>
      <c r="I1201">
        <v>4</v>
      </c>
      <c r="J1201" t="s">
        <v>17</v>
      </c>
      <c r="K1201" s="59" t="s">
        <v>4376</v>
      </c>
    </row>
    <row r="1202" spans="1:11" x14ac:dyDescent="0.2">
      <c r="A1202" t="s">
        <v>1241</v>
      </c>
      <c r="B1202">
        <v>2019</v>
      </c>
      <c r="C1202" t="s">
        <v>12</v>
      </c>
      <c r="D1202">
        <v>229</v>
      </c>
      <c r="E1202" t="s">
        <v>25</v>
      </c>
      <c r="F1202" t="s">
        <v>26</v>
      </c>
      <c r="G1202" t="s">
        <v>22</v>
      </c>
      <c r="H1202">
        <v>-0.44497738289085259</v>
      </c>
      <c r="I1202">
        <v>2</v>
      </c>
      <c r="J1202" t="s">
        <v>16</v>
      </c>
      <c r="K1202" s="59" t="s">
        <v>23</v>
      </c>
    </row>
    <row r="1203" spans="1:11" x14ac:dyDescent="0.2">
      <c r="A1203" t="s">
        <v>1242</v>
      </c>
      <c r="B1203">
        <v>2019</v>
      </c>
      <c r="C1203" t="s">
        <v>19</v>
      </c>
      <c r="D1203">
        <v>79</v>
      </c>
      <c r="E1203" t="s">
        <v>20</v>
      </c>
      <c r="F1203" t="s">
        <v>21</v>
      </c>
      <c r="G1203" t="s">
        <v>15</v>
      </c>
      <c r="H1203">
        <v>0.61178622633785529</v>
      </c>
      <c r="I1203">
        <v>3</v>
      </c>
      <c r="J1203" t="s">
        <v>23</v>
      </c>
      <c r="K1203" s="59" t="s">
        <v>23</v>
      </c>
    </row>
    <row r="1204" spans="1:11" x14ac:dyDescent="0.2">
      <c r="A1204" t="s">
        <v>1243</v>
      </c>
      <c r="B1204">
        <v>2023</v>
      </c>
      <c r="C1204" t="s">
        <v>33</v>
      </c>
      <c r="D1204">
        <v>75</v>
      </c>
      <c r="E1204" t="s">
        <v>20</v>
      </c>
      <c r="F1204" t="s">
        <v>21</v>
      </c>
      <c r="G1204" t="s">
        <v>167</v>
      </c>
      <c r="H1204">
        <v>-9.9322984110851928E-2</v>
      </c>
      <c r="I1204">
        <v>3</v>
      </c>
      <c r="J1204" t="s">
        <v>16</v>
      </c>
      <c r="K1204" s="59" t="s">
        <v>4376</v>
      </c>
    </row>
    <row r="1205" spans="1:11" x14ac:dyDescent="0.2">
      <c r="A1205" t="s">
        <v>1244</v>
      </c>
      <c r="B1205">
        <v>2018</v>
      </c>
      <c r="C1205" t="s">
        <v>19</v>
      </c>
      <c r="D1205">
        <v>96</v>
      </c>
      <c r="E1205" t="s">
        <v>38</v>
      </c>
      <c r="F1205" t="s">
        <v>39</v>
      </c>
      <c r="G1205" t="s">
        <v>15</v>
      </c>
      <c r="H1205">
        <v>1.207133472294913</v>
      </c>
      <c r="I1205">
        <v>3</v>
      </c>
      <c r="J1205" t="s">
        <v>23</v>
      </c>
      <c r="K1205" s="59" t="s">
        <v>17</v>
      </c>
    </row>
    <row r="1206" spans="1:11" x14ac:dyDescent="0.2">
      <c r="A1206" t="s">
        <v>1245</v>
      </c>
      <c r="B1206">
        <v>2019</v>
      </c>
      <c r="C1206" t="s">
        <v>19</v>
      </c>
      <c r="D1206">
        <v>66</v>
      </c>
      <c r="E1206" t="s">
        <v>29</v>
      </c>
      <c r="F1206" t="s">
        <v>30</v>
      </c>
      <c r="G1206" t="s">
        <v>15</v>
      </c>
      <c r="H1206">
        <v>0.47225171556667001</v>
      </c>
      <c r="I1206">
        <v>4</v>
      </c>
      <c r="J1206" t="s">
        <v>23</v>
      </c>
      <c r="K1206" s="59" t="s">
        <v>16</v>
      </c>
    </row>
    <row r="1207" spans="1:11" x14ac:dyDescent="0.2">
      <c r="A1207" t="s">
        <v>1246</v>
      </c>
      <c r="B1207">
        <v>2024</v>
      </c>
      <c r="C1207" t="s">
        <v>33</v>
      </c>
      <c r="D1207">
        <v>50</v>
      </c>
      <c r="E1207" t="s">
        <v>20</v>
      </c>
      <c r="F1207" t="s">
        <v>21</v>
      </c>
      <c r="G1207" t="s">
        <v>15</v>
      </c>
      <c r="H1207">
        <v>0.26648482368276211</v>
      </c>
      <c r="I1207">
        <v>3</v>
      </c>
      <c r="J1207" t="s">
        <v>23</v>
      </c>
      <c r="K1207" s="59" t="s">
        <v>4376</v>
      </c>
    </row>
    <row r="1208" spans="1:11" x14ac:dyDescent="0.2">
      <c r="A1208" t="s">
        <v>1247</v>
      </c>
      <c r="B1208">
        <v>2018</v>
      </c>
      <c r="C1208" t="s">
        <v>19</v>
      </c>
      <c r="D1208">
        <v>39</v>
      </c>
      <c r="E1208" t="s">
        <v>20</v>
      </c>
      <c r="F1208" t="s">
        <v>21</v>
      </c>
      <c r="G1208" t="s">
        <v>15</v>
      </c>
      <c r="H1208">
        <v>1.207133472294913</v>
      </c>
      <c r="I1208">
        <v>3</v>
      </c>
      <c r="J1208" t="s">
        <v>16</v>
      </c>
      <c r="K1208" s="59" t="s">
        <v>23</v>
      </c>
    </row>
    <row r="1209" spans="1:11" x14ac:dyDescent="0.2">
      <c r="A1209" t="s">
        <v>1248</v>
      </c>
      <c r="B1209">
        <v>2018</v>
      </c>
      <c r="C1209" t="s">
        <v>19</v>
      </c>
      <c r="D1209">
        <v>50</v>
      </c>
      <c r="E1209" t="s">
        <v>20</v>
      </c>
      <c r="F1209" t="s">
        <v>21</v>
      </c>
      <c r="G1209" t="s">
        <v>48</v>
      </c>
      <c r="H1209">
        <v>-1.614812473541539</v>
      </c>
      <c r="I1209">
        <v>3</v>
      </c>
      <c r="J1209" t="s">
        <v>23</v>
      </c>
      <c r="K1209" s="59" t="s">
        <v>17</v>
      </c>
    </row>
    <row r="1210" spans="1:11" x14ac:dyDescent="0.2">
      <c r="A1210" t="s">
        <v>1249</v>
      </c>
      <c r="B1210">
        <v>2018</v>
      </c>
      <c r="C1210" t="s">
        <v>33</v>
      </c>
      <c r="D1210">
        <v>149</v>
      </c>
      <c r="E1210" t="s">
        <v>20</v>
      </c>
      <c r="F1210" t="s">
        <v>21</v>
      </c>
      <c r="G1210" t="s">
        <v>15</v>
      </c>
      <c r="H1210">
        <v>-8.1426320324471585E-2</v>
      </c>
      <c r="I1210">
        <v>3</v>
      </c>
      <c r="J1210" t="s">
        <v>23</v>
      </c>
      <c r="K1210" s="59" t="s">
        <v>4376</v>
      </c>
    </row>
    <row r="1211" spans="1:11" x14ac:dyDescent="0.2">
      <c r="A1211" t="s">
        <v>1250</v>
      </c>
      <c r="B1211">
        <v>2016</v>
      </c>
      <c r="C1211" t="s">
        <v>33</v>
      </c>
      <c r="D1211">
        <v>88</v>
      </c>
      <c r="E1211" t="s">
        <v>38</v>
      </c>
      <c r="F1211" t="s">
        <v>39</v>
      </c>
      <c r="G1211" t="s">
        <v>15</v>
      </c>
      <c r="H1211">
        <v>0.1382145534174688</v>
      </c>
      <c r="I1211">
        <v>3</v>
      </c>
      <c r="J1211" t="s">
        <v>23</v>
      </c>
      <c r="K1211" s="59" t="s">
        <v>17</v>
      </c>
    </row>
    <row r="1212" spans="1:11" x14ac:dyDescent="0.2">
      <c r="A1212" t="s">
        <v>1251</v>
      </c>
      <c r="B1212">
        <v>2019</v>
      </c>
      <c r="C1212" t="s">
        <v>19</v>
      </c>
      <c r="D1212">
        <v>77</v>
      </c>
      <c r="E1212" t="s">
        <v>20</v>
      </c>
      <c r="F1212" t="s">
        <v>21</v>
      </c>
      <c r="G1212" t="s">
        <v>15</v>
      </c>
      <c r="H1212">
        <v>-4.7064725854621493E-2</v>
      </c>
      <c r="I1212">
        <v>3</v>
      </c>
      <c r="J1212" t="s">
        <v>17</v>
      </c>
      <c r="K1212" s="59" t="s">
        <v>17</v>
      </c>
    </row>
    <row r="1213" spans="1:11" x14ac:dyDescent="0.2">
      <c r="A1213" t="s">
        <v>1252</v>
      </c>
      <c r="B1213">
        <v>2021</v>
      </c>
      <c r="C1213" t="s">
        <v>19</v>
      </c>
      <c r="D1213">
        <v>166</v>
      </c>
      <c r="E1213" t="s">
        <v>25</v>
      </c>
      <c r="F1213" t="s">
        <v>26</v>
      </c>
      <c r="G1213" t="s">
        <v>80</v>
      </c>
      <c r="H1213">
        <v>1.522787381225164</v>
      </c>
      <c r="I1213">
        <v>2</v>
      </c>
      <c r="J1213" t="s">
        <v>23</v>
      </c>
      <c r="K1213" s="59" t="s">
        <v>23</v>
      </c>
    </row>
    <row r="1214" spans="1:11" x14ac:dyDescent="0.2">
      <c r="A1214" t="s">
        <v>1253</v>
      </c>
      <c r="B1214">
        <v>2018</v>
      </c>
      <c r="C1214" t="s">
        <v>19</v>
      </c>
      <c r="D1214">
        <v>273</v>
      </c>
      <c r="E1214" t="s">
        <v>13</v>
      </c>
      <c r="F1214" t="s">
        <v>14</v>
      </c>
      <c r="G1214" t="s">
        <v>34</v>
      </c>
      <c r="H1214">
        <v>0.97226489586241549</v>
      </c>
      <c r="I1214">
        <v>4</v>
      </c>
      <c r="J1214" t="s">
        <v>16</v>
      </c>
      <c r="K1214" s="59" t="s">
        <v>23</v>
      </c>
    </row>
    <row r="1215" spans="1:11" x14ac:dyDescent="0.2">
      <c r="A1215" t="s">
        <v>1254</v>
      </c>
      <c r="B1215">
        <v>2024</v>
      </c>
      <c r="C1215" t="s">
        <v>33</v>
      </c>
      <c r="D1215">
        <v>363</v>
      </c>
      <c r="E1215" t="s">
        <v>53</v>
      </c>
      <c r="F1215" t="s">
        <v>54</v>
      </c>
      <c r="G1215" t="s">
        <v>15</v>
      </c>
      <c r="H1215">
        <v>-1.6253498443433479E-2</v>
      </c>
      <c r="I1215">
        <v>3</v>
      </c>
      <c r="J1215" t="s">
        <v>16</v>
      </c>
      <c r="K1215" s="59" t="s">
        <v>4376</v>
      </c>
    </row>
    <row r="1216" spans="1:11" x14ac:dyDescent="0.2">
      <c r="A1216" t="s">
        <v>1255</v>
      </c>
      <c r="B1216">
        <v>2021</v>
      </c>
      <c r="C1216" t="s">
        <v>19</v>
      </c>
      <c r="D1216">
        <v>311</v>
      </c>
      <c r="E1216" t="s">
        <v>38</v>
      </c>
      <c r="F1216" t="s">
        <v>39</v>
      </c>
      <c r="G1216" t="s">
        <v>15</v>
      </c>
      <c r="H1216">
        <v>0.60221472720671299</v>
      </c>
      <c r="I1216">
        <v>3</v>
      </c>
      <c r="J1216" t="s">
        <v>23</v>
      </c>
      <c r="K1216" s="59" t="s">
        <v>16</v>
      </c>
    </row>
    <row r="1217" spans="1:11" x14ac:dyDescent="0.2">
      <c r="A1217" t="s">
        <v>1256</v>
      </c>
      <c r="B1217">
        <v>2016</v>
      </c>
      <c r="C1217" t="s">
        <v>33</v>
      </c>
      <c r="D1217">
        <v>67</v>
      </c>
      <c r="E1217" t="s">
        <v>29</v>
      </c>
      <c r="F1217" t="s">
        <v>30</v>
      </c>
      <c r="G1217" t="s">
        <v>34</v>
      </c>
      <c r="H1217">
        <v>-1.8347651426200029</v>
      </c>
      <c r="I1217">
        <v>4</v>
      </c>
      <c r="J1217" t="s">
        <v>17</v>
      </c>
      <c r="K1217" s="59" t="s">
        <v>4376</v>
      </c>
    </row>
    <row r="1218" spans="1:11" x14ac:dyDescent="0.2">
      <c r="A1218" t="s">
        <v>1257</v>
      </c>
      <c r="B1218">
        <v>2025</v>
      </c>
      <c r="C1218" t="s">
        <v>33</v>
      </c>
      <c r="D1218">
        <v>305</v>
      </c>
      <c r="E1218" t="s">
        <v>20</v>
      </c>
      <c r="F1218" t="s">
        <v>21</v>
      </c>
      <c r="G1218" t="s">
        <v>15</v>
      </c>
      <c r="H1218">
        <v>1.207133472294913</v>
      </c>
      <c r="I1218">
        <v>3</v>
      </c>
      <c r="J1218" t="s">
        <v>16</v>
      </c>
      <c r="K1218" s="59" t="s">
        <v>4376</v>
      </c>
    </row>
    <row r="1219" spans="1:11" x14ac:dyDescent="0.2">
      <c r="A1219" t="s">
        <v>1258</v>
      </c>
      <c r="B1219">
        <v>2025</v>
      </c>
      <c r="C1219" t="s">
        <v>33</v>
      </c>
      <c r="D1219">
        <v>260</v>
      </c>
      <c r="E1219" t="s">
        <v>20</v>
      </c>
      <c r="F1219" t="s">
        <v>21</v>
      </c>
      <c r="G1219" t="s">
        <v>15</v>
      </c>
      <c r="H1219">
        <v>0.14373868219719729</v>
      </c>
      <c r="I1219">
        <v>3</v>
      </c>
      <c r="J1219" t="s">
        <v>16</v>
      </c>
      <c r="K1219" s="59" t="s">
        <v>4376</v>
      </c>
    </row>
    <row r="1220" spans="1:11" x14ac:dyDescent="0.2">
      <c r="A1220" t="s">
        <v>1259</v>
      </c>
      <c r="B1220">
        <v>2021</v>
      </c>
      <c r="C1220" t="s">
        <v>33</v>
      </c>
      <c r="D1220">
        <v>94</v>
      </c>
      <c r="E1220" t="s">
        <v>20</v>
      </c>
      <c r="F1220" t="s">
        <v>21</v>
      </c>
      <c r="G1220" t="s">
        <v>15</v>
      </c>
      <c r="H1220">
        <v>-2.332942086998127</v>
      </c>
      <c r="I1220">
        <v>3</v>
      </c>
      <c r="J1220" t="s">
        <v>23</v>
      </c>
      <c r="K1220" s="59" t="s">
        <v>4376</v>
      </c>
    </row>
    <row r="1221" spans="1:11" x14ac:dyDescent="0.2">
      <c r="A1221" t="s">
        <v>1260</v>
      </c>
      <c r="B1221">
        <v>2024</v>
      </c>
      <c r="C1221" t="s">
        <v>33</v>
      </c>
      <c r="D1221">
        <v>230</v>
      </c>
      <c r="E1221" t="s">
        <v>25</v>
      </c>
      <c r="F1221" t="s">
        <v>26</v>
      </c>
      <c r="G1221" t="s">
        <v>15</v>
      </c>
      <c r="H1221">
        <v>0.35970225732901118</v>
      </c>
      <c r="I1221">
        <v>2</v>
      </c>
      <c r="J1221" t="s">
        <v>17</v>
      </c>
      <c r="K1221" s="59" t="s">
        <v>4376</v>
      </c>
    </row>
    <row r="1222" spans="1:11" x14ac:dyDescent="0.2">
      <c r="A1222" t="s">
        <v>1261</v>
      </c>
      <c r="B1222">
        <v>2021</v>
      </c>
      <c r="C1222" t="s">
        <v>12</v>
      </c>
      <c r="D1222">
        <v>159</v>
      </c>
      <c r="E1222" t="s">
        <v>25</v>
      </c>
      <c r="F1222" t="s">
        <v>26</v>
      </c>
      <c r="G1222" t="s">
        <v>15</v>
      </c>
      <c r="H1222">
        <v>1.207133472294913</v>
      </c>
      <c r="I1222">
        <v>2</v>
      </c>
      <c r="J1222" t="s">
        <v>23</v>
      </c>
      <c r="K1222" s="59" t="s">
        <v>17</v>
      </c>
    </row>
    <row r="1223" spans="1:11" x14ac:dyDescent="0.2">
      <c r="A1223" t="s">
        <v>1262</v>
      </c>
      <c r="B1223">
        <v>2021</v>
      </c>
      <c r="C1223" t="s">
        <v>19</v>
      </c>
      <c r="D1223">
        <v>60</v>
      </c>
      <c r="E1223" t="s">
        <v>20</v>
      </c>
      <c r="F1223" t="s">
        <v>21</v>
      </c>
      <c r="G1223" t="s">
        <v>15</v>
      </c>
      <c r="H1223">
        <v>1.207133472294913</v>
      </c>
      <c r="I1223">
        <v>3</v>
      </c>
      <c r="J1223" t="s">
        <v>16</v>
      </c>
      <c r="K1223" s="59" t="s">
        <v>17</v>
      </c>
    </row>
    <row r="1224" spans="1:11" x14ac:dyDescent="0.2">
      <c r="A1224" t="s">
        <v>1263</v>
      </c>
      <c r="B1224">
        <v>2023</v>
      </c>
      <c r="C1224" t="s">
        <v>33</v>
      </c>
      <c r="D1224">
        <v>84</v>
      </c>
      <c r="E1224" t="s">
        <v>20</v>
      </c>
      <c r="F1224" t="s">
        <v>21</v>
      </c>
      <c r="G1224" t="s">
        <v>167</v>
      </c>
      <c r="H1224">
        <v>8.7313652518543006E-2</v>
      </c>
      <c r="I1224">
        <v>3</v>
      </c>
      <c r="J1224" t="s">
        <v>23</v>
      </c>
      <c r="K1224" s="59" t="s">
        <v>4376</v>
      </c>
    </row>
    <row r="1225" spans="1:11" x14ac:dyDescent="0.2">
      <c r="A1225" t="s">
        <v>1264</v>
      </c>
      <c r="B1225">
        <v>2025</v>
      </c>
      <c r="C1225" t="s">
        <v>19</v>
      </c>
      <c r="D1225">
        <v>230</v>
      </c>
      <c r="E1225" t="s">
        <v>20</v>
      </c>
      <c r="F1225" t="s">
        <v>21</v>
      </c>
      <c r="G1225" t="s">
        <v>15</v>
      </c>
      <c r="H1225">
        <v>0.37100134019522318</v>
      </c>
      <c r="I1225">
        <v>3</v>
      </c>
      <c r="J1225" t="s">
        <v>17</v>
      </c>
      <c r="K1225" s="59" t="s">
        <v>16</v>
      </c>
    </row>
    <row r="1226" spans="1:11" x14ac:dyDescent="0.2">
      <c r="A1226" t="s">
        <v>1265</v>
      </c>
      <c r="B1226">
        <v>2023</v>
      </c>
      <c r="C1226" t="s">
        <v>12</v>
      </c>
      <c r="D1226">
        <v>395</v>
      </c>
      <c r="E1226" t="s">
        <v>38</v>
      </c>
      <c r="F1226" t="s">
        <v>39</v>
      </c>
      <c r="G1226" t="s">
        <v>15</v>
      </c>
      <c r="H1226">
        <v>1.173666381899163E-3</v>
      </c>
      <c r="I1226">
        <v>3</v>
      </c>
      <c r="J1226" t="s">
        <v>16</v>
      </c>
      <c r="K1226" s="59" t="s">
        <v>4376</v>
      </c>
    </row>
    <row r="1227" spans="1:11" x14ac:dyDescent="0.2">
      <c r="A1227" t="s">
        <v>1266</v>
      </c>
      <c r="B1227">
        <v>2018</v>
      </c>
      <c r="C1227" t="s">
        <v>19</v>
      </c>
      <c r="D1227">
        <v>80</v>
      </c>
      <c r="E1227" t="s">
        <v>20</v>
      </c>
      <c r="F1227" t="s">
        <v>21</v>
      </c>
      <c r="G1227" t="s">
        <v>15</v>
      </c>
      <c r="H1227">
        <v>0.61922806691231846</v>
      </c>
      <c r="I1227">
        <v>3</v>
      </c>
      <c r="J1227" t="s">
        <v>16</v>
      </c>
      <c r="K1227" s="59" t="s">
        <v>17</v>
      </c>
    </row>
    <row r="1228" spans="1:11" x14ac:dyDescent="0.2">
      <c r="A1228" t="s">
        <v>1267</v>
      </c>
      <c r="B1228">
        <v>2019</v>
      </c>
      <c r="C1228" t="s">
        <v>33</v>
      </c>
      <c r="D1228">
        <v>50</v>
      </c>
      <c r="E1228" t="s">
        <v>29</v>
      </c>
      <c r="F1228" t="s">
        <v>30</v>
      </c>
      <c r="G1228" t="s">
        <v>34</v>
      </c>
      <c r="H1228">
        <v>-1.928362023078922</v>
      </c>
      <c r="I1228">
        <v>4</v>
      </c>
      <c r="J1228" t="s">
        <v>17</v>
      </c>
      <c r="K1228" s="59" t="s">
        <v>4376</v>
      </c>
    </row>
    <row r="1229" spans="1:11" x14ac:dyDescent="0.2">
      <c r="A1229" t="s">
        <v>1268</v>
      </c>
      <c r="B1229">
        <v>2017</v>
      </c>
      <c r="C1229" t="s">
        <v>33</v>
      </c>
      <c r="D1229">
        <v>78</v>
      </c>
      <c r="E1229" t="s">
        <v>25</v>
      </c>
      <c r="F1229" t="s">
        <v>26</v>
      </c>
      <c r="G1229" t="s">
        <v>15</v>
      </c>
      <c r="H1229">
        <v>-0.64940991312380536</v>
      </c>
      <c r="I1229">
        <v>2</v>
      </c>
      <c r="J1229" t="s">
        <v>23</v>
      </c>
      <c r="K1229" s="59" t="s">
        <v>4376</v>
      </c>
    </row>
    <row r="1230" spans="1:11" x14ac:dyDescent="0.2">
      <c r="A1230" t="s">
        <v>1269</v>
      </c>
      <c r="B1230">
        <v>2018</v>
      </c>
      <c r="C1230" t="s">
        <v>19</v>
      </c>
      <c r="D1230">
        <v>136</v>
      </c>
      <c r="E1230" t="s">
        <v>13</v>
      </c>
      <c r="F1230" t="s">
        <v>14</v>
      </c>
      <c r="G1230" t="s">
        <v>15</v>
      </c>
      <c r="H1230">
        <v>1.792113975163165</v>
      </c>
      <c r="I1230">
        <v>4</v>
      </c>
      <c r="J1230" t="s">
        <v>17</v>
      </c>
      <c r="K1230" s="59" t="s">
        <v>17</v>
      </c>
    </row>
    <row r="1231" spans="1:11" x14ac:dyDescent="0.2">
      <c r="A1231" t="s">
        <v>1270</v>
      </c>
      <c r="B1231">
        <v>2019</v>
      </c>
      <c r="C1231" t="s">
        <v>33</v>
      </c>
      <c r="D1231">
        <v>58</v>
      </c>
      <c r="E1231" t="s">
        <v>29</v>
      </c>
      <c r="F1231" t="s">
        <v>30</v>
      </c>
      <c r="G1231" t="s">
        <v>34</v>
      </c>
      <c r="H1231">
        <v>-1.22557854997789</v>
      </c>
      <c r="I1231">
        <v>4</v>
      </c>
      <c r="J1231" t="s">
        <v>16</v>
      </c>
      <c r="K1231" s="59" t="s">
        <v>4376</v>
      </c>
    </row>
    <row r="1232" spans="1:11" x14ac:dyDescent="0.2">
      <c r="A1232" t="s">
        <v>1271</v>
      </c>
      <c r="B1232">
        <v>2021</v>
      </c>
      <c r="C1232" t="s">
        <v>33</v>
      </c>
      <c r="D1232">
        <v>108</v>
      </c>
      <c r="E1232" t="s">
        <v>13</v>
      </c>
      <c r="F1232" t="s">
        <v>14</v>
      </c>
      <c r="G1232" t="s">
        <v>80</v>
      </c>
      <c r="H1232">
        <v>0.33616250135773618</v>
      </c>
      <c r="I1232">
        <v>4</v>
      </c>
      <c r="J1232" t="s">
        <v>17</v>
      </c>
      <c r="K1232" s="59" t="s">
        <v>4376</v>
      </c>
    </row>
    <row r="1233" spans="1:11" x14ac:dyDescent="0.2">
      <c r="A1233" t="s">
        <v>1272</v>
      </c>
      <c r="B1233">
        <v>2016</v>
      </c>
      <c r="C1233" t="s">
        <v>33</v>
      </c>
      <c r="D1233">
        <v>90</v>
      </c>
      <c r="E1233" t="s">
        <v>38</v>
      </c>
      <c r="F1233" t="s">
        <v>39</v>
      </c>
      <c r="G1233" t="s">
        <v>15</v>
      </c>
      <c r="H1233">
        <v>0.68455088973260669</v>
      </c>
      <c r="I1233">
        <v>3</v>
      </c>
      <c r="J1233" t="s">
        <v>23</v>
      </c>
      <c r="K1233" s="59" t="s">
        <v>4376</v>
      </c>
    </row>
    <row r="1234" spans="1:11" x14ac:dyDescent="0.2">
      <c r="A1234" t="s">
        <v>1273</v>
      </c>
      <c r="B1234">
        <v>2019</v>
      </c>
      <c r="C1234" t="s">
        <v>33</v>
      </c>
      <c r="D1234">
        <v>63</v>
      </c>
      <c r="E1234" t="s">
        <v>13</v>
      </c>
      <c r="F1234" t="s">
        <v>14</v>
      </c>
      <c r="G1234" t="s">
        <v>147</v>
      </c>
      <c r="H1234">
        <v>-0.28595962074024678</v>
      </c>
      <c r="I1234">
        <v>4</v>
      </c>
      <c r="J1234" t="s">
        <v>23</v>
      </c>
      <c r="K1234" s="59" t="s">
        <v>4376</v>
      </c>
    </row>
    <row r="1235" spans="1:11" x14ac:dyDescent="0.2">
      <c r="A1235" t="s">
        <v>1274</v>
      </c>
      <c r="B1235">
        <v>2019</v>
      </c>
      <c r="C1235" t="s">
        <v>33</v>
      </c>
      <c r="D1235">
        <v>40</v>
      </c>
      <c r="E1235" t="s">
        <v>20</v>
      </c>
      <c r="F1235" t="s">
        <v>21</v>
      </c>
      <c r="G1235" t="s">
        <v>41</v>
      </c>
      <c r="H1235">
        <v>1.207133472294913</v>
      </c>
      <c r="I1235">
        <v>3</v>
      </c>
      <c r="J1235" t="s">
        <v>23</v>
      </c>
      <c r="K1235" s="59" t="s">
        <v>4376</v>
      </c>
    </row>
    <row r="1236" spans="1:11" x14ac:dyDescent="0.2">
      <c r="A1236" t="s">
        <v>1275</v>
      </c>
      <c r="B1236">
        <v>2018</v>
      </c>
      <c r="C1236" t="s">
        <v>19</v>
      </c>
      <c r="D1236">
        <v>146</v>
      </c>
      <c r="E1236" t="s">
        <v>20</v>
      </c>
      <c r="F1236" t="s">
        <v>21</v>
      </c>
      <c r="G1236" t="s">
        <v>15</v>
      </c>
      <c r="H1236">
        <v>-0.75255121231373412</v>
      </c>
      <c r="I1236">
        <v>3</v>
      </c>
      <c r="J1236" t="s">
        <v>23</v>
      </c>
      <c r="K1236" s="59" t="s">
        <v>17</v>
      </c>
    </row>
    <row r="1237" spans="1:11" x14ac:dyDescent="0.2">
      <c r="A1237" t="s">
        <v>1276</v>
      </c>
      <c r="B1237">
        <v>2018</v>
      </c>
      <c r="C1237" t="s">
        <v>33</v>
      </c>
      <c r="D1237">
        <v>97</v>
      </c>
      <c r="E1237" t="s">
        <v>38</v>
      </c>
      <c r="F1237" t="s">
        <v>39</v>
      </c>
      <c r="G1237" t="s">
        <v>15</v>
      </c>
      <c r="H1237">
        <v>1.207133472294913</v>
      </c>
      <c r="I1237">
        <v>3</v>
      </c>
      <c r="J1237" t="s">
        <v>23</v>
      </c>
      <c r="K1237" s="59" t="s">
        <v>4376</v>
      </c>
    </row>
    <row r="1238" spans="1:11" x14ac:dyDescent="0.2">
      <c r="A1238" t="s">
        <v>1277</v>
      </c>
      <c r="B1238">
        <v>2018</v>
      </c>
      <c r="C1238" t="s">
        <v>19</v>
      </c>
      <c r="D1238">
        <v>136</v>
      </c>
      <c r="E1238" t="s">
        <v>13</v>
      </c>
      <c r="F1238" t="s">
        <v>14</v>
      </c>
      <c r="G1238" t="s">
        <v>15</v>
      </c>
      <c r="H1238">
        <v>1.792113975163165</v>
      </c>
      <c r="I1238">
        <v>4</v>
      </c>
      <c r="J1238" t="s">
        <v>17</v>
      </c>
      <c r="K1238" s="59" t="s">
        <v>17</v>
      </c>
    </row>
    <row r="1239" spans="1:11" x14ac:dyDescent="0.2">
      <c r="A1239" t="s">
        <v>1278</v>
      </c>
      <c r="B1239">
        <v>2025</v>
      </c>
      <c r="C1239" t="s">
        <v>33</v>
      </c>
      <c r="D1239">
        <v>84</v>
      </c>
      <c r="E1239" t="s">
        <v>25</v>
      </c>
      <c r="F1239" t="s">
        <v>26</v>
      </c>
      <c r="G1239" t="s">
        <v>22</v>
      </c>
      <c r="H1239">
        <v>0.64722356240672774</v>
      </c>
      <c r="I1239">
        <v>2</v>
      </c>
      <c r="J1239" t="s">
        <v>23</v>
      </c>
      <c r="K1239" s="59" t="s">
        <v>4376</v>
      </c>
    </row>
    <row r="1240" spans="1:11" x14ac:dyDescent="0.2">
      <c r="A1240" t="s">
        <v>1279</v>
      </c>
      <c r="B1240">
        <v>2021</v>
      </c>
      <c r="C1240" t="s">
        <v>19</v>
      </c>
      <c r="D1240">
        <v>74</v>
      </c>
      <c r="E1240" t="s">
        <v>20</v>
      </c>
      <c r="F1240" t="s">
        <v>21</v>
      </c>
      <c r="G1240" t="s">
        <v>15</v>
      </c>
      <c r="H1240">
        <v>-1.519384349769292</v>
      </c>
      <c r="I1240">
        <v>3</v>
      </c>
      <c r="J1240" t="s">
        <v>16</v>
      </c>
      <c r="K1240" s="59" t="s">
        <v>17</v>
      </c>
    </row>
    <row r="1241" spans="1:11" x14ac:dyDescent="0.2">
      <c r="A1241" t="s">
        <v>1280</v>
      </c>
      <c r="B1241">
        <v>2022</v>
      </c>
      <c r="C1241" t="s">
        <v>19</v>
      </c>
      <c r="D1241">
        <v>239</v>
      </c>
      <c r="E1241" t="s">
        <v>25</v>
      </c>
      <c r="F1241" t="s">
        <v>26</v>
      </c>
      <c r="G1241" t="s">
        <v>15</v>
      </c>
      <c r="H1241">
        <v>0.9004002173126896</v>
      </c>
      <c r="I1241">
        <v>2</v>
      </c>
      <c r="J1241" t="s">
        <v>23</v>
      </c>
      <c r="K1241" s="59" t="s">
        <v>17</v>
      </c>
    </row>
    <row r="1242" spans="1:11" x14ac:dyDescent="0.2">
      <c r="A1242" t="s">
        <v>1281</v>
      </c>
      <c r="B1242">
        <v>2018</v>
      </c>
      <c r="C1242" t="s">
        <v>19</v>
      </c>
      <c r="D1242">
        <v>77</v>
      </c>
      <c r="E1242" t="s">
        <v>20</v>
      </c>
      <c r="F1242" t="s">
        <v>21</v>
      </c>
      <c r="G1242" t="s">
        <v>15</v>
      </c>
      <c r="H1242">
        <v>-0.67416382492938842</v>
      </c>
      <c r="I1242">
        <v>3</v>
      </c>
      <c r="J1242" t="s">
        <v>23</v>
      </c>
      <c r="K1242" s="59" t="s">
        <v>23</v>
      </c>
    </row>
    <row r="1243" spans="1:11" x14ac:dyDescent="0.2">
      <c r="A1243" t="s">
        <v>1282</v>
      </c>
      <c r="B1243">
        <v>2019</v>
      </c>
      <c r="C1243" t="s">
        <v>12</v>
      </c>
      <c r="D1243">
        <v>91</v>
      </c>
      <c r="E1243" t="s">
        <v>20</v>
      </c>
      <c r="F1243" t="s">
        <v>21</v>
      </c>
      <c r="G1243" t="s">
        <v>15</v>
      </c>
      <c r="H1243">
        <v>0.15022487834867609</v>
      </c>
      <c r="I1243">
        <v>3</v>
      </c>
      <c r="J1243" t="s">
        <v>23</v>
      </c>
      <c r="K1243" s="59" t="s">
        <v>23</v>
      </c>
    </row>
    <row r="1244" spans="1:11" x14ac:dyDescent="0.2">
      <c r="A1244" t="s">
        <v>1283</v>
      </c>
      <c r="B1244">
        <v>2016</v>
      </c>
      <c r="C1244" t="s">
        <v>19</v>
      </c>
      <c r="D1244">
        <v>89</v>
      </c>
      <c r="E1244" t="s">
        <v>38</v>
      </c>
      <c r="F1244" t="s">
        <v>39</v>
      </c>
      <c r="G1244" t="s">
        <v>15</v>
      </c>
      <c r="H1244">
        <v>0.67867917532179434</v>
      </c>
      <c r="I1244">
        <v>3</v>
      </c>
      <c r="J1244" t="s">
        <v>23</v>
      </c>
      <c r="K1244" s="59" t="s">
        <v>16</v>
      </c>
    </row>
    <row r="1245" spans="1:11" x14ac:dyDescent="0.2">
      <c r="A1245" t="s">
        <v>1284</v>
      </c>
      <c r="B1245">
        <v>2018</v>
      </c>
      <c r="C1245" t="s">
        <v>19</v>
      </c>
      <c r="D1245">
        <v>160</v>
      </c>
      <c r="E1245" t="s">
        <v>20</v>
      </c>
      <c r="F1245" t="s">
        <v>21</v>
      </c>
      <c r="G1245" t="s">
        <v>15</v>
      </c>
      <c r="H1245">
        <v>0.30266361786015239</v>
      </c>
      <c r="I1245">
        <v>3</v>
      </c>
      <c r="J1245" t="s">
        <v>23</v>
      </c>
      <c r="K1245" s="59" t="s">
        <v>23</v>
      </c>
    </row>
    <row r="1246" spans="1:11" x14ac:dyDescent="0.2">
      <c r="A1246" t="s">
        <v>1285</v>
      </c>
      <c r="B1246">
        <v>2019</v>
      </c>
      <c r="C1246" t="s">
        <v>33</v>
      </c>
      <c r="D1246">
        <v>153</v>
      </c>
      <c r="E1246" t="s">
        <v>20</v>
      </c>
      <c r="F1246" t="s">
        <v>21</v>
      </c>
      <c r="G1246" t="s">
        <v>15</v>
      </c>
      <c r="H1246">
        <v>1.516557369864699</v>
      </c>
      <c r="I1246">
        <v>3</v>
      </c>
      <c r="J1246" t="s">
        <v>23</v>
      </c>
      <c r="K1246" s="59" t="s">
        <v>23</v>
      </c>
    </row>
    <row r="1247" spans="1:11" x14ac:dyDescent="0.2">
      <c r="A1247" t="s">
        <v>1286</v>
      </c>
      <c r="B1247">
        <v>2018</v>
      </c>
      <c r="C1247" t="s">
        <v>19</v>
      </c>
      <c r="D1247">
        <v>48</v>
      </c>
      <c r="E1247" t="s">
        <v>25</v>
      </c>
      <c r="F1247" t="s">
        <v>26</v>
      </c>
      <c r="G1247" t="s">
        <v>15</v>
      </c>
      <c r="H1247">
        <v>2.186975814599236</v>
      </c>
      <c r="I1247">
        <v>2</v>
      </c>
      <c r="J1247" t="s">
        <v>16</v>
      </c>
      <c r="K1247" s="59" t="s">
        <v>16</v>
      </c>
    </row>
    <row r="1248" spans="1:11" x14ac:dyDescent="0.2">
      <c r="A1248" t="s">
        <v>1287</v>
      </c>
      <c r="B1248">
        <v>2019</v>
      </c>
      <c r="C1248" t="s">
        <v>33</v>
      </c>
      <c r="D1248">
        <v>58</v>
      </c>
      <c r="E1248" t="s">
        <v>13</v>
      </c>
      <c r="F1248" t="s">
        <v>14</v>
      </c>
      <c r="G1248" t="s">
        <v>147</v>
      </c>
      <c r="H1248">
        <v>-0.41467454255362268</v>
      </c>
      <c r="I1248">
        <v>4</v>
      </c>
      <c r="J1248" t="s">
        <v>23</v>
      </c>
      <c r="K1248" s="59" t="s">
        <v>4376</v>
      </c>
    </row>
    <row r="1249" spans="1:11" x14ac:dyDescent="0.2">
      <c r="A1249" t="s">
        <v>1288</v>
      </c>
      <c r="B1249">
        <v>2019</v>
      </c>
      <c r="C1249" t="s">
        <v>19</v>
      </c>
      <c r="D1249">
        <v>184</v>
      </c>
      <c r="E1249" t="s">
        <v>20</v>
      </c>
      <c r="F1249" t="s">
        <v>21</v>
      </c>
      <c r="G1249" t="s">
        <v>15</v>
      </c>
      <c r="H1249">
        <v>-0.64818930603280012</v>
      </c>
      <c r="I1249">
        <v>3</v>
      </c>
      <c r="J1249" t="s">
        <v>23</v>
      </c>
      <c r="K1249" s="59" t="s">
        <v>17</v>
      </c>
    </row>
    <row r="1250" spans="1:11" x14ac:dyDescent="0.2">
      <c r="A1250" t="s">
        <v>1289</v>
      </c>
      <c r="B1250">
        <v>2020</v>
      </c>
      <c r="C1250" t="s">
        <v>33</v>
      </c>
      <c r="D1250">
        <v>88</v>
      </c>
      <c r="E1250" t="s">
        <v>20</v>
      </c>
      <c r="F1250" t="s">
        <v>21</v>
      </c>
      <c r="G1250" t="s">
        <v>15</v>
      </c>
      <c r="H1250">
        <v>-0.3962449060212529</v>
      </c>
      <c r="I1250">
        <v>3</v>
      </c>
      <c r="J1250" t="s">
        <v>23</v>
      </c>
      <c r="K1250" s="59" t="s">
        <v>4376</v>
      </c>
    </row>
    <row r="1251" spans="1:11" x14ac:dyDescent="0.2">
      <c r="A1251" t="s">
        <v>1290</v>
      </c>
      <c r="B1251">
        <v>2025</v>
      </c>
      <c r="C1251" t="s">
        <v>33</v>
      </c>
      <c r="D1251">
        <v>84</v>
      </c>
      <c r="E1251" t="s">
        <v>25</v>
      </c>
      <c r="F1251" t="s">
        <v>26</v>
      </c>
      <c r="G1251" t="s">
        <v>34</v>
      </c>
      <c r="H1251">
        <v>-0.5789082655762593</v>
      </c>
      <c r="I1251">
        <v>2</v>
      </c>
      <c r="J1251" t="s">
        <v>23</v>
      </c>
      <c r="K1251" s="59" t="s">
        <v>4376</v>
      </c>
    </row>
    <row r="1252" spans="1:11" x14ac:dyDescent="0.2">
      <c r="A1252" t="s">
        <v>1291</v>
      </c>
      <c r="B1252">
        <v>2019</v>
      </c>
      <c r="C1252" t="s">
        <v>19</v>
      </c>
      <c r="D1252">
        <v>162</v>
      </c>
      <c r="E1252" t="s">
        <v>20</v>
      </c>
      <c r="F1252" t="s">
        <v>21</v>
      </c>
      <c r="G1252" t="s">
        <v>15</v>
      </c>
      <c r="H1252">
        <v>-0.15612543873718959</v>
      </c>
      <c r="I1252">
        <v>3</v>
      </c>
      <c r="J1252" t="s">
        <v>16</v>
      </c>
      <c r="K1252" s="59" t="s">
        <v>23</v>
      </c>
    </row>
    <row r="1253" spans="1:11" x14ac:dyDescent="0.2">
      <c r="A1253" t="s">
        <v>1292</v>
      </c>
      <c r="B1253">
        <v>2021</v>
      </c>
      <c r="C1253" t="s">
        <v>33</v>
      </c>
      <c r="D1253">
        <v>344</v>
      </c>
      <c r="E1253" t="s">
        <v>38</v>
      </c>
      <c r="F1253" t="s">
        <v>39</v>
      </c>
      <c r="G1253" t="s">
        <v>15</v>
      </c>
      <c r="H1253">
        <v>0.79091725609484598</v>
      </c>
      <c r="I1253">
        <v>3</v>
      </c>
      <c r="J1253" t="s">
        <v>23</v>
      </c>
      <c r="K1253" s="59" t="s">
        <v>4376</v>
      </c>
    </row>
    <row r="1254" spans="1:11" x14ac:dyDescent="0.2">
      <c r="A1254" t="s">
        <v>1293</v>
      </c>
      <c r="B1254">
        <v>2016</v>
      </c>
      <c r="C1254" t="s">
        <v>33</v>
      </c>
      <c r="D1254">
        <v>91</v>
      </c>
      <c r="E1254" t="s">
        <v>38</v>
      </c>
      <c r="F1254" t="s">
        <v>39</v>
      </c>
      <c r="G1254" t="s">
        <v>15</v>
      </c>
      <c r="H1254">
        <v>0.69029355547504967</v>
      </c>
      <c r="I1254">
        <v>3</v>
      </c>
      <c r="J1254" t="s">
        <v>23</v>
      </c>
      <c r="K1254" s="59" t="s">
        <v>4376</v>
      </c>
    </row>
    <row r="1255" spans="1:11" x14ac:dyDescent="0.2">
      <c r="A1255" t="s">
        <v>1294</v>
      </c>
      <c r="B1255">
        <v>2025</v>
      </c>
      <c r="C1255" t="s">
        <v>33</v>
      </c>
      <c r="D1255">
        <v>68</v>
      </c>
      <c r="E1255" t="s">
        <v>29</v>
      </c>
      <c r="F1255" t="s">
        <v>30</v>
      </c>
      <c r="G1255" t="s">
        <v>36</v>
      </c>
      <c r="H1255">
        <v>-1.8272170070991209</v>
      </c>
      <c r="I1255">
        <v>4</v>
      </c>
      <c r="J1255" t="s">
        <v>23</v>
      </c>
      <c r="K1255" s="59" t="s">
        <v>4376</v>
      </c>
    </row>
    <row r="1256" spans="1:11" x14ac:dyDescent="0.2">
      <c r="A1256" t="s">
        <v>1295</v>
      </c>
      <c r="B1256">
        <v>2018</v>
      </c>
      <c r="C1256" t="s">
        <v>33</v>
      </c>
      <c r="D1256">
        <v>149</v>
      </c>
      <c r="E1256" t="s">
        <v>20</v>
      </c>
      <c r="F1256" t="s">
        <v>21</v>
      </c>
      <c r="G1256" t="s">
        <v>15</v>
      </c>
      <c r="H1256">
        <v>-8.1426320324471585E-2</v>
      </c>
      <c r="I1256">
        <v>3</v>
      </c>
      <c r="J1256" t="s">
        <v>23</v>
      </c>
      <c r="K1256" s="59" t="s">
        <v>4376</v>
      </c>
    </row>
    <row r="1257" spans="1:11" x14ac:dyDescent="0.2">
      <c r="A1257" t="s">
        <v>1296</v>
      </c>
      <c r="B1257">
        <v>2021</v>
      </c>
      <c r="C1257" t="s">
        <v>19</v>
      </c>
      <c r="D1257">
        <v>285</v>
      </c>
      <c r="E1257" t="s">
        <v>38</v>
      </c>
      <c r="F1257" t="s">
        <v>39</v>
      </c>
      <c r="G1257" t="s">
        <v>15</v>
      </c>
      <c r="H1257">
        <v>0.1920450025695703</v>
      </c>
      <c r="I1257">
        <v>3</v>
      </c>
      <c r="J1257" t="s">
        <v>23</v>
      </c>
      <c r="K1257" s="59" t="s">
        <v>23</v>
      </c>
    </row>
    <row r="1258" spans="1:11" x14ac:dyDescent="0.2">
      <c r="A1258" t="s">
        <v>1297</v>
      </c>
      <c r="B1258">
        <v>2019</v>
      </c>
      <c r="C1258" t="s">
        <v>19</v>
      </c>
      <c r="D1258">
        <v>166</v>
      </c>
      <c r="E1258" t="s">
        <v>25</v>
      </c>
      <c r="F1258" t="s">
        <v>26</v>
      </c>
      <c r="G1258" t="s">
        <v>15</v>
      </c>
      <c r="H1258">
        <v>1.0671559948228659</v>
      </c>
      <c r="I1258">
        <v>2</v>
      </c>
      <c r="J1258" t="s">
        <v>17</v>
      </c>
      <c r="K1258" s="59" t="s">
        <v>23</v>
      </c>
    </row>
    <row r="1259" spans="1:11" x14ac:dyDescent="0.2">
      <c r="A1259" t="s">
        <v>1298</v>
      </c>
      <c r="B1259">
        <v>2022</v>
      </c>
      <c r="C1259" t="s">
        <v>19</v>
      </c>
      <c r="D1259">
        <v>493</v>
      </c>
      <c r="E1259" t="s">
        <v>20</v>
      </c>
      <c r="F1259" t="s">
        <v>21</v>
      </c>
      <c r="G1259" t="s">
        <v>48</v>
      </c>
      <c r="H1259">
        <v>0.63735730848799321</v>
      </c>
      <c r="I1259">
        <v>3</v>
      </c>
      <c r="J1259" t="s">
        <v>17</v>
      </c>
      <c r="K1259" s="59" t="s">
        <v>17</v>
      </c>
    </row>
    <row r="1260" spans="1:11" x14ac:dyDescent="0.2">
      <c r="A1260" t="s">
        <v>1299</v>
      </c>
      <c r="B1260">
        <v>2025</v>
      </c>
      <c r="C1260" t="s">
        <v>12</v>
      </c>
      <c r="D1260">
        <v>189</v>
      </c>
      <c r="E1260" t="s">
        <v>25</v>
      </c>
      <c r="F1260" t="s">
        <v>26</v>
      </c>
      <c r="G1260" t="s">
        <v>15</v>
      </c>
      <c r="H1260">
        <v>-0.60180623657460774</v>
      </c>
      <c r="I1260">
        <v>2</v>
      </c>
      <c r="J1260" t="s">
        <v>16</v>
      </c>
      <c r="K1260" s="59" t="s">
        <v>17</v>
      </c>
    </row>
    <row r="1261" spans="1:11" x14ac:dyDescent="0.2">
      <c r="A1261" t="s">
        <v>1300</v>
      </c>
      <c r="B1261">
        <v>2023</v>
      </c>
      <c r="C1261" t="s">
        <v>33</v>
      </c>
      <c r="D1261">
        <v>135</v>
      </c>
      <c r="E1261" t="s">
        <v>20</v>
      </c>
      <c r="F1261" t="s">
        <v>21</v>
      </c>
      <c r="G1261" t="s">
        <v>15</v>
      </c>
      <c r="H1261">
        <v>-7.5569230358019851E-2</v>
      </c>
      <c r="I1261">
        <v>3</v>
      </c>
      <c r="J1261" t="s">
        <v>16</v>
      </c>
      <c r="K1261" s="59" t="s">
        <v>4376</v>
      </c>
    </row>
    <row r="1262" spans="1:11" x14ac:dyDescent="0.2">
      <c r="A1262" t="s">
        <v>1301</v>
      </c>
      <c r="B1262">
        <v>2025</v>
      </c>
      <c r="C1262" t="s">
        <v>33</v>
      </c>
      <c r="D1262">
        <v>367</v>
      </c>
      <c r="E1262" t="s">
        <v>13</v>
      </c>
      <c r="F1262" t="s">
        <v>14</v>
      </c>
      <c r="G1262" t="s">
        <v>15</v>
      </c>
      <c r="H1262">
        <v>-0.12901517630189199</v>
      </c>
      <c r="I1262">
        <v>4</v>
      </c>
      <c r="J1262" t="s">
        <v>16</v>
      </c>
      <c r="K1262" s="59" t="s">
        <v>4376</v>
      </c>
    </row>
    <row r="1263" spans="1:11" x14ac:dyDescent="0.2">
      <c r="A1263" t="s">
        <v>1302</v>
      </c>
      <c r="B1263">
        <v>2017</v>
      </c>
      <c r="C1263" t="s">
        <v>12</v>
      </c>
      <c r="D1263">
        <v>85</v>
      </c>
      <c r="E1263" t="s">
        <v>20</v>
      </c>
      <c r="F1263" t="s">
        <v>21</v>
      </c>
      <c r="G1263" t="s">
        <v>15</v>
      </c>
      <c r="H1263">
        <v>0.65381073781717702</v>
      </c>
      <c r="I1263">
        <v>3</v>
      </c>
      <c r="J1263" t="s">
        <v>23</v>
      </c>
      <c r="K1263" s="59" t="s">
        <v>17</v>
      </c>
    </row>
    <row r="1264" spans="1:11" x14ac:dyDescent="0.2">
      <c r="A1264" t="s">
        <v>1303</v>
      </c>
      <c r="B1264">
        <v>2018</v>
      </c>
      <c r="C1264" t="s">
        <v>12</v>
      </c>
      <c r="D1264">
        <v>147</v>
      </c>
      <c r="E1264" t="s">
        <v>13</v>
      </c>
      <c r="F1264" t="s">
        <v>14</v>
      </c>
      <c r="G1264" t="s">
        <v>48</v>
      </c>
      <c r="H1264">
        <v>1.860361700497795</v>
      </c>
      <c r="I1264">
        <v>4</v>
      </c>
      <c r="J1264" t="s">
        <v>23</v>
      </c>
      <c r="K1264" s="59" t="s">
        <v>4376</v>
      </c>
    </row>
    <row r="1265" spans="1:11" x14ac:dyDescent="0.2">
      <c r="A1265" t="s">
        <v>1304</v>
      </c>
      <c r="B1265">
        <v>2016</v>
      </c>
      <c r="C1265" t="s">
        <v>19</v>
      </c>
      <c r="D1265">
        <v>78</v>
      </c>
      <c r="E1265" t="s">
        <v>29</v>
      </c>
      <c r="F1265" t="s">
        <v>30</v>
      </c>
      <c r="G1265" t="s">
        <v>15</v>
      </c>
      <c r="H1265">
        <v>1.173666381899163E-3</v>
      </c>
      <c r="I1265">
        <v>4</v>
      </c>
      <c r="J1265" t="s">
        <v>23</v>
      </c>
      <c r="K1265" s="59" t="s">
        <v>23</v>
      </c>
    </row>
    <row r="1266" spans="1:11" x14ac:dyDescent="0.2">
      <c r="A1266" t="s">
        <v>1305</v>
      </c>
      <c r="B1266">
        <v>2016</v>
      </c>
      <c r="C1266" t="s">
        <v>12</v>
      </c>
      <c r="D1266">
        <v>80</v>
      </c>
      <c r="E1266" t="s">
        <v>29</v>
      </c>
      <c r="F1266" t="s">
        <v>30</v>
      </c>
      <c r="G1266" t="s">
        <v>15</v>
      </c>
      <c r="H1266">
        <v>3.1322661529724391E-2</v>
      </c>
      <c r="I1266">
        <v>4</v>
      </c>
      <c r="J1266" t="s">
        <v>23</v>
      </c>
      <c r="K1266" s="59" t="s">
        <v>23</v>
      </c>
    </row>
    <row r="1267" spans="1:11" x14ac:dyDescent="0.2">
      <c r="A1267" t="s">
        <v>1306</v>
      </c>
      <c r="B1267">
        <v>2021</v>
      </c>
      <c r="C1267" t="s">
        <v>12</v>
      </c>
      <c r="D1267">
        <v>315</v>
      </c>
      <c r="E1267" t="s">
        <v>29</v>
      </c>
      <c r="F1267" t="s">
        <v>30</v>
      </c>
      <c r="G1267" t="s">
        <v>15</v>
      </c>
      <c r="H1267">
        <v>0.71130963643007428</v>
      </c>
      <c r="I1267">
        <v>4</v>
      </c>
      <c r="J1267" t="s">
        <v>16</v>
      </c>
      <c r="K1267" s="59" t="s">
        <v>23</v>
      </c>
    </row>
    <row r="1268" spans="1:11" x14ac:dyDescent="0.2">
      <c r="A1268" t="s">
        <v>1307</v>
      </c>
      <c r="B1268">
        <v>2016</v>
      </c>
      <c r="C1268" t="s">
        <v>12</v>
      </c>
      <c r="D1268">
        <v>85</v>
      </c>
      <c r="E1268" t="s">
        <v>29</v>
      </c>
      <c r="F1268" t="s">
        <v>30</v>
      </c>
      <c r="G1268" t="s">
        <v>15</v>
      </c>
      <c r="H1268">
        <v>-0.45283473113829409</v>
      </c>
      <c r="I1268">
        <v>4</v>
      </c>
      <c r="J1268" t="s">
        <v>23</v>
      </c>
      <c r="K1268" s="59" t="s">
        <v>17</v>
      </c>
    </row>
    <row r="1269" spans="1:11" x14ac:dyDescent="0.2">
      <c r="A1269" t="s">
        <v>1308</v>
      </c>
      <c r="B1269">
        <v>2016</v>
      </c>
      <c r="C1269" t="s">
        <v>12</v>
      </c>
      <c r="D1269">
        <v>88</v>
      </c>
      <c r="E1269" t="s">
        <v>29</v>
      </c>
      <c r="F1269" t="s">
        <v>30</v>
      </c>
      <c r="G1269" t="s">
        <v>15</v>
      </c>
      <c r="H1269">
        <v>0.1382145534174688</v>
      </c>
      <c r="I1269">
        <v>4</v>
      </c>
      <c r="J1269" t="s">
        <v>23</v>
      </c>
      <c r="K1269" s="59" t="s">
        <v>4376</v>
      </c>
    </row>
    <row r="1270" spans="1:11" x14ac:dyDescent="0.2">
      <c r="A1270" t="s">
        <v>1309</v>
      </c>
      <c r="B1270">
        <v>2016</v>
      </c>
      <c r="C1270" t="s">
        <v>12</v>
      </c>
      <c r="D1270">
        <v>85</v>
      </c>
      <c r="E1270" t="s">
        <v>29</v>
      </c>
      <c r="F1270" t="s">
        <v>30</v>
      </c>
      <c r="G1270" t="s">
        <v>15</v>
      </c>
      <c r="H1270">
        <v>-0.45283473113829409</v>
      </c>
      <c r="I1270">
        <v>4</v>
      </c>
      <c r="J1270" t="s">
        <v>23</v>
      </c>
      <c r="K1270" s="59" t="s">
        <v>4376</v>
      </c>
    </row>
    <row r="1271" spans="1:11" x14ac:dyDescent="0.2">
      <c r="A1271" t="s">
        <v>1310</v>
      </c>
      <c r="B1271">
        <v>2016</v>
      </c>
      <c r="C1271" t="s">
        <v>12</v>
      </c>
      <c r="D1271">
        <v>79</v>
      </c>
      <c r="E1271" t="s">
        <v>20</v>
      </c>
      <c r="F1271" t="s">
        <v>21</v>
      </c>
      <c r="G1271" t="s">
        <v>44</v>
      </c>
      <c r="H1271">
        <v>-4.7064725854621493E-2</v>
      </c>
      <c r="I1271">
        <v>3</v>
      </c>
      <c r="J1271" t="s">
        <v>23</v>
      </c>
      <c r="K1271" s="59" t="s">
        <v>16</v>
      </c>
    </row>
    <row r="1272" spans="1:11" x14ac:dyDescent="0.2">
      <c r="A1272" t="s">
        <v>1311</v>
      </c>
      <c r="B1272">
        <v>2017</v>
      </c>
      <c r="C1272" t="s">
        <v>12</v>
      </c>
      <c r="D1272">
        <v>108</v>
      </c>
      <c r="E1272" t="s">
        <v>20</v>
      </c>
      <c r="F1272" t="s">
        <v>21</v>
      </c>
      <c r="G1272" t="s">
        <v>48</v>
      </c>
      <c r="H1272">
        <v>0.31972908681175177</v>
      </c>
      <c r="I1272">
        <v>3</v>
      </c>
      <c r="J1272" t="s">
        <v>23</v>
      </c>
      <c r="K1272" s="59" t="s">
        <v>17</v>
      </c>
    </row>
    <row r="1273" spans="1:11" x14ac:dyDescent="0.2">
      <c r="A1273" t="s">
        <v>1312</v>
      </c>
      <c r="B1273">
        <v>2022</v>
      </c>
      <c r="C1273" t="s">
        <v>33</v>
      </c>
      <c r="D1273">
        <v>508</v>
      </c>
      <c r="E1273" t="s">
        <v>20</v>
      </c>
      <c r="F1273" t="s">
        <v>21</v>
      </c>
      <c r="G1273" t="s">
        <v>15</v>
      </c>
      <c r="H1273">
        <v>0.55806593344364097</v>
      </c>
      <c r="I1273">
        <v>3</v>
      </c>
      <c r="J1273" t="s">
        <v>17</v>
      </c>
      <c r="K1273" s="59" t="s">
        <v>4376</v>
      </c>
    </row>
    <row r="1274" spans="1:11" x14ac:dyDescent="0.2">
      <c r="A1274" t="s">
        <v>1313</v>
      </c>
      <c r="B1274">
        <v>2019</v>
      </c>
      <c r="C1274" t="s">
        <v>12</v>
      </c>
      <c r="D1274">
        <v>223</v>
      </c>
      <c r="E1274" t="s">
        <v>20</v>
      </c>
      <c r="F1274" t="s">
        <v>21</v>
      </c>
      <c r="G1274" t="s">
        <v>15</v>
      </c>
      <c r="H1274">
        <v>0.53842590219148811</v>
      </c>
      <c r="I1274">
        <v>3</v>
      </c>
      <c r="J1274" t="s">
        <v>23</v>
      </c>
      <c r="K1274" s="59" t="s">
        <v>4376</v>
      </c>
    </row>
    <row r="1275" spans="1:11" x14ac:dyDescent="0.2">
      <c r="A1275" t="s">
        <v>1314</v>
      </c>
      <c r="B1275">
        <v>2024</v>
      </c>
      <c r="C1275" t="s">
        <v>19</v>
      </c>
      <c r="D1275">
        <v>65</v>
      </c>
      <c r="E1275" t="s">
        <v>20</v>
      </c>
      <c r="F1275" t="s">
        <v>21</v>
      </c>
      <c r="G1275" t="s">
        <v>15</v>
      </c>
      <c r="H1275">
        <v>-1.068629387250613</v>
      </c>
      <c r="I1275">
        <v>3</v>
      </c>
      <c r="J1275" t="s">
        <v>23</v>
      </c>
      <c r="K1275" s="59" t="s">
        <v>23</v>
      </c>
    </row>
    <row r="1276" spans="1:11" x14ac:dyDescent="0.2">
      <c r="A1276" t="s">
        <v>1315</v>
      </c>
      <c r="B1276">
        <v>2019</v>
      </c>
      <c r="C1276" t="s">
        <v>19</v>
      </c>
      <c r="D1276">
        <v>155</v>
      </c>
      <c r="E1276" t="s">
        <v>20</v>
      </c>
      <c r="F1276" t="s">
        <v>21</v>
      </c>
      <c r="G1276" t="s">
        <v>15</v>
      </c>
      <c r="H1276">
        <v>-0.36061427539200491</v>
      </c>
      <c r="I1276">
        <v>3</v>
      </c>
      <c r="J1276" t="s">
        <v>16</v>
      </c>
      <c r="K1276" s="59" t="s">
        <v>23</v>
      </c>
    </row>
    <row r="1277" spans="1:11" x14ac:dyDescent="0.2">
      <c r="A1277" t="s">
        <v>1316</v>
      </c>
      <c r="B1277">
        <v>2020</v>
      </c>
      <c r="C1277" t="s">
        <v>19</v>
      </c>
      <c r="D1277">
        <v>48</v>
      </c>
      <c r="E1277" t="s">
        <v>25</v>
      </c>
      <c r="F1277" t="s">
        <v>26</v>
      </c>
      <c r="G1277" t="s">
        <v>15</v>
      </c>
      <c r="H1277">
        <v>0.16196830717030089</v>
      </c>
      <c r="I1277">
        <v>2</v>
      </c>
      <c r="J1277" t="s">
        <v>23</v>
      </c>
      <c r="K1277" s="59" t="s">
        <v>17</v>
      </c>
    </row>
    <row r="1278" spans="1:11" x14ac:dyDescent="0.2">
      <c r="A1278" t="s">
        <v>1317</v>
      </c>
      <c r="B1278">
        <v>2025</v>
      </c>
      <c r="C1278" t="s">
        <v>12</v>
      </c>
      <c r="D1278">
        <v>119</v>
      </c>
      <c r="E1278" t="s">
        <v>13</v>
      </c>
      <c r="F1278" t="s">
        <v>14</v>
      </c>
      <c r="G1278" t="s">
        <v>15</v>
      </c>
      <c r="H1278">
        <v>1.8887629278109641</v>
      </c>
      <c r="I1278">
        <v>4</v>
      </c>
      <c r="J1278" t="s">
        <v>23</v>
      </c>
      <c r="K1278" s="59" t="s">
        <v>17</v>
      </c>
    </row>
    <row r="1279" spans="1:11" x14ac:dyDescent="0.2">
      <c r="A1279" t="s">
        <v>1318</v>
      </c>
      <c r="B1279">
        <v>2016</v>
      </c>
      <c r="C1279" t="s">
        <v>33</v>
      </c>
      <c r="D1279">
        <v>88</v>
      </c>
      <c r="E1279" t="s">
        <v>38</v>
      </c>
      <c r="F1279" t="s">
        <v>39</v>
      </c>
      <c r="G1279" t="s">
        <v>15</v>
      </c>
      <c r="H1279">
        <v>0.1382145534174688</v>
      </c>
      <c r="I1279">
        <v>3</v>
      </c>
      <c r="J1279" t="s">
        <v>23</v>
      </c>
      <c r="K1279" s="59" t="s">
        <v>16</v>
      </c>
    </row>
    <row r="1280" spans="1:11" x14ac:dyDescent="0.2">
      <c r="A1280" t="s">
        <v>1319</v>
      </c>
      <c r="B1280">
        <v>2018</v>
      </c>
      <c r="C1280" t="s">
        <v>19</v>
      </c>
      <c r="D1280">
        <v>203</v>
      </c>
      <c r="E1280" t="s">
        <v>20</v>
      </c>
      <c r="F1280" t="s">
        <v>21</v>
      </c>
      <c r="G1280" t="s">
        <v>15</v>
      </c>
      <c r="H1280">
        <v>0.89041675559048472</v>
      </c>
      <c r="I1280">
        <v>3</v>
      </c>
      <c r="J1280" t="s">
        <v>17</v>
      </c>
      <c r="K1280" s="59" t="s">
        <v>4376</v>
      </c>
    </row>
    <row r="1281" spans="1:11" x14ac:dyDescent="0.2">
      <c r="A1281" t="s">
        <v>1320</v>
      </c>
      <c r="B1281">
        <v>2018</v>
      </c>
      <c r="C1281" t="s">
        <v>19</v>
      </c>
      <c r="D1281">
        <v>65</v>
      </c>
      <c r="E1281" t="s">
        <v>25</v>
      </c>
      <c r="F1281" t="s">
        <v>26</v>
      </c>
      <c r="G1281" t="s">
        <v>15</v>
      </c>
      <c r="H1281">
        <v>-0.28595962074024678</v>
      </c>
      <c r="I1281">
        <v>2</v>
      </c>
      <c r="J1281" t="s">
        <v>16</v>
      </c>
      <c r="K1281" s="59" t="s">
        <v>4376</v>
      </c>
    </row>
    <row r="1282" spans="1:11" x14ac:dyDescent="0.2">
      <c r="A1282" t="s">
        <v>1321</v>
      </c>
      <c r="B1282">
        <v>2019</v>
      </c>
      <c r="C1282" t="s">
        <v>19</v>
      </c>
      <c r="D1282">
        <v>90</v>
      </c>
      <c r="E1282" t="s">
        <v>13</v>
      </c>
      <c r="F1282" t="s">
        <v>14</v>
      </c>
      <c r="G1282" t="s">
        <v>15</v>
      </c>
      <c r="H1282">
        <v>1.207133472294913</v>
      </c>
      <c r="I1282">
        <v>4</v>
      </c>
      <c r="J1282" t="s">
        <v>17</v>
      </c>
      <c r="K1282" s="59" t="s">
        <v>17</v>
      </c>
    </row>
    <row r="1283" spans="1:11" x14ac:dyDescent="0.2">
      <c r="A1283" t="s">
        <v>1322</v>
      </c>
      <c r="B1283">
        <v>2023</v>
      </c>
      <c r="C1283" t="s">
        <v>33</v>
      </c>
      <c r="D1283">
        <v>198</v>
      </c>
      <c r="E1283" t="s">
        <v>25</v>
      </c>
      <c r="F1283" t="s">
        <v>26</v>
      </c>
      <c r="G1283" t="s">
        <v>15</v>
      </c>
      <c r="H1283">
        <v>0.40544428313682979</v>
      </c>
      <c r="I1283">
        <v>2</v>
      </c>
      <c r="J1283" t="s">
        <v>23</v>
      </c>
      <c r="K1283" s="59" t="s">
        <v>17</v>
      </c>
    </row>
    <row r="1284" spans="1:11" x14ac:dyDescent="0.2">
      <c r="A1284" t="s">
        <v>1323</v>
      </c>
      <c r="B1284">
        <v>2021</v>
      </c>
      <c r="C1284" t="s">
        <v>19</v>
      </c>
      <c r="D1284">
        <v>155</v>
      </c>
      <c r="E1284" t="s">
        <v>53</v>
      </c>
      <c r="F1284" t="s">
        <v>54</v>
      </c>
      <c r="G1284" t="s">
        <v>48</v>
      </c>
      <c r="H1284">
        <v>-0.31004176740210432</v>
      </c>
      <c r="I1284">
        <v>3</v>
      </c>
      <c r="J1284" t="s">
        <v>23</v>
      </c>
      <c r="K1284" s="59" t="s">
        <v>23</v>
      </c>
    </row>
    <row r="1285" spans="1:11" x14ac:dyDescent="0.2">
      <c r="A1285" t="s">
        <v>1324</v>
      </c>
      <c r="B1285">
        <v>2019</v>
      </c>
      <c r="C1285" t="s">
        <v>19</v>
      </c>
      <c r="D1285">
        <v>94</v>
      </c>
      <c r="E1285" t="s">
        <v>20</v>
      </c>
      <c r="F1285" t="s">
        <v>21</v>
      </c>
      <c r="G1285" t="s">
        <v>15</v>
      </c>
      <c r="H1285">
        <v>-0.2939016052776679</v>
      </c>
      <c r="I1285">
        <v>3</v>
      </c>
      <c r="J1285" t="s">
        <v>23</v>
      </c>
      <c r="K1285" s="59" t="s">
        <v>23</v>
      </c>
    </row>
    <row r="1286" spans="1:11" x14ac:dyDescent="0.2">
      <c r="A1286" t="s">
        <v>1325</v>
      </c>
      <c r="B1286">
        <v>2019</v>
      </c>
      <c r="C1286" t="s">
        <v>12</v>
      </c>
      <c r="D1286">
        <v>157</v>
      </c>
      <c r="E1286" t="s">
        <v>25</v>
      </c>
      <c r="F1286" t="s">
        <v>26</v>
      </c>
      <c r="G1286" t="s">
        <v>147</v>
      </c>
      <c r="H1286">
        <v>0.44503387272488332</v>
      </c>
      <c r="I1286">
        <v>2</v>
      </c>
      <c r="J1286" t="s">
        <v>16</v>
      </c>
      <c r="K1286" s="59" t="s">
        <v>23</v>
      </c>
    </row>
    <row r="1287" spans="1:11" x14ac:dyDescent="0.2">
      <c r="A1287" t="s">
        <v>1326</v>
      </c>
      <c r="B1287">
        <v>2019</v>
      </c>
      <c r="C1287" t="s">
        <v>19</v>
      </c>
      <c r="D1287">
        <v>108</v>
      </c>
      <c r="E1287" t="s">
        <v>20</v>
      </c>
      <c r="F1287" t="s">
        <v>21</v>
      </c>
      <c r="G1287" t="s">
        <v>15</v>
      </c>
      <c r="H1287">
        <v>1.054924953102008</v>
      </c>
      <c r="I1287">
        <v>3</v>
      </c>
      <c r="J1287" t="s">
        <v>23</v>
      </c>
      <c r="K1287" s="59" t="s">
        <v>17</v>
      </c>
    </row>
    <row r="1288" spans="1:11" x14ac:dyDescent="0.2">
      <c r="A1288" t="s">
        <v>1327</v>
      </c>
      <c r="B1288">
        <v>2019</v>
      </c>
      <c r="C1288" t="s">
        <v>33</v>
      </c>
      <c r="D1288">
        <v>83</v>
      </c>
      <c r="E1288" t="s">
        <v>38</v>
      </c>
      <c r="F1288" t="s">
        <v>39</v>
      </c>
      <c r="G1288" t="s">
        <v>15</v>
      </c>
      <c r="H1288">
        <v>1.207133472294913</v>
      </c>
      <c r="I1288">
        <v>3</v>
      </c>
      <c r="J1288" t="s">
        <v>23</v>
      </c>
      <c r="K1288" s="59" t="s">
        <v>4376</v>
      </c>
    </row>
    <row r="1289" spans="1:11" x14ac:dyDescent="0.2">
      <c r="A1289" t="s">
        <v>1328</v>
      </c>
      <c r="B1289">
        <v>2023</v>
      </c>
      <c r="C1289" t="s">
        <v>12</v>
      </c>
      <c r="D1289">
        <v>393</v>
      </c>
      <c r="E1289" t="s">
        <v>38</v>
      </c>
      <c r="F1289" t="s">
        <v>39</v>
      </c>
      <c r="G1289" t="s">
        <v>15</v>
      </c>
      <c r="H1289">
        <v>-5.0426212774462454E-3</v>
      </c>
      <c r="I1289">
        <v>3</v>
      </c>
      <c r="J1289" t="s">
        <v>16</v>
      </c>
      <c r="K1289" s="59" t="s">
        <v>4376</v>
      </c>
    </row>
    <row r="1290" spans="1:11" x14ac:dyDescent="0.2">
      <c r="A1290" t="s">
        <v>1329</v>
      </c>
      <c r="B1290">
        <v>2018</v>
      </c>
      <c r="C1290" t="s">
        <v>19</v>
      </c>
      <c r="D1290">
        <v>122</v>
      </c>
      <c r="E1290" t="s">
        <v>20</v>
      </c>
      <c r="F1290" t="s">
        <v>21</v>
      </c>
      <c r="G1290" t="s">
        <v>48</v>
      </c>
      <c r="H1290">
        <v>-0.80279953756010991</v>
      </c>
      <c r="I1290">
        <v>3</v>
      </c>
      <c r="J1290" t="s">
        <v>23</v>
      </c>
      <c r="K1290" s="59" t="s">
        <v>23</v>
      </c>
    </row>
    <row r="1291" spans="1:11" x14ac:dyDescent="0.2">
      <c r="A1291" t="s">
        <v>1330</v>
      </c>
      <c r="B1291">
        <v>2018</v>
      </c>
      <c r="C1291" t="s">
        <v>19</v>
      </c>
      <c r="D1291">
        <v>388</v>
      </c>
      <c r="E1291" t="s">
        <v>25</v>
      </c>
      <c r="F1291" t="s">
        <v>26</v>
      </c>
      <c r="G1291" t="s">
        <v>48</v>
      </c>
      <c r="H1291">
        <v>0.62801820929710672</v>
      </c>
      <c r="I1291">
        <v>2</v>
      </c>
      <c r="J1291" t="s">
        <v>16</v>
      </c>
      <c r="K1291" s="59" t="s">
        <v>17</v>
      </c>
    </row>
    <row r="1292" spans="1:11" x14ac:dyDescent="0.2">
      <c r="A1292" t="s">
        <v>1331</v>
      </c>
      <c r="B1292">
        <v>2019</v>
      </c>
      <c r="C1292" t="s">
        <v>19</v>
      </c>
      <c r="D1292">
        <v>70</v>
      </c>
      <c r="E1292" t="s">
        <v>20</v>
      </c>
      <c r="F1292" t="s">
        <v>21</v>
      </c>
      <c r="G1292" t="s">
        <v>15</v>
      </c>
      <c r="H1292">
        <v>1.207133472294913</v>
      </c>
      <c r="I1292">
        <v>3</v>
      </c>
      <c r="J1292" t="s">
        <v>23</v>
      </c>
      <c r="K1292" s="59" t="s">
        <v>23</v>
      </c>
    </row>
    <row r="1293" spans="1:11" x14ac:dyDescent="0.2">
      <c r="A1293" t="s">
        <v>1332</v>
      </c>
      <c r="B1293">
        <v>2018</v>
      </c>
      <c r="C1293" t="s">
        <v>33</v>
      </c>
      <c r="D1293">
        <v>81</v>
      </c>
      <c r="E1293" t="s">
        <v>20</v>
      </c>
      <c r="F1293" t="s">
        <v>21</v>
      </c>
      <c r="G1293" t="s">
        <v>15</v>
      </c>
      <c r="H1293">
        <v>3.1322661529724391E-2</v>
      </c>
      <c r="I1293">
        <v>3</v>
      </c>
      <c r="J1293" t="s">
        <v>16</v>
      </c>
      <c r="K1293" s="59" t="s">
        <v>17</v>
      </c>
    </row>
    <row r="1294" spans="1:11" x14ac:dyDescent="0.2">
      <c r="A1294" t="s">
        <v>1333</v>
      </c>
      <c r="B1294">
        <v>2025</v>
      </c>
      <c r="C1294" t="s">
        <v>12</v>
      </c>
      <c r="D1294">
        <v>202</v>
      </c>
      <c r="E1294" t="s">
        <v>25</v>
      </c>
      <c r="F1294" t="s">
        <v>26</v>
      </c>
      <c r="G1294" t="s">
        <v>15</v>
      </c>
      <c r="H1294">
        <v>1.207133472294913</v>
      </c>
      <c r="I1294">
        <v>2</v>
      </c>
      <c r="J1294" t="s">
        <v>23</v>
      </c>
      <c r="K1294" s="59" t="s">
        <v>17</v>
      </c>
    </row>
    <row r="1295" spans="1:11" x14ac:dyDescent="0.2">
      <c r="A1295" t="s">
        <v>1334</v>
      </c>
      <c r="B1295">
        <v>2022</v>
      </c>
      <c r="C1295" t="s">
        <v>19</v>
      </c>
      <c r="D1295">
        <v>129</v>
      </c>
      <c r="E1295" t="s">
        <v>25</v>
      </c>
      <c r="F1295" t="s">
        <v>26</v>
      </c>
      <c r="G1295" t="s">
        <v>15</v>
      </c>
      <c r="H1295">
        <v>-2.2065108170233758</v>
      </c>
      <c r="I1295">
        <v>2</v>
      </c>
      <c r="J1295" t="s">
        <v>23</v>
      </c>
      <c r="K1295" s="59" t="s">
        <v>17</v>
      </c>
    </row>
    <row r="1296" spans="1:11" x14ac:dyDescent="0.2">
      <c r="A1296" t="s">
        <v>1335</v>
      </c>
      <c r="B1296">
        <v>2018</v>
      </c>
      <c r="C1296" t="s">
        <v>19</v>
      </c>
      <c r="D1296">
        <v>149</v>
      </c>
      <c r="E1296" t="s">
        <v>20</v>
      </c>
      <c r="F1296" t="s">
        <v>21</v>
      </c>
      <c r="G1296" t="s">
        <v>15</v>
      </c>
      <c r="H1296">
        <v>-8.1426320324471585E-2</v>
      </c>
      <c r="I1296">
        <v>3</v>
      </c>
      <c r="J1296" t="s">
        <v>23</v>
      </c>
      <c r="K1296" s="59" t="s">
        <v>16</v>
      </c>
    </row>
    <row r="1297" spans="1:11" x14ac:dyDescent="0.2">
      <c r="A1297" t="s">
        <v>1336</v>
      </c>
      <c r="B1297">
        <v>2021</v>
      </c>
      <c r="C1297" t="s">
        <v>12</v>
      </c>
      <c r="D1297">
        <v>313</v>
      </c>
      <c r="E1297" t="s">
        <v>29</v>
      </c>
      <c r="F1297" t="s">
        <v>30</v>
      </c>
      <c r="G1297" t="s">
        <v>15</v>
      </c>
      <c r="H1297">
        <v>0.53524158042909076</v>
      </c>
      <c r="I1297">
        <v>4</v>
      </c>
      <c r="J1297" t="s">
        <v>16</v>
      </c>
      <c r="K1297" s="59" t="s">
        <v>16</v>
      </c>
    </row>
    <row r="1298" spans="1:11" x14ac:dyDescent="0.2">
      <c r="A1298" t="s">
        <v>1337</v>
      </c>
      <c r="B1298">
        <v>2022</v>
      </c>
      <c r="C1298" t="s">
        <v>12</v>
      </c>
      <c r="D1298">
        <v>191</v>
      </c>
      <c r="E1298" t="s">
        <v>25</v>
      </c>
      <c r="F1298" t="s">
        <v>26</v>
      </c>
      <c r="G1298" t="s">
        <v>15</v>
      </c>
      <c r="H1298">
        <v>0.70411280458788028</v>
      </c>
      <c r="I1298">
        <v>2</v>
      </c>
      <c r="J1298" t="s">
        <v>23</v>
      </c>
      <c r="K1298" s="59" t="s">
        <v>17</v>
      </c>
    </row>
    <row r="1299" spans="1:11" x14ac:dyDescent="0.2">
      <c r="A1299" t="s">
        <v>1338</v>
      </c>
      <c r="B1299">
        <v>2025</v>
      </c>
      <c r="C1299" t="s">
        <v>19</v>
      </c>
      <c r="D1299">
        <v>72</v>
      </c>
      <c r="E1299" t="s">
        <v>25</v>
      </c>
      <c r="F1299" t="s">
        <v>26</v>
      </c>
      <c r="G1299" t="s">
        <v>15</v>
      </c>
      <c r="H1299">
        <v>0.51548005419774312</v>
      </c>
      <c r="I1299">
        <v>2</v>
      </c>
      <c r="J1299" t="s">
        <v>17</v>
      </c>
      <c r="K1299" s="59" t="s">
        <v>23</v>
      </c>
    </row>
    <row r="1300" spans="1:11" x14ac:dyDescent="0.2">
      <c r="A1300" t="s">
        <v>1339</v>
      </c>
      <c r="B1300">
        <v>2023</v>
      </c>
      <c r="C1300" t="s">
        <v>12</v>
      </c>
      <c r="D1300">
        <v>74</v>
      </c>
      <c r="E1300" t="s">
        <v>20</v>
      </c>
      <c r="F1300" t="s">
        <v>21</v>
      </c>
      <c r="G1300" t="s">
        <v>48</v>
      </c>
      <c r="H1300">
        <v>0.57156006107048651</v>
      </c>
      <c r="I1300">
        <v>3</v>
      </c>
      <c r="J1300" t="s">
        <v>23</v>
      </c>
      <c r="K1300" s="59" t="s">
        <v>23</v>
      </c>
    </row>
    <row r="1301" spans="1:11" x14ac:dyDescent="0.2">
      <c r="A1301" t="s">
        <v>1340</v>
      </c>
      <c r="B1301">
        <v>2023</v>
      </c>
      <c r="C1301" t="s">
        <v>12</v>
      </c>
      <c r="D1301">
        <v>194</v>
      </c>
      <c r="E1301" t="s">
        <v>20</v>
      </c>
      <c r="F1301" t="s">
        <v>21</v>
      </c>
      <c r="G1301" t="s">
        <v>15</v>
      </c>
      <c r="H1301">
        <v>0.55048520101243414</v>
      </c>
      <c r="I1301">
        <v>3</v>
      </c>
      <c r="J1301" t="s">
        <v>23</v>
      </c>
      <c r="K1301" s="59" t="s">
        <v>17</v>
      </c>
    </row>
    <row r="1302" spans="1:11" x14ac:dyDescent="0.2">
      <c r="A1302" t="s">
        <v>1341</v>
      </c>
      <c r="B1302">
        <v>2019</v>
      </c>
      <c r="C1302" t="s">
        <v>33</v>
      </c>
      <c r="D1302">
        <v>38</v>
      </c>
      <c r="E1302" t="s">
        <v>25</v>
      </c>
      <c r="F1302" t="s">
        <v>26</v>
      </c>
      <c r="G1302" t="s">
        <v>15</v>
      </c>
      <c r="H1302">
        <v>-1.2682577082633779</v>
      </c>
      <c r="I1302">
        <v>2</v>
      </c>
      <c r="J1302" t="s">
        <v>16</v>
      </c>
      <c r="K1302" s="59" t="s">
        <v>4376</v>
      </c>
    </row>
    <row r="1303" spans="1:11" x14ac:dyDescent="0.2">
      <c r="A1303" t="s">
        <v>1342</v>
      </c>
      <c r="B1303">
        <v>2018</v>
      </c>
      <c r="C1303" t="s">
        <v>12</v>
      </c>
      <c r="D1303">
        <v>131</v>
      </c>
      <c r="E1303" t="s">
        <v>20</v>
      </c>
      <c r="F1303" t="s">
        <v>21</v>
      </c>
      <c r="G1303" t="s">
        <v>15</v>
      </c>
      <c r="H1303">
        <v>0.53040782581135104</v>
      </c>
      <c r="I1303">
        <v>3</v>
      </c>
      <c r="J1303" t="s">
        <v>16</v>
      </c>
      <c r="K1303" s="59" t="s">
        <v>17</v>
      </c>
    </row>
    <row r="1304" spans="1:11" x14ac:dyDescent="0.2">
      <c r="A1304" t="s">
        <v>1343</v>
      </c>
      <c r="B1304">
        <v>2016</v>
      </c>
      <c r="C1304" t="s">
        <v>19</v>
      </c>
      <c r="D1304">
        <v>82</v>
      </c>
      <c r="E1304" t="s">
        <v>25</v>
      </c>
      <c r="F1304" t="s">
        <v>26</v>
      </c>
      <c r="G1304" t="s">
        <v>22</v>
      </c>
      <c r="H1304">
        <v>1.6438980380798041E-2</v>
      </c>
      <c r="I1304">
        <v>2</v>
      </c>
      <c r="J1304" t="s">
        <v>23</v>
      </c>
      <c r="K1304" s="59" t="s">
        <v>17</v>
      </c>
    </row>
    <row r="1305" spans="1:11" x14ac:dyDescent="0.2">
      <c r="A1305" t="s">
        <v>1344</v>
      </c>
      <c r="B1305">
        <v>2018</v>
      </c>
      <c r="C1305" t="s">
        <v>19</v>
      </c>
      <c r="D1305">
        <v>39</v>
      </c>
      <c r="E1305" t="s">
        <v>38</v>
      </c>
      <c r="F1305" t="s">
        <v>39</v>
      </c>
      <c r="G1305" t="s">
        <v>15</v>
      </c>
      <c r="H1305">
        <v>1.207133472294913</v>
      </c>
      <c r="I1305">
        <v>3</v>
      </c>
      <c r="J1305" t="s">
        <v>16</v>
      </c>
      <c r="K1305" s="59" t="s">
        <v>17</v>
      </c>
    </row>
    <row r="1306" spans="1:11" x14ac:dyDescent="0.2">
      <c r="A1306" t="s">
        <v>1345</v>
      </c>
      <c r="B1306">
        <v>2025</v>
      </c>
      <c r="C1306" t="s">
        <v>12</v>
      </c>
      <c r="D1306">
        <v>232</v>
      </c>
      <c r="E1306" t="s">
        <v>25</v>
      </c>
      <c r="F1306" t="s">
        <v>26</v>
      </c>
      <c r="G1306" t="s">
        <v>44</v>
      </c>
      <c r="H1306">
        <v>1.0035298686992089</v>
      </c>
      <c r="I1306">
        <v>2</v>
      </c>
      <c r="J1306" t="s">
        <v>23</v>
      </c>
      <c r="K1306" s="59" t="s">
        <v>4376</v>
      </c>
    </row>
    <row r="1307" spans="1:11" x14ac:dyDescent="0.2">
      <c r="A1307" t="s">
        <v>1346</v>
      </c>
      <c r="B1307">
        <v>2018</v>
      </c>
      <c r="C1307" t="s">
        <v>19</v>
      </c>
      <c r="D1307">
        <v>61</v>
      </c>
      <c r="E1307" t="s">
        <v>29</v>
      </c>
      <c r="F1307" t="s">
        <v>30</v>
      </c>
      <c r="G1307" t="s">
        <v>48</v>
      </c>
      <c r="H1307">
        <v>0.40997360058970028</v>
      </c>
      <c r="I1307">
        <v>4</v>
      </c>
      <c r="J1307" t="s">
        <v>23</v>
      </c>
      <c r="K1307" s="59" t="s">
        <v>23</v>
      </c>
    </row>
    <row r="1308" spans="1:11" x14ac:dyDescent="0.2">
      <c r="A1308" t="s">
        <v>1347</v>
      </c>
      <c r="B1308">
        <v>2018</v>
      </c>
      <c r="C1308" t="s">
        <v>19</v>
      </c>
      <c r="D1308">
        <v>117</v>
      </c>
      <c r="E1308" t="s">
        <v>20</v>
      </c>
      <c r="F1308" t="s">
        <v>21</v>
      </c>
      <c r="G1308" t="s">
        <v>15</v>
      </c>
      <c r="H1308">
        <v>-9.2225388414889087E-3</v>
      </c>
      <c r="I1308">
        <v>3</v>
      </c>
      <c r="J1308" t="s">
        <v>23</v>
      </c>
      <c r="K1308" s="59" t="s">
        <v>4376</v>
      </c>
    </row>
    <row r="1309" spans="1:11" x14ac:dyDescent="0.2">
      <c r="A1309" t="s">
        <v>1348</v>
      </c>
      <c r="B1309">
        <v>2019</v>
      </c>
      <c r="C1309" t="s">
        <v>19</v>
      </c>
      <c r="D1309">
        <v>174</v>
      </c>
      <c r="E1309" t="s">
        <v>20</v>
      </c>
      <c r="F1309" t="s">
        <v>21</v>
      </c>
      <c r="G1309" t="s">
        <v>15</v>
      </c>
      <c r="H1309">
        <v>-0.1071460766641797</v>
      </c>
      <c r="I1309">
        <v>3</v>
      </c>
      <c r="J1309" t="s">
        <v>23</v>
      </c>
      <c r="K1309" s="59" t="s">
        <v>23</v>
      </c>
    </row>
    <row r="1310" spans="1:11" x14ac:dyDescent="0.2">
      <c r="A1310" t="s">
        <v>1349</v>
      </c>
      <c r="B1310">
        <v>2025</v>
      </c>
      <c r="C1310" t="s">
        <v>33</v>
      </c>
      <c r="D1310">
        <v>227</v>
      </c>
      <c r="E1310" t="s">
        <v>25</v>
      </c>
      <c r="F1310" t="s">
        <v>26</v>
      </c>
      <c r="G1310" t="s">
        <v>15</v>
      </c>
      <c r="H1310">
        <v>0.35586772694454999</v>
      </c>
      <c r="I1310">
        <v>2</v>
      </c>
      <c r="J1310" t="s">
        <v>23</v>
      </c>
      <c r="K1310" s="59" t="s">
        <v>17</v>
      </c>
    </row>
    <row r="1311" spans="1:11" x14ac:dyDescent="0.2">
      <c r="A1311" t="s">
        <v>1350</v>
      </c>
      <c r="B1311">
        <v>2019</v>
      </c>
      <c r="C1311" t="s">
        <v>33</v>
      </c>
      <c r="D1311">
        <v>77</v>
      </c>
      <c r="E1311" t="s">
        <v>20</v>
      </c>
      <c r="F1311" t="s">
        <v>21</v>
      </c>
      <c r="G1311" t="s">
        <v>41</v>
      </c>
      <c r="H1311">
        <v>-2.6585459055632401</v>
      </c>
      <c r="I1311">
        <v>3</v>
      </c>
      <c r="J1311" t="s">
        <v>23</v>
      </c>
      <c r="K1311" s="59" t="s">
        <v>23</v>
      </c>
    </row>
    <row r="1312" spans="1:11" x14ac:dyDescent="0.2">
      <c r="A1312" t="s">
        <v>1351</v>
      </c>
      <c r="B1312">
        <v>2018</v>
      </c>
      <c r="C1312" t="s">
        <v>19</v>
      </c>
      <c r="D1312">
        <v>898</v>
      </c>
      <c r="E1312" t="s">
        <v>25</v>
      </c>
      <c r="F1312" t="s">
        <v>26</v>
      </c>
      <c r="G1312" t="s">
        <v>15</v>
      </c>
      <c r="H1312">
        <v>0.29544436018507447</v>
      </c>
      <c r="I1312">
        <v>2</v>
      </c>
      <c r="J1312" t="s">
        <v>23</v>
      </c>
      <c r="K1312" s="59" t="s">
        <v>23</v>
      </c>
    </row>
    <row r="1313" spans="1:11" x14ac:dyDescent="0.2">
      <c r="A1313" t="s">
        <v>1352</v>
      </c>
      <c r="B1313">
        <v>2021</v>
      </c>
      <c r="C1313" t="s">
        <v>33</v>
      </c>
      <c r="D1313">
        <v>287</v>
      </c>
      <c r="E1313" t="s">
        <v>53</v>
      </c>
      <c r="F1313" t="s">
        <v>54</v>
      </c>
      <c r="G1313" t="s">
        <v>36</v>
      </c>
      <c r="H1313">
        <v>-0.37759349287597871</v>
      </c>
      <c r="I1313">
        <v>3</v>
      </c>
      <c r="J1313" t="s">
        <v>16</v>
      </c>
      <c r="K1313" s="59" t="s">
        <v>17</v>
      </c>
    </row>
    <row r="1314" spans="1:11" x14ac:dyDescent="0.2">
      <c r="A1314" t="s">
        <v>1353</v>
      </c>
      <c r="B1314">
        <v>2016</v>
      </c>
      <c r="C1314" t="s">
        <v>33</v>
      </c>
      <c r="D1314">
        <v>88</v>
      </c>
      <c r="E1314" t="s">
        <v>38</v>
      </c>
      <c r="F1314" t="s">
        <v>39</v>
      </c>
      <c r="G1314" t="s">
        <v>15</v>
      </c>
      <c r="H1314">
        <v>0.1382145534174688</v>
      </c>
      <c r="I1314">
        <v>3</v>
      </c>
      <c r="J1314" t="s">
        <v>23</v>
      </c>
      <c r="K1314" s="59" t="s">
        <v>4376</v>
      </c>
    </row>
    <row r="1315" spans="1:11" x14ac:dyDescent="0.2">
      <c r="A1315" t="s">
        <v>1354</v>
      </c>
      <c r="B1315">
        <v>2018</v>
      </c>
      <c r="C1315" t="s">
        <v>33</v>
      </c>
      <c r="D1315">
        <v>69</v>
      </c>
      <c r="E1315" t="s">
        <v>20</v>
      </c>
      <c r="F1315" t="s">
        <v>21</v>
      </c>
      <c r="G1315" t="s">
        <v>15</v>
      </c>
      <c r="H1315">
        <v>1.9197460848798751</v>
      </c>
      <c r="I1315">
        <v>3</v>
      </c>
      <c r="J1315" t="s">
        <v>17</v>
      </c>
      <c r="K1315" s="59" t="s">
        <v>17</v>
      </c>
    </row>
    <row r="1316" spans="1:11" x14ac:dyDescent="0.2">
      <c r="A1316" t="s">
        <v>1355</v>
      </c>
      <c r="B1316">
        <v>2023</v>
      </c>
      <c r="C1316" t="s">
        <v>33</v>
      </c>
      <c r="D1316">
        <v>118</v>
      </c>
      <c r="E1316" t="s">
        <v>13</v>
      </c>
      <c r="F1316" t="s">
        <v>14</v>
      </c>
      <c r="G1316" t="s">
        <v>15</v>
      </c>
      <c r="H1316">
        <v>-0.41467454255362268</v>
      </c>
      <c r="I1316">
        <v>4</v>
      </c>
      <c r="J1316" t="s">
        <v>23</v>
      </c>
      <c r="K1316" s="59" t="s">
        <v>17</v>
      </c>
    </row>
    <row r="1317" spans="1:11" x14ac:dyDescent="0.2">
      <c r="A1317" t="s">
        <v>1356</v>
      </c>
      <c r="B1317">
        <v>2025</v>
      </c>
      <c r="C1317" t="s">
        <v>33</v>
      </c>
      <c r="D1317">
        <v>76</v>
      </c>
      <c r="E1317" t="s">
        <v>25</v>
      </c>
      <c r="F1317" t="s">
        <v>26</v>
      </c>
      <c r="G1317" t="s">
        <v>48</v>
      </c>
      <c r="H1317">
        <v>0.55390524409203035</v>
      </c>
      <c r="I1317">
        <v>2</v>
      </c>
      <c r="J1317" t="s">
        <v>23</v>
      </c>
      <c r="K1317" s="59" t="s">
        <v>17</v>
      </c>
    </row>
    <row r="1318" spans="1:11" x14ac:dyDescent="0.2">
      <c r="A1318" t="s">
        <v>1357</v>
      </c>
      <c r="B1318">
        <v>2025</v>
      </c>
      <c r="C1318" t="s">
        <v>33</v>
      </c>
      <c r="D1318">
        <v>141</v>
      </c>
      <c r="E1318" t="s">
        <v>25</v>
      </c>
      <c r="F1318" t="s">
        <v>26</v>
      </c>
      <c r="G1318" t="s">
        <v>15</v>
      </c>
      <c r="H1318">
        <v>0.34887740604295048</v>
      </c>
      <c r="I1318">
        <v>2</v>
      </c>
      <c r="J1318" t="s">
        <v>23</v>
      </c>
      <c r="K1318" s="59" t="s">
        <v>23</v>
      </c>
    </row>
    <row r="1319" spans="1:11" x14ac:dyDescent="0.2">
      <c r="A1319" t="s">
        <v>1358</v>
      </c>
      <c r="B1319">
        <v>2023</v>
      </c>
      <c r="C1319" t="s">
        <v>33</v>
      </c>
      <c r="D1319">
        <v>137</v>
      </c>
      <c r="E1319" t="s">
        <v>20</v>
      </c>
      <c r="F1319" t="s">
        <v>21</v>
      </c>
      <c r="G1319" t="s">
        <v>80</v>
      </c>
      <c r="H1319">
        <v>-0.39764768675468798</v>
      </c>
      <c r="I1319">
        <v>3</v>
      </c>
      <c r="J1319" t="s">
        <v>23</v>
      </c>
      <c r="K1319" s="59" t="s">
        <v>4376</v>
      </c>
    </row>
    <row r="1320" spans="1:11" x14ac:dyDescent="0.2">
      <c r="A1320" t="s">
        <v>1359</v>
      </c>
      <c r="B1320">
        <v>2018</v>
      </c>
      <c r="C1320" t="s">
        <v>12</v>
      </c>
      <c r="D1320">
        <v>112</v>
      </c>
      <c r="E1320" t="s">
        <v>20</v>
      </c>
      <c r="F1320" t="s">
        <v>21</v>
      </c>
      <c r="G1320" t="s">
        <v>15</v>
      </c>
      <c r="H1320">
        <v>2.4782802947437639</v>
      </c>
      <c r="I1320">
        <v>3</v>
      </c>
      <c r="J1320" t="s">
        <v>23</v>
      </c>
      <c r="K1320" s="59" t="s">
        <v>23</v>
      </c>
    </row>
    <row r="1321" spans="1:11" x14ac:dyDescent="0.2">
      <c r="A1321" t="s">
        <v>1360</v>
      </c>
      <c r="B1321">
        <v>2021</v>
      </c>
      <c r="C1321" t="s">
        <v>33</v>
      </c>
      <c r="D1321">
        <v>344</v>
      </c>
      <c r="E1321" t="s">
        <v>38</v>
      </c>
      <c r="F1321" t="s">
        <v>39</v>
      </c>
      <c r="G1321" t="s">
        <v>15</v>
      </c>
      <c r="H1321">
        <v>0.79091725609484598</v>
      </c>
      <c r="I1321">
        <v>3</v>
      </c>
      <c r="J1321" t="s">
        <v>23</v>
      </c>
      <c r="K1321" s="59" t="s">
        <v>4376</v>
      </c>
    </row>
    <row r="1322" spans="1:11" x14ac:dyDescent="0.2">
      <c r="A1322" t="s">
        <v>1361</v>
      </c>
      <c r="B1322">
        <v>2016</v>
      </c>
      <c r="C1322" t="s">
        <v>19</v>
      </c>
      <c r="D1322">
        <v>88</v>
      </c>
      <c r="E1322" t="s">
        <v>38</v>
      </c>
      <c r="F1322" t="s">
        <v>39</v>
      </c>
      <c r="G1322" t="s">
        <v>15</v>
      </c>
      <c r="H1322">
        <v>0.1382145534174688</v>
      </c>
      <c r="I1322">
        <v>3</v>
      </c>
      <c r="J1322" t="s">
        <v>23</v>
      </c>
      <c r="K1322" s="59" t="s">
        <v>23</v>
      </c>
    </row>
    <row r="1323" spans="1:11" x14ac:dyDescent="0.2">
      <c r="A1323" t="s">
        <v>1362</v>
      </c>
      <c r="B1323">
        <v>2021</v>
      </c>
      <c r="C1323" t="s">
        <v>33</v>
      </c>
      <c r="D1323">
        <v>399</v>
      </c>
      <c r="E1323" t="s">
        <v>38</v>
      </c>
      <c r="F1323" t="s">
        <v>39</v>
      </c>
      <c r="G1323" t="s">
        <v>15</v>
      </c>
      <c r="H1323">
        <v>0.20729434749458239</v>
      </c>
      <c r="I1323">
        <v>3</v>
      </c>
      <c r="J1323" t="s">
        <v>23</v>
      </c>
      <c r="K1323" s="59" t="s">
        <v>4376</v>
      </c>
    </row>
    <row r="1324" spans="1:11" x14ac:dyDescent="0.2">
      <c r="A1324" t="s">
        <v>1363</v>
      </c>
      <c r="B1324">
        <v>2025</v>
      </c>
      <c r="C1324" t="s">
        <v>19</v>
      </c>
      <c r="D1324">
        <v>175</v>
      </c>
      <c r="E1324" t="s">
        <v>25</v>
      </c>
      <c r="F1324" t="s">
        <v>26</v>
      </c>
      <c r="G1324" t="s">
        <v>22</v>
      </c>
      <c r="H1324">
        <v>0.91680981531585382</v>
      </c>
      <c r="I1324">
        <v>2</v>
      </c>
      <c r="J1324" t="s">
        <v>23</v>
      </c>
      <c r="K1324" s="59" t="s">
        <v>4376</v>
      </c>
    </row>
    <row r="1325" spans="1:11" x14ac:dyDescent="0.2">
      <c r="A1325" t="s">
        <v>1364</v>
      </c>
      <c r="B1325">
        <v>2022</v>
      </c>
      <c r="C1325" t="s">
        <v>33</v>
      </c>
      <c r="D1325">
        <v>496</v>
      </c>
      <c r="E1325" t="s">
        <v>20</v>
      </c>
      <c r="F1325" t="s">
        <v>21</v>
      </c>
      <c r="G1325" t="s">
        <v>15</v>
      </c>
      <c r="H1325">
        <v>0.64356402051203376</v>
      </c>
      <c r="I1325">
        <v>3</v>
      </c>
      <c r="J1325" t="s">
        <v>17</v>
      </c>
      <c r="K1325" s="59" t="s">
        <v>4376</v>
      </c>
    </row>
    <row r="1326" spans="1:11" x14ac:dyDescent="0.2">
      <c r="A1326" t="s">
        <v>1365</v>
      </c>
      <c r="B1326">
        <v>2019</v>
      </c>
      <c r="C1326" t="s">
        <v>19</v>
      </c>
      <c r="D1326">
        <v>124</v>
      </c>
      <c r="E1326" t="s">
        <v>20</v>
      </c>
      <c r="F1326" t="s">
        <v>21</v>
      </c>
      <c r="G1326" t="s">
        <v>15</v>
      </c>
      <c r="H1326">
        <v>0.79091725609484598</v>
      </c>
      <c r="I1326">
        <v>3</v>
      </c>
      <c r="J1326" t="s">
        <v>23</v>
      </c>
      <c r="K1326" s="59" t="s">
        <v>16</v>
      </c>
    </row>
    <row r="1327" spans="1:11" x14ac:dyDescent="0.2">
      <c r="A1327" t="s">
        <v>1366</v>
      </c>
      <c r="B1327">
        <v>2019</v>
      </c>
      <c r="C1327" t="s">
        <v>12</v>
      </c>
      <c r="D1327">
        <v>116</v>
      </c>
      <c r="E1327" t="s">
        <v>25</v>
      </c>
      <c r="F1327" t="s">
        <v>26</v>
      </c>
      <c r="G1327" t="s">
        <v>15</v>
      </c>
      <c r="H1327">
        <v>-0.44312731474394779</v>
      </c>
      <c r="I1327">
        <v>2</v>
      </c>
      <c r="J1327" t="s">
        <v>16</v>
      </c>
      <c r="K1327" s="59" t="s">
        <v>17</v>
      </c>
    </row>
    <row r="1328" spans="1:11" x14ac:dyDescent="0.2">
      <c r="A1328" t="s">
        <v>1367</v>
      </c>
      <c r="B1328">
        <v>2019</v>
      </c>
      <c r="C1328" t="s">
        <v>12</v>
      </c>
      <c r="D1328">
        <v>154</v>
      </c>
      <c r="E1328" t="s">
        <v>25</v>
      </c>
      <c r="F1328" t="s">
        <v>26</v>
      </c>
      <c r="G1328" t="s">
        <v>147</v>
      </c>
      <c r="H1328">
        <v>0.42881898762764858</v>
      </c>
      <c r="I1328">
        <v>2</v>
      </c>
      <c r="J1328" t="s">
        <v>16</v>
      </c>
      <c r="K1328" s="59" t="s">
        <v>16</v>
      </c>
    </row>
    <row r="1329" spans="1:11" x14ac:dyDescent="0.2">
      <c r="A1329" t="s">
        <v>1368</v>
      </c>
      <c r="B1329">
        <v>2025</v>
      </c>
      <c r="C1329" t="s">
        <v>33</v>
      </c>
      <c r="D1329">
        <v>194</v>
      </c>
      <c r="E1329" t="s">
        <v>20</v>
      </c>
      <c r="F1329" t="s">
        <v>21</v>
      </c>
      <c r="G1329" t="s">
        <v>15</v>
      </c>
      <c r="H1329">
        <v>-0.3962449060212529</v>
      </c>
      <c r="I1329">
        <v>3</v>
      </c>
      <c r="J1329" t="s">
        <v>16</v>
      </c>
      <c r="K1329" s="59" t="s">
        <v>4376</v>
      </c>
    </row>
    <row r="1330" spans="1:11" x14ac:dyDescent="0.2">
      <c r="A1330" t="s">
        <v>1369</v>
      </c>
      <c r="B1330">
        <v>2019</v>
      </c>
      <c r="C1330" t="s">
        <v>12</v>
      </c>
      <c r="D1330">
        <v>275</v>
      </c>
      <c r="E1330" t="s">
        <v>13</v>
      </c>
      <c r="F1330" t="s">
        <v>14</v>
      </c>
      <c r="G1330" t="s">
        <v>22</v>
      </c>
      <c r="H1330">
        <v>-0.60180623657460774</v>
      </c>
      <c r="I1330">
        <v>4</v>
      </c>
      <c r="J1330" t="s">
        <v>23</v>
      </c>
      <c r="K1330" s="59" t="s">
        <v>17</v>
      </c>
    </row>
    <row r="1331" spans="1:11" x14ac:dyDescent="0.2">
      <c r="A1331" t="s">
        <v>1370</v>
      </c>
      <c r="B1331">
        <v>2018</v>
      </c>
      <c r="C1331" t="s">
        <v>19</v>
      </c>
      <c r="D1331">
        <v>55</v>
      </c>
      <c r="E1331" t="s">
        <v>20</v>
      </c>
      <c r="F1331" t="s">
        <v>21</v>
      </c>
      <c r="G1331" t="s">
        <v>15</v>
      </c>
      <c r="H1331">
        <v>0.35199833719295759</v>
      </c>
      <c r="I1331">
        <v>3</v>
      </c>
      <c r="J1331" t="s">
        <v>23</v>
      </c>
      <c r="K1331" s="59" t="s">
        <v>16</v>
      </c>
    </row>
    <row r="1332" spans="1:11" x14ac:dyDescent="0.2">
      <c r="A1332" t="s">
        <v>1371</v>
      </c>
      <c r="B1332">
        <v>2025</v>
      </c>
      <c r="C1332" t="s">
        <v>19</v>
      </c>
      <c r="D1332">
        <v>209</v>
      </c>
      <c r="E1332" t="s">
        <v>13</v>
      </c>
      <c r="F1332" t="s">
        <v>14</v>
      </c>
      <c r="G1332" t="s">
        <v>48</v>
      </c>
      <c r="H1332">
        <v>-0.46406971051855289</v>
      </c>
      <c r="I1332">
        <v>4</v>
      </c>
      <c r="J1332" t="s">
        <v>23</v>
      </c>
      <c r="K1332" s="59" t="s">
        <v>17</v>
      </c>
    </row>
    <row r="1333" spans="1:11" x14ac:dyDescent="0.2">
      <c r="A1333" t="s">
        <v>1372</v>
      </c>
      <c r="B1333">
        <v>2021</v>
      </c>
      <c r="C1333" t="s">
        <v>33</v>
      </c>
      <c r="D1333">
        <v>343</v>
      </c>
      <c r="E1333" t="s">
        <v>38</v>
      </c>
      <c r="F1333" t="s">
        <v>39</v>
      </c>
      <c r="G1333" t="s">
        <v>15</v>
      </c>
      <c r="H1333">
        <v>0.79091725609484598</v>
      </c>
      <c r="I1333">
        <v>3</v>
      </c>
      <c r="J1333" t="s">
        <v>23</v>
      </c>
      <c r="K1333" s="59" t="s">
        <v>4376</v>
      </c>
    </row>
    <row r="1334" spans="1:11" x14ac:dyDescent="0.2">
      <c r="A1334" t="s">
        <v>1373</v>
      </c>
      <c r="B1334">
        <v>2025</v>
      </c>
      <c r="C1334" t="s">
        <v>33</v>
      </c>
      <c r="D1334">
        <v>294</v>
      </c>
      <c r="E1334" t="s">
        <v>25</v>
      </c>
      <c r="F1334" t="s">
        <v>26</v>
      </c>
      <c r="G1334" t="s">
        <v>15</v>
      </c>
      <c r="H1334">
        <v>1.860361700497795</v>
      </c>
      <c r="I1334">
        <v>2</v>
      </c>
      <c r="J1334" t="s">
        <v>23</v>
      </c>
      <c r="K1334" s="59" t="s">
        <v>17</v>
      </c>
    </row>
    <row r="1335" spans="1:11" x14ac:dyDescent="0.2">
      <c r="A1335" t="s">
        <v>1374</v>
      </c>
      <c r="B1335">
        <v>2021</v>
      </c>
      <c r="C1335" t="s">
        <v>19</v>
      </c>
      <c r="D1335">
        <v>109</v>
      </c>
      <c r="E1335" t="s">
        <v>20</v>
      </c>
      <c r="F1335" t="s">
        <v>21</v>
      </c>
      <c r="G1335" t="s">
        <v>15</v>
      </c>
      <c r="H1335">
        <v>-0.61936875801994262</v>
      </c>
      <c r="I1335">
        <v>3</v>
      </c>
      <c r="J1335" t="s">
        <v>23</v>
      </c>
      <c r="K1335" s="59" t="s">
        <v>16</v>
      </c>
    </row>
    <row r="1336" spans="1:11" x14ac:dyDescent="0.2">
      <c r="A1336" t="s">
        <v>1375</v>
      </c>
      <c r="B1336">
        <v>2023</v>
      </c>
      <c r="C1336" t="s">
        <v>12</v>
      </c>
      <c r="D1336">
        <v>395</v>
      </c>
      <c r="E1336" t="s">
        <v>38</v>
      </c>
      <c r="F1336" t="s">
        <v>39</v>
      </c>
      <c r="G1336" t="s">
        <v>15</v>
      </c>
      <c r="H1336">
        <v>1.173666381899163E-3</v>
      </c>
      <c r="I1336">
        <v>3</v>
      </c>
      <c r="J1336" t="s">
        <v>16</v>
      </c>
      <c r="K1336" s="59" t="s">
        <v>4376</v>
      </c>
    </row>
    <row r="1337" spans="1:11" x14ac:dyDescent="0.2">
      <c r="A1337" t="s">
        <v>1376</v>
      </c>
      <c r="B1337">
        <v>2025</v>
      </c>
      <c r="C1337" t="s">
        <v>19</v>
      </c>
      <c r="D1337">
        <v>113</v>
      </c>
      <c r="E1337" t="s">
        <v>20</v>
      </c>
      <c r="F1337" t="s">
        <v>21</v>
      </c>
      <c r="G1337" t="s">
        <v>15</v>
      </c>
      <c r="H1337">
        <v>0.3672686074626354</v>
      </c>
      <c r="I1337">
        <v>3</v>
      </c>
      <c r="J1337" t="s">
        <v>23</v>
      </c>
      <c r="K1337" s="59" t="s">
        <v>17</v>
      </c>
    </row>
    <row r="1338" spans="1:11" x14ac:dyDescent="0.2">
      <c r="A1338" t="s">
        <v>1377</v>
      </c>
      <c r="B1338">
        <v>2019</v>
      </c>
      <c r="C1338" t="s">
        <v>19</v>
      </c>
      <c r="D1338">
        <v>121</v>
      </c>
      <c r="E1338" t="s">
        <v>25</v>
      </c>
      <c r="F1338" t="s">
        <v>26</v>
      </c>
      <c r="G1338" t="s">
        <v>15</v>
      </c>
      <c r="H1338">
        <v>-1.1250532598013281</v>
      </c>
      <c r="I1338">
        <v>2</v>
      </c>
      <c r="J1338" t="s">
        <v>16</v>
      </c>
      <c r="K1338" s="59" t="s">
        <v>16</v>
      </c>
    </row>
    <row r="1339" spans="1:11" x14ac:dyDescent="0.2">
      <c r="A1339" t="s">
        <v>1378</v>
      </c>
      <c r="B1339">
        <v>2019</v>
      </c>
      <c r="C1339" t="s">
        <v>19</v>
      </c>
      <c r="D1339">
        <v>84</v>
      </c>
      <c r="E1339" t="s">
        <v>20</v>
      </c>
      <c r="F1339" t="s">
        <v>21</v>
      </c>
      <c r="G1339" t="s">
        <v>22</v>
      </c>
      <c r="H1339">
        <v>0.92380556608643338</v>
      </c>
      <c r="I1339">
        <v>3</v>
      </c>
      <c r="J1339" t="s">
        <v>23</v>
      </c>
      <c r="K1339" s="59" t="s">
        <v>17</v>
      </c>
    </row>
    <row r="1340" spans="1:11" x14ac:dyDescent="0.2">
      <c r="A1340" t="s">
        <v>1379</v>
      </c>
      <c r="B1340">
        <v>2022</v>
      </c>
      <c r="C1340" t="s">
        <v>19</v>
      </c>
      <c r="D1340">
        <v>69</v>
      </c>
      <c r="E1340" t="s">
        <v>20</v>
      </c>
      <c r="F1340" t="s">
        <v>21</v>
      </c>
      <c r="G1340" t="s">
        <v>15</v>
      </c>
      <c r="H1340">
        <v>-0.17617336389942639</v>
      </c>
      <c r="I1340">
        <v>3</v>
      </c>
      <c r="J1340" t="s">
        <v>16</v>
      </c>
      <c r="K1340" s="59" t="s">
        <v>17</v>
      </c>
    </row>
    <row r="1341" spans="1:11" x14ac:dyDescent="0.2">
      <c r="A1341" t="s">
        <v>1380</v>
      </c>
      <c r="B1341">
        <v>2025</v>
      </c>
      <c r="C1341" t="s">
        <v>19</v>
      </c>
      <c r="D1341">
        <v>320</v>
      </c>
      <c r="E1341" t="s">
        <v>13</v>
      </c>
      <c r="F1341" t="s">
        <v>14</v>
      </c>
      <c r="G1341" t="s">
        <v>15</v>
      </c>
      <c r="H1341">
        <v>0.69405239123373952</v>
      </c>
      <c r="I1341">
        <v>4</v>
      </c>
      <c r="J1341" t="s">
        <v>17</v>
      </c>
      <c r="K1341" s="59" t="s">
        <v>17</v>
      </c>
    </row>
    <row r="1342" spans="1:11" x14ac:dyDescent="0.2">
      <c r="A1342" t="s">
        <v>1381</v>
      </c>
      <c r="B1342">
        <v>2024</v>
      </c>
      <c r="C1342" t="s">
        <v>12</v>
      </c>
      <c r="D1342">
        <v>158</v>
      </c>
      <c r="E1342" t="s">
        <v>20</v>
      </c>
      <c r="F1342" t="s">
        <v>21</v>
      </c>
      <c r="G1342" t="s">
        <v>15</v>
      </c>
      <c r="H1342">
        <v>1.173666381899163E-3</v>
      </c>
      <c r="I1342">
        <v>3</v>
      </c>
      <c r="J1342" t="s">
        <v>16</v>
      </c>
      <c r="K1342" s="59" t="s">
        <v>16</v>
      </c>
    </row>
    <row r="1343" spans="1:11" x14ac:dyDescent="0.2">
      <c r="A1343" t="s">
        <v>1382</v>
      </c>
      <c r="B1343">
        <v>2019</v>
      </c>
      <c r="C1343" t="s">
        <v>12</v>
      </c>
      <c r="D1343">
        <v>40</v>
      </c>
      <c r="E1343" t="s">
        <v>20</v>
      </c>
      <c r="F1343" t="s">
        <v>21</v>
      </c>
      <c r="G1343" t="s">
        <v>22</v>
      </c>
      <c r="H1343">
        <v>1.207133472294913</v>
      </c>
      <c r="I1343">
        <v>3</v>
      </c>
      <c r="J1343" t="s">
        <v>23</v>
      </c>
      <c r="K1343" s="59" t="s">
        <v>23</v>
      </c>
    </row>
    <row r="1344" spans="1:11" x14ac:dyDescent="0.2">
      <c r="A1344" t="s">
        <v>1383</v>
      </c>
      <c r="B1344">
        <v>2022</v>
      </c>
      <c r="C1344" t="s">
        <v>19</v>
      </c>
      <c r="D1344">
        <v>267</v>
      </c>
      <c r="E1344" t="s">
        <v>20</v>
      </c>
      <c r="F1344" t="s">
        <v>21</v>
      </c>
      <c r="G1344" t="s">
        <v>48</v>
      </c>
      <c r="H1344">
        <v>-0.93883302644003153</v>
      </c>
      <c r="I1344">
        <v>3</v>
      </c>
      <c r="J1344" t="s">
        <v>16</v>
      </c>
      <c r="K1344" s="59" t="s">
        <v>17</v>
      </c>
    </row>
    <row r="1345" spans="1:11" x14ac:dyDescent="0.2">
      <c r="A1345" t="s">
        <v>1384</v>
      </c>
      <c r="B1345">
        <v>2019</v>
      </c>
      <c r="C1345" t="s">
        <v>19</v>
      </c>
      <c r="D1345">
        <v>171</v>
      </c>
      <c r="E1345" t="s">
        <v>20</v>
      </c>
      <c r="F1345" t="s">
        <v>21</v>
      </c>
      <c r="G1345" t="s">
        <v>15</v>
      </c>
      <c r="H1345">
        <v>-0.44312731474394779</v>
      </c>
      <c r="I1345">
        <v>3</v>
      </c>
      <c r="J1345" t="s">
        <v>16</v>
      </c>
      <c r="K1345" s="59" t="s">
        <v>17</v>
      </c>
    </row>
    <row r="1346" spans="1:11" x14ac:dyDescent="0.2">
      <c r="A1346" t="s">
        <v>1385</v>
      </c>
      <c r="B1346">
        <v>2019</v>
      </c>
      <c r="C1346" t="s">
        <v>19</v>
      </c>
      <c r="D1346">
        <v>74</v>
      </c>
      <c r="E1346" t="s">
        <v>20</v>
      </c>
      <c r="F1346" t="s">
        <v>21</v>
      </c>
      <c r="G1346" t="s">
        <v>57</v>
      </c>
      <c r="H1346">
        <v>-1.335160172602792</v>
      </c>
      <c r="I1346">
        <v>3</v>
      </c>
      <c r="J1346" t="s">
        <v>23</v>
      </c>
      <c r="K1346" s="59" t="s">
        <v>4376</v>
      </c>
    </row>
    <row r="1347" spans="1:11" x14ac:dyDescent="0.2">
      <c r="A1347" t="s">
        <v>1386</v>
      </c>
      <c r="B1347">
        <v>2021</v>
      </c>
      <c r="C1347" t="s">
        <v>33</v>
      </c>
      <c r="D1347">
        <v>367</v>
      </c>
      <c r="E1347" t="s">
        <v>38</v>
      </c>
      <c r="F1347" t="s">
        <v>39</v>
      </c>
      <c r="G1347" t="s">
        <v>15</v>
      </c>
      <c r="H1347">
        <v>0.69029355547504967</v>
      </c>
      <c r="I1347">
        <v>3</v>
      </c>
      <c r="J1347" t="s">
        <v>23</v>
      </c>
      <c r="K1347" s="59" t="s">
        <v>4376</v>
      </c>
    </row>
    <row r="1348" spans="1:11" x14ac:dyDescent="0.2">
      <c r="A1348" t="s">
        <v>1387</v>
      </c>
      <c r="B1348">
        <v>2018</v>
      </c>
      <c r="C1348" t="s">
        <v>33</v>
      </c>
      <c r="D1348">
        <v>149</v>
      </c>
      <c r="E1348" t="s">
        <v>20</v>
      </c>
      <c r="F1348" t="s">
        <v>21</v>
      </c>
      <c r="G1348" t="s">
        <v>15</v>
      </c>
      <c r="H1348">
        <v>-8.1426320324471585E-2</v>
      </c>
      <c r="I1348">
        <v>3</v>
      </c>
      <c r="J1348" t="s">
        <v>23</v>
      </c>
      <c r="K1348" s="59" t="s">
        <v>4376</v>
      </c>
    </row>
    <row r="1349" spans="1:11" x14ac:dyDescent="0.2">
      <c r="A1349" t="s">
        <v>1388</v>
      </c>
      <c r="B1349">
        <v>2022</v>
      </c>
      <c r="C1349" t="s">
        <v>12</v>
      </c>
      <c r="D1349">
        <v>352</v>
      </c>
      <c r="E1349" t="s">
        <v>53</v>
      </c>
      <c r="F1349" t="s">
        <v>54</v>
      </c>
      <c r="G1349" t="s">
        <v>36</v>
      </c>
      <c r="H1349">
        <v>5.4377775466296963E-2</v>
      </c>
      <c r="I1349">
        <v>3</v>
      </c>
      <c r="J1349" t="s">
        <v>16</v>
      </c>
      <c r="K1349" s="59" t="s">
        <v>4376</v>
      </c>
    </row>
    <row r="1350" spans="1:11" x14ac:dyDescent="0.2">
      <c r="A1350" t="s">
        <v>1389</v>
      </c>
      <c r="B1350">
        <v>2017</v>
      </c>
      <c r="C1350" t="s">
        <v>19</v>
      </c>
      <c r="D1350">
        <v>75</v>
      </c>
      <c r="E1350" t="s">
        <v>25</v>
      </c>
      <c r="F1350" t="s">
        <v>26</v>
      </c>
      <c r="G1350" t="s">
        <v>15</v>
      </c>
      <c r="H1350">
        <v>0.5800343732201455</v>
      </c>
      <c r="I1350">
        <v>2</v>
      </c>
      <c r="J1350" t="s">
        <v>23</v>
      </c>
      <c r="K1350" s="59" t="s">
        <v>16</v>
      </c>
    </row>
    <row r="1351" spans="1:11" x14ac:dyDescent="0.2">
      <c r="A1351" t="s">
        <v>1390</v>
      </c>
      <c r="B1351">
        <v>2022</v>
      </c>
      <c r="C1351" t="s">
        <v>33</v>
      </c>
      <c r="D1351">
        <v>326</v>
      </c>
      <c r="E1351" t="s">
        <v>20</v>
      </c>
      <c r="F1351" t="s">
        <v>21</v>
      </c>
      <c r="G1351" t="s">
        <v>48</v>
      </c>
      <c r="H1351">
        <v>0.80027852047304815</v>
      </c>
      <c r="I1351">
        <v>3</v>
      </c>
      <c r="J1351" t="s">
        <v>17</v>
      </c>
      <c r="K1351" s="59" t="s">
        <v>4376</v>
      </c>
    </row>
    <row r="1352" spans="1:11" x14ac:dyDescent="0.2">
      <c r="A1352" t="s">
        <v>1391</v>
      </c>
      <c r="B1352">
        <v>2019</v>
      </c>
      <c r="C1352" t="s">
        <v>19</v>
      </c>
      <c r="D1352">
        <v>33</v>
      </c>
      <c r="E1352" t="s">
        <v>25</v>
      </c>
      <c r="F1352" t="s">
        <v>26</v>
      </c>
      <c r="G1352" t="s">
        <v>15</v>
      </c>
      <c r="H1352">
        <v>-1.928362023078922</v>
      </c>
      <c r="I1352">
        <v>2</v>
      </c>
      <c r="J1352" t="s">
        <v>17</v>
      </c>
      <c r="K1352" s="59" t="s">
        <v>17</v>
      </c>
    </row>
    <row r="1353" spans="1:11" x14ac:dyDescent="0.2">
      <c r="A1353" t="s">
        <v>1392</v>
      </c>
      <c r="B1353">
        <v>2019</v>
      </c>
      <c r="C1353" t="s">
        <v>19</v>
      </c>
      <c r="D1353">
        <v>92</v>
      </c>
      <c r="E1353" t="s">
        <v>20</v>
      </c>
      <c r="F1353" t="s">
        <v>21</v>
      </c>
      <c r="G1353" t="s">
        <v>48</v>
      </c>
      <c r="H1353">
        <v>-0.34338627816467621</v>
      </c>
      <c r="I1353">
        <v>3</v>
      </c>
      <c r="J1353" t="s">
        <v>16</v>
      </c>
      <c r="K1353" s="59" t="s">
        <v>23</v>
      </c>
    </row>
    <row r="1354" spans="1:11" x14ac:dyDescent="0.2">
      <c r="A1354" t="s">
        <v>1393</v>
      </c>
      <c r="B1354">
        <v>2017</v>
      </c>
      <c r="C1354" t="s">
        <v>12</v>
      </c>
      <c r="D1354">
        <v>147</v>
      </c>
      <c r="E1354" t="s">
        <v>29</v>
      </c>
      <c r="F1354" t="s">
        <v>30</v>
      </c>
      <c r="G1354" t="s">
        <v>15</v>
      </c>
      <c r="H1354">
        <v>0.76860263378108951</v>
      </c>
      <c r="I1354">
        <v>4</v>
      </c>
      <c r="J1354" t="s">
        <v>23</v>
      </c>
      <c r="K1354" s="59" t="s">
        <v>17</v>
      </c>
    </row>
    <row r="1355" spans="1:11" x14ac:dyDescent="0.2">
      <c r="A1355" t="s">
        <v>1394</v>
      </c>
      <c r="B1355">
        <v>2019</v>
      </c>
      <c r="C1355" t="s">
        <v>19</v>
      </c>
      <c r="D1355">
        <v>66</v>
      </c>
      <c r="E1355" t="s">
        <v>20</v>
      </c>
      <c r="F1355" t="s">
        <v>21</v>
      </c>
      <c r="G1355" t="s">
        <v>15</v>
      </c>
      <c r="H1355">
        <v>-1.6871700618963199</v>
      </c>
      <c r="I1355">
        <v>3</v>
      </c>
      <c r="J1355" t="s">
        <v>16</v>
      </c>
      <c r="K1355" s="59" t="s">
        <v>23</v>
      </c>
    </row>
    <row r="1356" spans="1:11" x14ac:dyDescent="0.2">
      <c r="A1356" t="s">
        <v>1395</v>
      </c>
      <c r="B1356">
        <v>2019</v>
      </c>
      <c r="C1356" t="s">
        <v>33</v>
      </c>
      <c r="D1356">
        <v>143</v>
      </c>
      <c r="E1356" t="s">
        <v>20</v>
      </c>
      <c r="F1356" t="s">
        <v>21</v>
      </c>
      <c r="G1356" t="s">
        <v>15</v>
      </c>
      <c r="H1356">
        <v>0.60415356933840592</v>
      </c>
      <c r="I1356">
        <v>3</v>
      </c>
      <c r="J1356" t="s">
        <v>23</v>
      </c>
      <c r="K1356" s="59" t="s">
        <v>4376</v>
      </c>
    </row>
    <row r="1357" spans="1:11" x14ac:dyDescent="0.2">
      <c r="A1357" t="s">
        <v>1396</v>
      </c>
      <c r="B1357">
        <v>2019</v>
      </c>
      <c r="C1357" t="s">
        <v>33</v>
      </c>
      <c r="D1357">
        <v>420</v>
      </c>
      <c r="E1357" t="s">
        <v>13</v>
      </c>
      <c r="F1357" t="s">
        <v>14</v>
      </c>
      <c r="G1357" t="s">
        <v>57</v>
      </c>
      <c r="H1357">
        <v>1.086537491703611</v>
      </c>
      <c r="I1357">
        <v>4</v>
      </c>
      <c r="J1357" t="s">
        <v>23</v>
      </c>
      <c r="K1357" s="59" t="s">
        <v>4376</v>
      </c>
    </row>
    <row r="1358" spans="1:11" x14ac:dyDescent="0.2">
      <c r="A1358" t="s">
        <v>1397</v>
      </c>
      <c r="B1358">
        <v>2022</v>
      </c>
      <c r="C1358" t="s">
        <v>19</v>
      </c>
      <c r="D1358">
        <v>116</v>
      </c>
      <c r="E1358" t="s">
        <v>25</v>
      </c>
      <c r="F1358" t="s">
        <v>26</v>
      </c>
      <c r="G1358" t="s">
        <v>15</v>
      </c>
      <c r="H1358">
        <v>-7.5569230358019851E-2</v>
      </c>
      <c r="I1358">
        <v>2</v>
      </c>
      <c r="J1358" t="s">
        <v>23</v>
      </c>
      <c r="K1358" s="59" t="s">
        <v>4376</v>
      </c>
    </row>
    <row r="1359" spans="1:11" x14ac:dyDescent="0.2">
      <c r="A1359" t="s">
        <v>1398</v>
      </c>
      <c r="B1359">
        <v>2021</v>
      </c>
      <c r="C1359" t="s">
        <v>33</v>
      </c>
      <c r="D1359">
        <v>235</v>
      </c>
      <c r="E1359" t="s">
        <v>13</v>
      </c>
      <c r="F1359" t="s">
        <v>14</v>
      </c>
      <c r="G1359" t="s">
        <v>15</v>
      </c>
      <c r="H1359">
        <v>0.5800343732201455</v>
      </c>
      <c r="I1359">
        <v>4</v>
      </c>
      <c r="J1359" t="s">
        <v>23</v>
      </c>
      <c r="K1359" s="59" t="s">
        <v>4376</v>
      </c>
    </row>
    <row r="1360" spans="1:11" x14ac:dyDescent="0.2">
      <c r="A1360" t="s">
        <v>1399</v>
      </c>
      <c r="B1360">
        <v>2023</v>
      </c>
      <c r="C1360" t="s">
        <v>33</v>
      </c>
      <c r="D1360">
        <v>258</v>
      </c>
      <c r="E1360" t="s">
        <v>13</v>
      </c>
      <c r="F1360" t="s">
        <v>14</v>
      </c>
      <c r="G1360" t="s">
        <v>80</v>
      </c>
      <c r="H1360">
        <v>-0.1203948624399772</v>
      </c>
      <c r="I1360">
        <v>4</v>
      </c>
      <c r="J1360" t="s">
        <v>23</v>
      </c>
      <c r="K1360" s="59" t="s">
        <v>23</v>
      </c>
    </row>
    <row r="1361" spans="1:11" x14ac:dyDescent="0.2">
      <c r="A1361" t="s">
        <v>1400</v>
      </c>
      <c r="B1361">
        <v>2019</v>
      </c>
      <c r="C1361" t="s">
        <v>19</v>
      </c>
      <c r="D1361">
        <v>157</v>
      </c>
      <c r="E1361" t="s">
        <v>25</v>
      </c>
      <c r="F1361" t="s">
        <v>26</v>
      </c>
      <c r="G1361" t="s">
        <v>15</v>
      </c>
      <c r="H1361">
        <v>0.2272911299905892</v>
      </c>
      <c r="I1361">
        <v>2</v>
      </c>
      <c r="J1361" t="s">
        <v>17</v>
      </c>
      <c r="K1361" s="59" t="s">
        <v>17</v>
      </c>
    </row>
    <row r="1362" spans="1:11" x14ac:dyDescent="0.2">
      <c r="A1362" t="s">
        <v>1401</v>
      </c>
      <c r="B1362">
        <v>2019</v>
      </c>
      <c r="C1362" t="s">
        <v>33</v>
      </c>
      <c r="D1362">
        <v>42</v>
      </c>
      <c r="E1362" t="s">
        <v>20</v>
      </c>
      <c r="F1362" t="s">
        <v>21</v>
      </c>
      <c r="G1362" t="s">
        <v>15</v>
      </c>
      <c r="H1362">
        <v>1.207133472294913</v>
      </c>
      <c r="I1362">
        <v>3</v>
      </c>
      <c r="J1362" t="s">
        <v>23</v>
      </c>
      <c r="K1362" s="59" t="s">
        <v>17</v>
      </c>
    </row>
    <row r="1363" spans="1:11" x14ac:dyDescent="0.2">
      <c r="A1363" t="s">
        <v>1402</v>
      </c>
      <c r="B1363">
        <v>2021</v>
      </c>
      <c r="C1363" t="s">
        <v>33</v>
      </c>
      <c r="D1363">
        <v>401</v>
      </c>
      <c r="E1363" t="s">
        <v>38</v>
      </c>
      <c r="F1363" t="s">
        <v>39</v>
      </c>
      <c r="G1363" t="s">
        <v>15</v>
      </c>
      <c r="H1363">
        <v>0.2123696730011832</v>
      </c>
      <c r="I1363">
        <v>3</v>
      </c>
      <c r="J1363" t="s">
        <v>23</v>
      </c>
      <c r="K1363" s="59" t="s">
        <v>4376</v>
      </c>
    </row>
    <row r="1364" spans="1:11" x14ac:dyDescent="0.2">
      <c r="A1364" t="s">
        <v>1403</v>
      </c>
      <c r="B1364">
        <v>2021</v>
      </c>
      <c r="C1364" t="s">
        <v>33</v>
      </c>
      <c r="D1364">
        <v>345</v>
      </c>
      <c r="E1364" t="s">
        <v>38</v>
      </c>
      <c r="F1364" t="s">
        <v>39</v>
      </c>
      <c r="G1364" t="s">
        <v>15</v>
      </c>
      <c r="H1364">
        <v>0.79214142143661093</v>
      </c>
      <c r="I1364">
        <v>3</v>
      </c>
      <c r="J1364" t="s">
        <v>23</v>
      </c>
      <c r="K1364" s="59" t="s">
        <v>4376</v>
      </c>
    </row>
    <row r="1365" spans="1:11" x14ac:dyDescent="0.2">
      <c r="A1365" t="s">
        <v>1404</v>
      </c>
      <c r="B1365">
        <v>2021</v>
      </c>
      <c r="C1365" t="s">
        <v>19</v>
      </c>
      <c r="D1365">
        <v>441</v>
      </c>
      <c r="E1365" t="s">
        <v>38</v>
      </c>
      <c r="F1365" t="s">
        <v>39</v>
      </c>
      <c r="G1365" t="s">
        <v>15</v>
      </c>
      <c r="H1365">
        <v>0.51117068710679503</v>
      </c>
      <c r="I1365">
        <v>3</v>
      </c>
      <c r="J1365" t="s">
        <v>23</v>
      </c>
      <c r="K1365" s="59" t="s">
        <v>16</v>
      </c>
    </row>
    <row r="1366" spans="1:11" x14ac:dyDescent="0.2">
      <c r="A1366" t="s">
        <v>1405</v>
      </c>
      <c r="B1366">
        <v>2022</v>
      </c>
      <c r="C1366" t="s">
        <v>19</v>
      </c>
      <c r="D1366">
        <v>70</v>
      </c>
      <c r="E1366" t="s">
        <v>20</v>
      </c>
      <c r="F1366" t="s">
        <v>21</v>
      </c>
      <c r="G1366" t="s">
        <v>15</v>
      </c>
      <c r="H1366">
        <v>-0.17617336389942639</v>
      </c>
      <c r="I1366">
        <v>3</v>
      </c>
      <c r="J1366" t="s">
        <v>16</v>
      </c>
      <c r="K1366" s="59" t="s">
        <v>17</v>
      </c>
    </row>
    <row r="1367" spans="1:11" x14ac:dyDescent="0.2">
      <c r="A1367" t="s">
        <v>1406</v>
      </c>
      <c r="B1367">
        <v>2023</v>
      </c>
      <c r="C1367" t="s">
        <v>33</v>
      </c>
      <c r="D1367">
        <v>275</v>
      </c>
      <c r="E1367" t="s">
        <v>13</v>
      </c>
      <c r="F1367" t="s">
        <v>14</v>
      </c>
      <c r="G1367" t="s">
        <v>48</v>
      </c>
      <c r="H1367">
        <v>-3.5232667381512657E-2</v>
      </c>
      <c r="I1367">
        <v>4</v>
      </c>
      <c r="J1367" t="s">
        <v>23</v>
      </c>
      <c r="K1367" s="59" t="s">
        <v>23</v>
      </c>
    </row>
    <row r="1368" spans="1:11" x14ac:dyDescent="0.2">
      <c r="A1368" t="s">
        <v>1407</v>
      </c>
      <c r="B1368">
        <v>2023</v>
      </c>
      <c r="C1368" t="s">
        <v>19</v>
      </c>
      <c r="D1368">
        <v>392</v>
      </c>
      <c r="E1368" t="s">
        <v>25</v>
      </c>
      <c r="F1368" t="s">
        <v>26</v>
      </c>
      <c r="G1368" t="s">
        <v>15</v>
      </c>
      <c r="H1368">
        <v>-0.53480846957944006</v>
      </c>
      <c r="I1368">
        <v>2</v>
      </c>
      <c r="J1368" t="s">
        <v>23</v>
      </c>
      <c r="K1368" s="59" t="s">
        <v>16</v>
      </c>
    </row>
    <row r="1369" spans="1:11" x14ac:dyDescent="0.2">
      <c r="A1369" t="s">
        <v>1408</v>
      </c>
      <c r="B1369">
        <v>2019</v>
      </c>
      <c r="C1369" t="s">
        <v>19</v>
      </c>
      <c r="D1369">
        <v>114</v>
      </c>
      <c r="E1369" t="s">
        <v>20</v>
      </c>
      <c r="F1369" t="s">
        <v>21</v>
      </c>
      <c r="G1369" t="s">
        <v>41</v>
      </c>
      <c r="H1369">
        <v>-2.213407068112907</v>
      </c>
      <c r="I1369">
        <v>3</v>
      </c>
      <c r="J1369" t="s">
        <v>23</v>
      </c>
      <c r="K1369" s="59" t="s">
        <v>17</v>
      </c>
    </row>
    <row r="1370" spans="1:11" x14ac:dyDescent="0.2">
      <c r="A1370" t="s">
        <v>1409</v>
      </c>
      <c r="B1370">
        <v>2019</v>
      </c>
      <c r="C1370" t="s">
        <v>19</v>
      </c>
      <c r="D1370">
        <v>132</v>
      </c>
      <c r="E1370" t="s">
        <v>20</v>
      </c>
      <c r="F1370" t="s">
        <v>21</v>
      </c>
      <c r="G1370" t="s">
        <v>15</v>
      </c>
      <c r="H1370">
        <v>-0.57439805916749376</v>
      </c>
      <c r="I1370">
        <v>3</v>
      </c>
      <c r="J1370" t="s">
        <v>16</v>
      </c>
      <c r="K1370" s="59" t="s">
        <v>4376</v>
      </c>
    </row>
    <row r="1371" spans="1:11" x14ac:dyDescent="0.2">
      <c r="A1371" t="s">
        <v>1410</v>
      </c>
      <c r="B1371">
        <v>2019</v>
      </c>
      <c r="C1371" t="s">
        <v>33</v>
      </c>
      <c r="D1371">
        <v>422</v>
      </c>
      <c r="E1371" t="s">
        <v>13</v>
      </c>
      <c r="F1371" t="s">
        <v>14</v>
      </c>
      <c r="G1371" t="s">
        <v>22</v>
      </c>
      <c r="H1371">
        <v>0.96839016046441762</v>
      </c>
      <c r="I1371">
        <v>4</v>
      </c>
      <c r="J1371" t="s">
        <v>23</v>
      </c>
      <c r="K1371" s="59" t="s">
        <v>4376</v>
      </c>
    </row>
    <row r="1372" spans="1:11" x14ac:dyDescent="0.2">
      <c r="A1372" t="s">
        <v>1411</v>
      </c>
      <c r="B1372">
        <v>2018</v>
      </c>
      <c r="C1372" t="s">
        <v>12</v>
      </c>
      <c r="D1372">
        <v>265</v>
      </c>
      <c r="E1372" t="s">
        <v>13</v>
      </c>
      <c r="F1372" t="s">
        <v>14</v>
      </c>
      <c r="G1372" t="s">
        <v>15</v>
      </c>
      <c r="H1372">
        <v>0.1341502229274405</v>
      </c>
      <c r="I1372">
        <v>4</v>
      </c>
      <c r="J1372" t="s">
        <v>17</v>
      </c>
      <c r="K1372" s="59" t="s">
        <v>17</v>
      </c>
    </row>
    <row r="1373" spans="1:11" x14ac:dyDescent="0.2">
      <c r="A1373" t="s">
        <v>1412</v>
      </c>
      <c r="B1373">
        <v>2023</v>
      </c>
      <c r="C1373" t="s">
        <v>33</v>
      </c>
      <c r="D1373">
        <v>347</v>
      </c>
      <c r="E1373" t="s">
        <v>13</v>
      </c>
      <c r="F1373" t="s">
        <v>14</v>
      </c>
      <c r="G1373" t="s">
        <v>15</v>
      </c>
      <c r="H1373">
        <v>1.056870109896805</v>
      </c>
      <c r="I1373">
        <v>4</v>
      </c>
      <c r="J1373" t="s">
        <v>23</v>
      </c>
      <c r="K1373" s="59" t="s">
        <v>4376</v>
      </c>
    </row>
    <row r="1374" spans="1:11" x14ac:dyDescent="0.2">
      <c r="A1374" t="s">
        <v>1413</v>
      </c>
      <c r="B1374">
        <v>2019</v>
      </c>
      <c r="C1374" t="s">
        <v>33</v>
      </c>
      <c r="D1374">
        <v>430</v>
      </c>
      <c r="E1374" t="s">
        <v>13</v>
      </c>
      <c r="F1374" t="s">
        <v>14</v>
      </c>
      <c r="G1374" t="s">
        <v>22</v>
      </c>
      <c r="H1374">
        <v>0.9731412711476114</v>
      </c>
      <c r="I1374">
        <v>4</v>
      </c>
      <c r="J1374" t="s">
        <v>23</v>
      </c>
      <c r="K1374" s="59" t="s">
        <v>4376</v>
      </c>
    </row>
    <row r="1375" spans="1:11" x14ac:dyDescent="0.2">
      <c r="A1375" t="s">
        <v>1414</v>
      </c>
      <c r="B1375">
        <v>2023</v>
      </c>
      <c r="C1375" t="s">
        <v>33</v>
      </c>
      <c r="D1375">
        <v>157</v>
      </c>
      <c r="E1375" t="s">
        <v>53</v>
      </c>
      <c r="F1375" t="s">
        <v>54</v>
      </c>
      <c r="G1375" t="s">
        <v>15</v>
      </c>
      <c r="H1375">
        <v>-1.04784616478901</v>
      </c>
      <c r="I1375">
        <v>3</v>
      </c>
      <c r="J1375" t="s">
        <v>23</v>
      </c>
      <c r="K1375" s="59" t="s">
        <v>4376</v>
      </c>
    </row>
    <row r="1376" spans="1:11" x14ac:dyDescent="0.2">
      <c r="A1376" t="s">
        <v>1415</v>
      </c>
      <c r="B1376">
        <v>2021</v>
      </c>
      <c r="C1376" t="s">
        <v>33</v>
      </c>
      <c r="D1376">
        <v>367</v>
      </c>
      <c r="E1376" t="s">
        <v>38</v>
      </c>
      <c r="F1376" t="s">
        <v>39</v>
      </c>
      <c r="G1376" t="s">
        <v>15</v>
      </c>
      <c r="H1376">
        <v>0.69029355547504967</v>
      </c>
      <c r="I1376">
        <v>3</v>
      </c>
      <c r="J1376" t="s">
        <v>23</v>
      </c>
      <c r="K1376" s="59" t="s">
        <v>4376</v>
      </c>
    </row>
    <row r="1377" spans="1:11" x14ac:dyDescent="0.2">
      <c r="A1377" t="s">
        <v>1416</v>
      </c>
      <c r="B1377">
        <v>2022</v>
      </c>
      <c r="C1377" t="s">
        <v>19</v>
      </c>
      <c r="D1377">
        <v>69</v>
      </c>
      <c r="E1377" t="s">
        <v>20</v>
      </c>
      <c r="F1377" t="s">
        <v>21</v>
      </c>
      <c r="G1377" t="s">
        <v>15</v>
      </c>
      <c r="H1377">
        <v>-0.17617336389942639</v>
      </c>
      <c r="I1377">
        <v>3</v>
      </c>
      <c r="J1377" t="s">
        <v>16</v>
      </c>
      <c r="K1377" s="59" t="s">
        <v>17</v>
      </c>
    </row>
    <row r="1378" spans="1:11" x14ac:dyDescent="0.2">
      <c r="A1378" t="s">
        <v>1417</v>
      </c>
      <c r="B1378">
        <v>2023</v>
      </c>
      <c r="C1378" t="s">
        <v>33</v>
      </c>
      <c r="D1378">
        <v>391</v>
      </c>
      <c r="E1378" t="s">
        <v>25</v>
      </c>
      <c r="F1378" t="s">
        <v>26</v>
      </c>
      <c r="G1378" t="s">
        <v>57</v>
      </c>
      <c r="H1378">
        <v>-6.2379485343593853E-2</v>
      </c>
      <c r="I1378">
        <v>2</v>
      </c>
      <c r="J1378" t="s">
        <v>17</v>
      </c>
      <c r="K1378" s="59" t="s">
        <v>23</v>
      </c>
    </row>
    <row r="1379" spans="1:11" x14ac:dyDescent="0.2">
      <c r="A1379" t="s">
        <v>1418</v>
      </c>
      <c r="B1379">
        <v>2024</v>
      </c>
      <c r="C1379" t="s">
        <v>19</v>
      </c>
      <c r="D1379">
        <v>131</v>
      </c>
      <c r="E1379" t="s">
        <v>25</v>
      </c>
      <c r="F1379" t="s">
        <v>26</v>
      </c>
      <c r="G1379" t="s">
        <v>15</v>
      </c>
      <c r="H1379">
        <v>-1.164249675466811</v>
      </c>
      <c r="I1379">
        <v>2</v>
      </c>
      <c r="J1379" t="s">
        <v>23</v>
      </c>
      <c r="K1379" s="59" t="s">
        <v>17</v>
      </c>
    </row>
    <row r="1380" spans="1:11" x14ac:dyDescent="0.2">
      <c r="A1380" t="s">
        <v>1419</v>
      </c>
      <c r="B1380">
        <v>2024</v>
      </c>
      <c r="C1380" t="s">
        <v>33</v>
      </c>
      <c r="D1380">
        <v>230</v>
      </c>
      <c r="E1380" t="s">
        <v>25</v>
      </c>
      <c r="F1380" t="s">
        <v>26</v>
      </c>
      <c r="G1380" t="s">
        <v>15</v>
      </c>
      <c r="H1380">
        <v>0.35970225732901118</v>
      </c>
      <c r="I1380">
        <v>2</v>
      </c>
      <c r="J1380" t="s">
        <v>17</v>
      </c>
      <c r="K1380" s="59" t="s">
        <v>4376</v>
      </c>
    </row>
    <row r="1381" spans="1:11" x14ac:dyDescent="0.2">
      <c r="A1381" t="s">
        <v>1420</v>
      </c>
      <c r="B1381">
        <v>2018</v>
      </c>
      <c r="C1381" t="s">
        <v>19</v>
      </c>
      <c r="D1381">
        <v>124</v>
      </c>
      <c r="E1381" t="s">
        <v>20</v>
      </c>
      <c r="F1381" t="s">
        <v>21</v>
      </c>
      <c r="G1381" t="s">
        <v>15</v>
      </c>
      <c r="H1381">
        <v>0.81519653537318315</v>
      </c>
      <c r="I1381">
        <v>3</v>
      </c>
      <c r="J1381" t="s">
        <v>23</v>
      </c>
      <c r="K1381" s="59" t="s">
        <v>17</v>
      </c>
    </row>
    <row r="1382" spans="1:11" x14ac:dyDescent="0.2">
      <c r="A1382" t="s">
        <v>1421</v>
      </c>
      <c r="B1382">
        <v>2023</v>
      </c>
      <c r="C1382" t="s">
        <v>19</v>
      </c>
      <c r="D1382">
        <v>159</v>
      </c>
      <c r="E1382" t="s">
        <v>53</v>
      </c>
      <c r="F1382" t="s">
        <v>54</v>
      </c>
      <c r="G1382" t="s">
        <v>15</v>
      </c>
      <c r="H1382">
        <v>-1.017373466990579</v>
      </c>
      <c r="I1382">
        <v>3</v>
      </c>
      <c r="J1382" t="s">
        <v>23</v>
      </c>
      <c r="K1382" s="59" t="s">
        <v>17</v>
      </c>
    </row>
    <row r="1383" spans="1:11" x14ac:dyDescent="0.2">
      <c r="A1383" t="s">
        <v>1422</v>
      </c>
      <c r="B1383">
        <v>2025</v>
      </c>
      <c r="C1383" t="s">
        <v>19</v>
      </c>
      <c r="D1383">
        <v>187</v>
      </c>
      <c r="E1383" t="s">
        <v>20</v>
      </c>
      <c r="F1383" t="s">
        <v>21</v>
      </c>
      <c r="G1383" t="s">
        <v>41</v>
      </c>
      <c r="H1383">
        <v>1.1228459589784121</v>
      </c>
      <c r="I1383">
        <v>3</v>
      </c>
      <c r="J1383" t="s">
        <v>23</v>
      </c>
      <c r="K1383" s="59" t="s">
        <v>4376</v>
      </c>
    </row>
    <row r="1384" spans="1:11" x14ac:dyDescent="0.2">
      <c r="A1384" t="s">
        <v>1423</v>
      </c>
      <c r="B1384">
        <v>2019</v>
      </c>
      <c r="C1384" t="s">
        <v>19</v>
      </c>
      <c r="D1384">
        <v>114</v>
      </c>
      <c r="E1384" t="s">
        <v>25</v>
      </c>
      <c r="F1384" t="s">
        <v>26</v>
      </c>
      <c r="G1384" t="s">
        <v>44</v>
      </c>
      <c r="H1384">
        <v>-0.15612543873718951</v>
      </c>
      <c r="I1384">
        <v>2</v>
      </c>
      <c r="J1384" t="s">
        <v>16</v>
      </c>
      <c r="K1384" s="59" t="s">
        <v>23</v>
      </c>
    </row>
    <row r="1385" spans="1:11" x14ac:dyDescent="0.2">
      <c r="A1385" t="s">
        <v>1424</v>
      </c>
      <c r="B1385">
        <v>2025</v>
      </c>
      <c r="C1385" t="s">
        <v>33</v>
      </c>
      <c r="D1385">
        <v>325</v>
      </c>
      <c r="E1385" t="s">
        <v>20</v>
      </c>
      <c r="F1385" t="s">
        <v>21</v>
      </c>
      <c r="G1385" t="s">
        <v>15</v>
      </c>
      <c r="H1385">
        <v>-0.28595962074024678</v>
      </c>
      <c r="I1385">
        <v>3</v>
      </c>
      <c r="J1385" t="s">
        <v>16</v>
      </c>
      <c r="K1385" s="59" t="s">
        <v>4376</v>
      </c>
    </row>
    <row r="1386" spans="1:11" x14ac:dyDescent="0.2">
      <c r="A1386" t="s">
        <v>1425</v>
      </c>
      <c r="B1386">
        <v>2019</v>
      </c>
      <c r="C1386" t="s">
        <v>33</v>
      </c>
      <c r="D1386">
        <v>71</v>
      </c>
      <c r="E1386" t="s">
        <v>13</v>
      </c>
      <c r="F1386" t="s">
        <v>14</v>
      </c>
      <c r="G1386" t="s">
        <v>15</v>
      </c>
      <c r="H1386">
        <v>-0.15612543873718959</v>
      </c>
      <c r="I1386">
        <v>4</v>
      </c>
      <c r="J1386" t="s">
        <v>17</v>
      </c>
      <c r="K1386" s="59" t="s">
        <v>4376</v>
      </c>
    </row>
    <row r="1387" spans="1:11" x14ac:dyDescent="0.2">
      <c r="A1387" t="s">
        <v>1426</v>
      </c>
      <c r="B1387">
        <v>2019</v>
      </c>
      <c r="C1387" t="s">
        <v>33</v>
      </c>
      <c r="D1387">
        <v>425</v>
      </c>
      <c r="E1387" t="s">
        <v>13</v>
      </c>
      <c r="F1387" t="s">
        <v>14</v>
      </c>
      <c r="G1387" t="s">
        <v>57</v>
      </c>
      <c r="H1387">
        <v>0.9701942660953784</v>
      </c>
      <c r="I1387">
        <v>4</v>
      </c>
      <c r="J1387" t="s">
        <v>23</v>
      </c>
      <c r="K1387" s="59" t="s">
        <v>4376</v>
      </c>
    </row>
    <row r="1388" spans="1:11" x14ac:dyDescent="0.2">
      <c r="A1388" t="s">
        <v>1427</v>
      </c>
      <c r="B1388">
        <v>2019</v>
      </c>
      <c r="C1388" t="s">
        <v>12</v>
      </c>
      <c r="D1388">
        <v>272</v>
      </c>
      <c r="E1388" t="s">
        <v>25</v>
      </c>
      <c r="F1388" t="s">
        <v>26</v>
      </c>
      <c r="G1388" t="s">
        <v>15</v>
      </c>
      <c r="H1388">
        <v>0.27116466770570807</v>
      </c>
      <c r="I1388">
        <v>2</v>
      </c>
      <c r="J1388" t="s">
        <v>23</v>
      </c>
      <c r="K1388" s="59" t="s">
        <v>17</v>
      </c>
    </row>
    <row r="1389" spans="1:11" x14ac:dyDescent="0.2">
      <c r="A1389" t="s">
        <v>1428</v>
      </c>
      <c r="B1389">
        <v>2023</v>
      </c>
      <c r="C1389" t="s">
        <v>33</v>
      </c>
      <c r="D1389">
        <v>57</v>
      </c>
      <c r="E1389" t="s">
        <v>20</v>
      </c>
      <c r="F1389" t="s">
        <v>21</v>
      </c>
      <c r="G1389" t="s">
        <v>167</v>
      </c>
      <c r="H1389">
        <v>0.38200307877548229</v>
      </c>
      <c r="I1389">
        <v>3</v>
      </c>
      <c r="J1389" t="s">
        <v>17</v>
      </c>
      <c r="K1389" s="59" t="s">
        <v>4376</v>
      </c>
    </row>
    <row r="1390" spans="1:11" x14ac:dyDescent="0.2">
      <c r="A1390" t="s">
        <v>1429</v>
      </c>
      <c r="B1390">
        <v>2022</v>
      </c>
      <c r="C1390" t="s">
        <v>19</v>
      </c>
      <c r="D1390">
        <v>155</v>
      </c>
      <c r="E1390" t="s">
        <v>25</v>
      </c>
      <c r="F1390" t="s">
        <v>26</v>
      </c>
      <c r="G1390" t="s">
        <v>80</v>
      </c>
      <c r="H1390">
        <v>0.57156006107048651</v>
      </c>
      <c r="I1390">
        <v>2</v>
      </c>
      <c r="J1390" t="s">
        <v>23</v>
      </c>
      <c r="K1390" s="59" t="s">
        <v>23</v>
      </c>
    </row>
    <row r="1391" spans="1:11" x14ac:dyDescent="0.2">
      <c r="A1391" t="s">
        <v>1430</v>
      </c>
      <c r="B1391">
        <v>2023</v>
      </c>
      <c r="C1391" t="s">
        <v>12</v>
      </c>
      <c r="D1391">
        <v>393</v>
      </c>
      <c r="E1391" t="s">
        <v>38</v>
      </c>
      <c r="F1391" t="s">
        <v>39</v>
      </c>
      <c r="G1391" t="s">
        <v>15</v>
      </c>
      <c r="H1391">
        <v>-5.0426212774462454E-3</v>
      </c>
      <c r="I1391">
        <v>3</v>
      </c>
      <c r="J1391" t="s">
        <v>16</v>
      </c>
      <c r="K1391" s="59" t="s">
        <v>4376</v>
      </c>
    </row>
    <row r="1392" spans="1:11" x14ac:dyDescent="0.2">
      <c r="A1392" t="s">
        <v>1431</v>
      </c>
      <c r="B1392">
        <v>2022</v>
      </c>
      <c r="C1392" t="s">
        <v>19</v>
      </c>
      <c r="D1392">
        <v>69</v>
      </c>
      <c r="E1392" t="s">
        <v>20</v>
      </c>
      <c r="F1392" t="s">
        <v>21</v>
      </c>
      <c r="G1392" t="s">
        <v>15</v>
      </c>
      <c r="H1392">
        <v>-0.17617336389942639</v>
      </c>
      <c r="I1392">
        <v>3</v>
      </c>
      <c r="J1392" t="s">
        <v>16</v>
      </c>
      <c r="K1392" s="59" t="s">
        <v>23</v>
      </c>
    </row>
    <row r="1393" spans="1:11" x14ac:dyDescent="0.2">
      <c r="A1393" t="s">
        <v>1432</v>
      </c>
      <c r="B1393">
        <v>2022</v>
      </c>
      <c r="C1393" t="s">
        <v>19</v>
      </c>
      <c r="D1393">
        <v>351</v>
      </c>
      <c r="E1393" t="s">
        <v>53</v>
      </c>
      <c r="F1393" t="s">
        <v>54</v>
      </c>
      <c r="G1393" t="s">
        <v>36</v>
      </c>
      <c r="H1393">
        <v>5.0977316183616617E-2</v>
      </c>
      <c r="I1393">
        <v>3</v>
      </c>
      <c r="J1393" t="s">
        <v>16</v>
      </c>
      <c r="K1393" s="59" t="s">
        <v>4376</v>
      </c>
    </row>
    <row r="1394" spans="1:11" x14ac:dyDescent="0.2">
      <c r="A1394" t="s">
        <v>1433</v>
      </c>
      <c r="B1394">
        <v>2023</v>
      </c>
      <c r="C1394" t="s">
        <v>12</v>
      </c>
      <c r="D1394">
        <v>90</v>
      </c>
      <c r="E1394" t="s">
        <v>20</v>
      </c>
      <c r="F1394" t="s">
        <v>21</v>
      </c>
      <c r="G1394" t="s">
        <v>36</v>
      </c>
      <c r="H1394">
        <v>0.12592812906255571</v>
      </c>
      <c r="I1394">
        <v>3</v>
      </c>
      <c r="J1394" t="s">
        <v>17</v>
      </c>
      <c r="K1394" s="59" t="s">
        <v>17</v>
      </c>
    </row>
    <row r="1395" spans="1:11" x14ac:dyDescent="0.2">
      <c r="A1395" t="s">
        <v>1434</v>
      </c>
      <c r="B1395">
        <v>2025</v>
      </c>
      <c r="C1395" t="s">
        <v>19</v>
      </c>
      <c r="D1395">
        <v>274</v>
      </c>
      <c r="E1395" t="s">
        <v>20</v>
      </c>
      <c r="F1395" t="s">
        <v>21</v>
      </c>
      <c r="G1395" t="s">
        <v>15</v>
      </c>
      <c r="H1395">
        <v>0.76991298489218651</v>
      </c>
      <c r="I1395">
        <v>3</v>
      </c>
      <c r="J1395" t="s">
        <v>17</v>
      </c>
      <c r="K1395" s="59" t="s">
        <v>16</v>
      </c>
    </row>
    <row r="1396" spans="1:11" x14ac:dyDescent="0.2">
      <c r="A1396" t="s">
        <v>1435</v>
      </c>
      <c r="B1396">
        <v>2025</v>
      </c>
      <c r="C1396" t="s">
        <v>33</v>
      </c>
      <c r="D1396">
        <v>399</v>
      </c>
      <c r="E1396" t="s">
        <v>20</v>
      </c>
      <c r="F1396" t="s">
        <v>21</v>
      </c>
      <c r="G1396" t="s">
        <v>41</v>
      </c>
      <c r="H1396">
        <v>0.71205523618325439</v>
      </c>
      <c r="I1396">
        <v>3</v>
      </c>
      <c r="J1396" t="s">
        <v>16</v>
      </c>
      <c r="K1396" s="59" t="s">
        <v>4376</v>
      </c>
    </row>
    <row r="1397" spans="1:11" x14ac:dyDescent="0.2">
      <c r="A1397" t="s">
        <v>1436</v>
      </c>
      <c r="B1397">
        <v>2023</v>
      </c>
      <c r="C1397" t="s">
        <v>33</v>
      </c>
      <c r="D1397">
        <v>372</v>
      </c>
      <c r="E1397" t="s">
        <v>20</v>
      </c>
      <c r="F1397" t="s">
        <v>21</v>
      </c>
      <c r="G1397" t="s">
        <v>44</v>
      </c>
      <c r="H1397">
        <v>-0.26263004116157262</v>
      </c>
      <c r="I1397">
        <v>3</v>
      </c>
      <c r="J1397" t="s">
        <v>17</v>
      </c>
      <c r="K1397" s="59" t="s">
        <v>23</v>
      </c>
    </row>
    <row r="1398" spans="1:11" x14ac:dyDescent="0.2">
      <c r="A1398" t="s">
        <v>1437</v>
      </c>
      <c r="B1398">
        <v>2019</v>
      </c>
      <c r="C1398" t="s">
        <v>12</v>
      </c>
      <c r="D1398">
        <v>29</v>
      </c>
      <c r="E1398" t="s">
        <v>13</v>
      </c>
      <c r="F1398" t="s">
        <v>14</v>
      </c>
      <c r="G1398" t="s">
        <v>147</v>
      </c>
      <c r="H1398">
        <v>1.207133472294913</v>
      </c>
      <c r="I1398">
        <v>4</v>
      </c>
      <c r="J1398" t="s">
        <v>23</v>
      </c>
      <c r="K1398" s="59" t="s">
        <v>17</v>
      </c>
    </row>
    <row r="1399" spans="1:11" x14ac:dyDescent="0.2">
      <c r="A1399" t="s">
        <v>1438</v>
      </c>
      <c r="B1399">
        <v>2021</v>
      </c>
      <c r="C1399" t="s">
        <v>12</v>
      </c>
      <c r="D1399">
        <v>442</v>
      </c>
      <c r="E1399" t="s">
        <v>38</v>
      </c>
      <c r="F1399" t="s">
        <v>39</v>
      </c>
      <c r="G1399" t="s">
        <v>15</v>
      </c>
      <c r="H1399">
        <v>0.62378547315559441</v>
      </c>
      <c r="I1399">
        <v>3</v>
      </c>
      <c r="J1399" t="s">
        <v>23</v>
      </c>
      <c r="K1399" s="59" t="s">
        <v>17</v>
      </c>
    </row>
    <row r="1400" spans="1:11" x14ac:dyDescent="0.2">
      <c r="A1400" t="s">
        <v>1439</v>
      </c>
      <c r="B1400">
        <v>2017</v>
      </c>
      <c r="C1400" t="s">
        <v>19</v>
      </c>
      <c r="D1400">
        <v>61</v>
      </c>
      <c r="E1400" t="s">
        <v>20</v>
      </c>
      <c r="F1400" t="s">
        <v>21</v>
      </c>
      <c r="G1400" t="s">
        <v>15</v>
      </c>
      <c r="H1400">
        <v>-0.33491349264303921</v>
      </c>
      <c r="I1400">
        <v>3</v>
      </c>
      <c r="J1400" t="s">
        <v>23</v>
      </c>
      <c r="K1400" s="59" t="s">
        <v>16</v>
      </c>
    </row>
    <row r="1401" spans="1:11" x14ac:dyDescent="0.2">
      <c r="A1401" t="s">
        <v>1440</v>
      </c>
      <c r="B1401">
        <v>2023</v>
      </c>
      <c r="C1401" t="s">
        <v>12</v>
      </c>
      <c r="D1401">
        <v>393</v>
      </c>
      <c r="E1401" t="s">
        <v>38</v>
      </c>
      <c r="F1401" t="s">
        <v>39</v>
      </c>
      <c r="G1401" t="s">
        <v>15</v>
      </c>
      <c r="H1401">
        <v>-5.0426212774462454E-3</v>
      </c>
      <c r="I1401">
        <v>3</v>
      </c>
      <c r="J1401" t="s">
        <v>16</v>
      </c>
      <c r="K1401" s="59" t="s">
        <v>4376</v>
      </c>
    </row>
    <row r="1402" spans="1:11" x14ac:dyDescent="0.2">
      <c r="A1402" t="s">
        <v>1441</v>
      </c>
      <c r="B1402">
        <v>2023</v>
      </c>
      <c r="C1402" t="s">
        <v>19</v>
      </c>
      <c r="D1402">
        <v>156</v>
      </c>
      <c r="E1402" t="s">
        <v>53</v>
      </c>
      <c r="F1402" t="s">
        <v>54</v>
      </c>
      <c r="G1402" t="s">
        <v>15</v>
      </c>
      <c r="H1402">
        <v>-1.04784616478901</v>
      </c>
      <c r="I1402">
        <v>3</v>
      </c>
      <c r="J1402" t="s">
        <v>23</v>
      </c>
      <c r="K1402" s="59" t="s">
        <v>16</v>
      </c>
    </row>
    <row r="1403" spans="1:11" x14ac:dyDescent="0.2">
      <c r="A1403" t="s">
        <v>1442</v>
      </c>
      <c r="B1403">
        <v>2019</v>
      </c>
      <c r="C1403" t="s">
        <v>33</v>
      </c>
      <c r="D1403">
        <v>66</v>
      </c>
      <c r="E1403" t="s">
        <v>38</v>
      </c>
      <c r="F1403" t="s">
        <v>39</v>
      </c>
      <c r="G1403" t="s">
        <v>15</v>
      </c>
      <c r="H1403">
        <v>0.47225171556667001</v>
      </c>
      <c r="I1403">
        <v>3</v>
      </c>
      <c r="J1403" t="s">
        <v>23</v>
      </c>
      <c r="K1403" s="59" t="s">
        <v>4376</v>
      </c>
    </row>
    <row r="1404" spans="1:11" x14ac:dyDescent="0.2">
      <c r="A1404" t="s">
        <v>1443</v>
      </c>
      <c r="B1404">
        <v>2025</v>
      </c>
      <c r="C1404" t="s">
        <v>33</v>
      </c>
      <c r="D1404">
        <v>133</v>
      </c>
      <c r="E1404" t="s">
        <v>20</v>
      </c>
      <c r="F1404" t="s">
        <v>21</v>
      </c>
      <c r="G1404" t="s">
        <v>15</v>
      </c>
      <c r="H1404">
        <v>-0.26263004116157262</v>
      </c>
      <c r="I1404">
        <v>3</v>
      </c>
      <c r="J1404" t="s">
        <v>16</v>
      </c>
      <c r="K1404" s="59" t="s">
        <v>23</v>
      </c>
    </row>
    <row r="1405" spans="1:11" x14ac:dyDescent="0.2">
      <c r="A1405" t="s">
        <v>1444</v>
      </c>
      <c r="B1405">
        <v>2025</v>
      </c>
      <c r="C1405" t="s">
        <v>33</v>
      </c>
      <c r="D1405">
        <v>242</v>
      </c>
      <c r="E1405" t="s">
        <v>20</v>
      </c>
      <c r="F1405" t="s">
        <v>21</v>
      </c>
      <c r="G1405" t="s">
        <v>147</v>
      </c>
      <c r="H1405">
        <v>0.87498352575107419</v>
      </c>
      <c r="I1405">
        <v>3</v>
      </c>
      <c r="J1405" t="s">
        <v>16</v>
      </c>
      <c r="K1405" s="59" t="s">
        <v>4376</v>
      </c>
    </row>
    <row r="1406" spans="1:11" x14ac:dyDescent="0.2">
      <c r="A1406" t="s">
        <v>1445</v>
      </c>
      <c r="B1406">
        <v>2022</v>
      </c>
      <c r="C1406" t="s">
        <v>19</v>
      </c>
      <c r="D1406">
        <v>72</v>
      </c>
      <c r="E1406" t="s">
        <v>20</v>
      </c>
      <c r="F1406" t="s">
        <v>21</v>
      </c>
      <c r="G1406" t="s">
        <v>15</v>
      </c>
      <c r="H1406">
        <v>-0.1177237792714966</v>
      </c>
      <c r="I1406">
        <v>3</v>
      </c>
      <c r="J1406" t="s">
        <v>16</v>
      </c>
      <c r="K1406" s="59" t="s">
        <v>17</v>
      </c>
    </row>
    <row r="1407" spans="1:11" x14ac:dyDescent="0.2">
      <c r="A1407" t="s">
        <v>1446</v>
      </c>
      <c r="B1407">
        <v>2023</v>
      </c>
      <c r="C1407" t="s">
        <v>33</v>
      </c>
      <c r="D1407">
        <v>157</v>
      </c>
      <c r="E1407" t="s">
        <v>53</v>
      </c>
      <c r="F1407" t="s">
        <v>54</v>
      </c>
      <c r="G1407" t="s">
        <v>15</v>
      </c>
      <c r="H1407">
        <v>-1.04784616478901</v>
      </c>
      <c r="I1407">
        <v>3</v>
      </c>
      <c r="J1407" t="s">
        <v>23</v>
      </c>
      <c r="K1407" s="59" t="s">
        <v>4376</v>
      </c>
    </row>
    <row r="1408" spans="1:11" x14ac:dyDescent="0.2">
      <c r="A1408" t="s">
        <v>1447</v>
      </c>
      <c r="B1408">
        <v>2022</v>
      </c>
      <c r="C1408" t="s">
        <v>19</v>
      </c>
      <c r="D1408">
        <v>175</v>
      </c>
      <c r="E1408" t="s">
        <v>13</v>
      </c>
      <c r="F1408" t="s">
        <v>14</v>
      </c>
      <c r="G1408" t="s">
        <v>15</v>
      </c>
      <c r="H1408">
        <v>0.60799420566296958</v>
      </c>
      <c r="I1408">
        <v>4</v>
      </c>
      <c r="J1408" t="s">
        <v>23</v>
      </c>
      <c r="K1408" s="59" t="s">
        <v>17</v>
      </c>
    </row>
    <row r="1409" spans="1:11" x14ac:dyDescent="0.2">
      <c r="A1409" t="s">
        <v>1448</v>
      </c>
      <c r="B1409">
        <v>2024</v>
      </c>
      <c r="C1409" t="s">
        <v>12</v>
      </c>
      <c r="D1409">
        <v>86</v>
      </c>
      <c r="E1409" t="s">
        <v>25</v>
      </c>
      <c r="F1409" t="s">
        <v>26</v>
      </c>
      <c r="G1409" t="s">
        <v>15</v>
      </c>
      <c r="H1409">
        <v>-0.49283396495596171</v>
      </c>
      <c r="I1409">
        <v>2</v>
      </c>
      <c r="J1409" t="s">
        <v>23</v>
      </c>
      <c r="K1409" s="59" t="s">
        <v>16</v>
      </c>
    </row>
    <row r="1410" spans="1:11" x14ac:dyDescent="0.2">
      <c r="A1410" t="s">
        <v>1449</v>
      </c>
      <c r="B1410">
        <v>2019</v>
      </c>
      <c r="C1410" t="s">
        <v>19</v>
      </c>
      <c r="D1410">
        <v>56</v>
      </c>
      <c r="E1410" t="s">
        <v>20</v>
      </c>
      <c r="F1410" t="s">
        <v>21</v>
      </c>
      <c r="G1410" t="s">
        <v>15</v>
      </c>
      <c r="H1410">
        <v>0.28492891483201988</v>
      </c>
      <c r="I1410">
        <v>3</v>
      </c>
      <c r="J1410" t="s">
        <v>23</v>
      </c>
      <c r="K1410" s="59" t="s">
        <v>17</v>
      </c>
    </row>
    <row r="1411" spans="1:11" x14ac:dyDescent="0.2">
      <c r="A1411" t="s">
        <v>1450</v>
      </c>
      <c r="B1411">
        <v>2022</v>
      </c>
      <c r="C1411" t="s">
        <v>12</v>
      </c>
      <c r="D1411">
        <v>142</v>
      </c>
      <c r="E1411" t="s">
        <v>25</v>
      </c>
      <c r="F1411" t="s">
        <v>26</v>
      </c>
      <c r="G1411" t="s">
        <v>15</v>
      </c>
      <c r="H1411">
        <v>5.5749795421655927E-3</v>
      </c>
      <c r="I1411">
        <v>2</v>
      </c>
      <c r="J1411" t="s">
        <v>23</v>
      </c>
      <c r="K1411" s="59" t="s">
        <v>17</v>
      </c>
    </row>
    <row r="1412" spans="1:11" x14ac:dyDescent="0.2">
      <c r="A1412" t="s">
        <v>1451</v>
      </c>
      <c r="B1412">
        <v>2021</v>
      </c>
      <c r="C1412" t="s">
        <v>33</v>
      </c>
      <c r="D1412">
        <v>344</v>
      </c>
      <c r="E1412" t="s">
        <v>38</v>
      </c>
      <c r="F1412" t="s">
        <v>39</v>
      </c>
      <c r="G1412" t="s">
        <v>15</v>
      </c>
      <c r="H1412">
        <v>0.79214142143661093</v>
      </c>
      <c r="I1412">
        <v>3</v>
      </c>
      <c r="J1412" t="s">
        <v>23</v>
      </c>
      <c r="K1412" s="59" t="s">
        <v>4376</v>
      </c>
    </row>
    <row r="1413" spans="1:11" x14ac:dyDescent="0.2">
      <c r="A1413" t="s">
        <v>1452</v>
      </c>
      <c r="B1413">
        <v>2022</v>
      </c>
      <c r="C1413" t="s">
        <v>19</v>
      </c>
      <c r="D1413">
        <v>92</v>
      </c>
      <c r="E1413" t="s">
        <v>20</v>
      </c>
      <c r="F1413" t="s">
        <v>21</v>
      </c>
      <c r="G1413" t="s">
        <v>15</v>
      </c>
      <c r="H1413">
        <v>-0.86022619498453923</v>
      </c>
      <c r="I1413">
        <v>3</v>
      </c>
      <c r="J1413" t="s">
        <v>16</v>
      </c>
      <c r="K1413" s="59" t="s">
        <v>4376</v>
      </c>
    </row>
    <row r="1414" spans="1:11" x14ac:dyDescent="0.2">
      <c r="A1414" t="s">
        <v>1453</v>
      </c>
      <c r="B1414">
        <v>2018</v>
      </c>
      <c r="C1414" t="s">
        <v>19</v>
      </c>
      <c r="D1414">
        <v>103</v>
      </c>
      <c r="E1414" t="s">
        <v>20</v>
      </c>
      <c r="F1414" t="s">
        <v>21</v>
      </c>
      <c r="G1414" t="s">
        <v>36</v>
      </c>
      <c r="H1414">
        <v>-2.55546112215369</v>
      </c>
      <c r="I1414">
        <v>3</v>
      </c>
      <c r="J1414" t="s">
        <v>23</v>
      </c>
      <c r="K1414" s="59" t="s">
        <v>23</v>
      </c>
    </row>
    <row r="1415" spans="1:11" x14ac:dyDescent="0.2">
      <c r="A1415" t="s">
        <v>1454</v>
      </c>
      <c r="B1415">
        <v>2021</v>
      </c>
      <c r="C1415" t="s">
        <v>19</v>
      </c>
      <c r="D1415">
        <v>161</v>
      </c>
      <c r="E1415" t="s">
        <v>29</v>
      </c>
      <c r="F1415" t="s">
        <v>30</v>
      </c>
      <c r="G1415" t="s">
        <v>41</v>
      </c>
      <c r="H1415">
        <v>0.61553054863947199</v>
      </c>
      <c r="I1415">
        <v>4</v>
      </c>
      <c r="J1415" t="s">
        <v>16</v>
      </c>
      <c r="K1415" s="59" t="s">
        <v>17</v>
      </c>
    </row>
    <row r="1416" spans="1:11" x14ac:dyDescent="0.2">
      <c r="A1416" t="s">
        <v>1455</v>
      </c>
      <c r="B1416">
        <v>2021</v>
      </c>
      <c r="C1416" t="s">
        <v>33</v>
      </c>
      <c r="D1416">
        <v>344</v>
      </c>
      <c r="E1416" t="s">
        <v>38</v>
      </c>
      <c r="F1416" t="s">
        <v>39</v>
      </c>
      <c r="G1416" t="s">
        <v>15</v>
      </c>
      <c r="H1416">
        <v>0.79214142143661093</v>
      </c>
      <c r="I1416">
        <v>3</v>
      </c>
      <c r="J1416" t="s">
        <v>23</v>
      </c>
      <c r="K1416" s="59" t="s">
        <v>4376</v>
      </c>
    </row>
    <row r="1417" spans="1:11" x14ac:dyDescent="0.2">
      <c r="A1417" t="s">
        <v>1456</v>
      </c>
      <c r="B1417">
        <v>2022</v>
      </c>
      <c r="C1417" t="s">
        <v>19</v>
      </c>
      <c r="D1417">
        <v>109</v>
      </c>
      <c r="E1417" t="s">
        <v>25</v>
      </c>
      <c r="F1417" t="s">
        <v>26</v>
      </c>
      <c r="G1417" t="s">
        <v>15</v>
      </c>
      <c r="H1417">
        <v>-0.27187383684368882</v>
      </c>
      <c r="I1417">
        <v>2</v>
      </c>
      <c r="J1417" t="s">
        <v>23</v>
      </c>
      <c r="K1417" s="59" t="s">
        <v>17</v>
      </c>
    </row>
    <row r="1418" spans="1:11" x14ac:dyDescent="0.2">
      <c r="A1418" t="s">
        <v>1457</v>
      </c>
      <c r="B1418">
        <v>2024</v>
      </c>
      <c r="C1418" t="s">
        <v>33</v>
      </c>
      <c r="D1418">
        <v>209</v>
      </c>
      <c r="E1418" t="s">
        <v>20</v>
      </c>
      <c r="F1418" t="s">
        <v>21</v>
      </c>
      <c r="G1418" t="s">
        <v>41</v>
      </c>
      <c r="H1418">
        <v>-1.189711641957202</v>
      </c>
      <c r="I1418">
        <v>3</v>
      </c>
      <c r="J1418" t="s">
        <v>23</v>
      </c>
      <c r="K1418" s="59" t="s">
        <v>4376</v>
      </c>
    </row>
    <row r="1419" spans="1:11" x14ac:dyDescent="0.2">
      <c r="A1419" t="s">
        <v>1458</v>
      </c>
      <c r="B1419">
        <v>2024</v>
      </c>
      <c r="C1419" t="s">
        <v>19</v>
      </c>
      <c r="D1419">
        <v>288</v>
      </c>
      <c r="E1419" t="s">
        <v>38</v>
      </c>
      <c r="F1419" t="s">
        <v>39</v>
      </c>
      <c r="G1419" t="s">
        <v>15</v>
      </c>
      <c r="H1419">
        <v>-0.81104926260055954</v>
      </c>
      <c r="I1419">
        <v>3</v>
      </c>
      <c r="J1419" t="s">
        <v>17</v>
      </c>
      <c r="K1419" s="59" t="s">
        <v>16</v>
      </c>
    </row>
    <row r="1420" spans="1:11" x14ac:dyDescent="0.2">
      <c r="A1420" t="s">
        <v>1459</v>
      </c>
      <c r="B1420">
        <v>2025</v>
      </c>
      <c r="C1420" t="s">
        <v>33</v>
      </c>
      <c r="D1420">
        <v>283</v>
      </c>
      <c r="E1420" t="s">
        <v>20</v>
      </c>
      <c r="F1420" t="s">
        <v>21</v>
      </c>
      <c r="G1420" t="s">
        <v>41</v>
      </c>
      <c r="H1420">
        <v>1.383284904619285</v>
      </c>
      <c r="I1420">
        <v>3</v>
      </c>
      <c r="J1420" t="s">
        <v>23</v>
      </c>
      <c r="K1420" s="59" t="s">
        <v>23</v>
      </c>
    </row>
    <row r="1421" spans="1:11" x14ac:dyDescent="0.2">
      <c r="A1421" t="s">
        <v>1460</v>
      </c>
      <c r="B1421">
        <v>2024</v>
      </c>
      <c r="C1421" t="s">
        <v>33</v>
      </c>
      <c r="D1421">
        <v>48</v>
      </c>
      <c r="E1421" t="s">
        <v>13</v>
      </c>
      <c r="F1421" t="s">
        <v>14</v>
      </c>
      <c r="G1421" t="s">
        <v>15</v>
      </c>
      <c r="H1421">
        <v>-0.75255121231373412</v>
      </c>
      <c r="I1421">
        <v>4</v>
      </c>
      <c r="J1421" t="s">
        <v>23</v>
      </c>
      <c r="K1421" s="59" t="s">
        <v>17</v>
      </c>
    </row>
    <row r="1422" spans="1:11" x14ac:dyDescent="0.2">
      <c r="A1422" t="s">
        <v>1461</v>
      </c>
      <c r="B1422">
        <v>2025</v>
      </c>
      <c r="C1422" t="s">
        <v>33</v>
      </c>
      <c r="D1422">
        <v>264</v>
      </c>
      <c r="E1422" t="s">
        <v>20</v>
      </c>
      <c r="F1422" t="s">
        <v>21</v>
      </c>
      <c r="G1422" t="s">
        <v>41</v>
      </c>
      <c r="H1422">
        <v>-0.47259625736964178</v>
      </c>
      <c r="I1422">
        <v>3</v>
      </c>
      <c r="J1422" t="s">
        <v>23</v>
      </c>
      <c r="K1422" s="59" t="s">
        <v>17</v>
      </c>
    </row>
    <row r="1423" spans="1:11" x14ac:dyDescent="0.2">
      <c r="A1423" t="s">
        <v>1462</v>
      </c>
      <c r="B1423">
        <v>2025</v>
      </c>
      <c r="C1423" t="s">
        <v>33</v>
      </c>
      <c r="D1423">
        <v>44</v>
      </c>
      <c r="E1423" t="s">
        <v>20</v>
      </c>
      <c r="F1423" t="s">
        <v>21</v>
      </c>
      <c r="G1423" t="s">
        <v>15</v>
      </c>
      <c r="H1423">
        <v>1.207133472294913</v>
      </c>
      <c r="I1423">
        <v>3</v>
      </c>
      <c r="J1423" t="s">
        <v>17</v>
      </c>
      <c r="K1423" s="59" t="s">
        <v>4376</v>
      </c>
    </row>
    <row r="1424" spans="1:11" x14ac:dyDescent="0.2">
      <c r="A1424" t="s">
        <v>1463</v>
      </c>
      <c r="B1424">
        <v>2023</v>
      </c>
      <c r="C1424" t="s">
        <v>33</v>
      </c>
      <c r="D1424">
        <v>395</v>
      </c>
      <c r="E1424" t="s">
        <v>38</v>
      </c>
      <c r="F1424" t="s">
        <v>39</v>
      </c>
      <c r="G1424" t="s">
        <v>15</v>
      </c>
      <c r="H1424">
        <v>1.173666381899163E-3</v>
      </c>
      <c r="I1424">
        <v>3</v>
      </c>
      <c r="J1424" t="s">
        <v>16</v>
      </c>
      <c r="K1424" s="59" t="s">
        <v>4376</v>
      </c>
    </row>
    <row r="1425" spans="1:11" x14ac:dyDescent="0.2">
      <c r="A1425" t="s">
        <v>1464</v>
      </c>
      <c r="B1425">
        <v>2025</v>
      </c>
      <c r="C1425" t="s">
        <v>19</v>
      </c>
      <c r="D1425">
        <v>99</v>
      </c>
      <c r="E1425" t="s">
        <v>25</v>
      </c>
      <c r="F1425" t="s">
        <v>26</v>
      </c>
      <c r="G1425" t="s">
        <v>15</v>
      </c>
      <c r="H1425">
        <v>3.9661745294016677E-2</v>
      </c>
      <c r="I1425">
        <v>2</v>
      </c>
      <c r="J1425" t="s">
        <v>23</v>
      </c>
      <c r="K1425" s="59" t="s">
        <v>17</v>
      </c>
    </row>
    <row r="1426" spans="1:11" x14ac:dyDescent="0.2">
      <c r="A1426" t="s">
        <v>1465</v>
      </c>
      <c r="B1426">
        <v>2025</v>
      </c>
      <c r="C1426" t="s">
        <v>19</v>
      </c>
      <c r="D1426">
        <v>151</v>
      </c>
      <c r="E1426" t="s">
        <v>13</v>
      </c>
      <c r="F1426" t="s">
        <v>14</v>
      </c>
      <c r="G1426" t="s">
        <v>41</v>
      </c>
      <c r="H1426">
        <v>1.520683021832296</v>
      </c>
      <c r="I1426">
        <v>4</v>
      </c>
      <c r="J1426" t="s">
        <v>23</v>
      </c>
      <c r="K1426" s="59" t="s">
        <v>23</v>
      </c>
    </row>
    <row r="1427" spans="1:11" x14ac:dyDescent="0.2">
      <c r="A1427" t="s">
        <v>1466</v>
      </c>
      <c r="B1427">
        <v>2019</v>
      </c>
      <c r="C1427" t="s">
        <v>33</v>
      </c>
      <c r="D1427">
        <v>129</v>
      </c>
      <c r="E1427" t="s">
        <v>20</v>
      </c>
      <c r="F1427" t="s">
        <v>21</v>
      </c>
      <c r="G1427" t="s">
        <v>41</v>
      </c>
      <c r="H1427">
        <v>7.8355093960331954E-2</v>
      </c>
      <c r="I1427">
        <v>3</v>
      </c>
      <c r="J1427" t="s">
        <v>16</v>
      </c>
      <c r="K1427" s="59" t="s">
        <v>4376</v>
      </c>
    </row>
    <row r="1428" spans="1:11" x14ac:dyDescent="0.2">
      <c r="A1428" t="s">
        <v>1467</v>
      </c>
      <c r="B1428">
        <v>2019</v>
      </c>
      <c r="C1428" t="s">
        <v>19</v>
      </c>
      <c r="D1428">
        <v>129</v>
      </c>
      <c r="E1428" t="s">
        <v>25</v>
      </c>
      <c r="F1428" t="s">
        <v>26</v>
      </c>
      <c r="G1428" t="s">
        <v>15</v>
      </c>
      <c r="H1428">
        <v>-1.014871209466073</v>
      </c>
      <c r="I1428">
        <v>2</v>
      </c>
      <c r="J1428" t="s">
        <v>16</v>
      </c>
      <c r="K1428" s="59" t="s">
        <v>16</v>
      </c>
    </row>
    <row r="1429" spans="1:11" x14ac:dyDescent="0.2">
      <c r="A1429" t="s">
        <v>1468</v>
      </c>
      <c r="B1429">
        <v>2016</v>
      </c>
      <c r="C1429" t="s">
        <v>33</v>
      </c>
      <c r="D1429">
        <v>90</v>
      </c>
      <c r="E1429" t="s">
        <v>38</v>
      </c>
      <c r="F1429" t="s">
        <v>39</v>
      </c>
      <c r="G1429" t="s">
        <v>15</v>
      </c>
      <c r="H1429">
        <v>0.16196830717030089</v>
      </c>
      <c r="I1429">
        <v>3</v>
      </c>
      <c r="J1429" t="s">
        <v>23</v>
      </c>
      <c r="K1429" s="59" t="s">
        <v>23</v>
      </c>
    </row>
    <row r="1430" spans="1:11" x14ac:dyDescent="0.2">
      <c r="A1430" t="s">
        <v>1469</v>
      </c>
      <c r="B1430">
        <v>2020</v>
      </c>
      <c r="C1430" t="s">
        <v>33</v>
      </c>
      <c r="D1430">
        <v>124</v>
      </c>
      <c r="E1430" t="s">
        <v>20</v>
      </c>
      <c r="F1430" t="s">
        <v>21</v>
      </c>
      <c r="G1430" t="s">
        <v>41</v>
      </c>
      <c r="H1430">
        <v>-0.31004176740210432</v>
      </c>
      <c r="I1430">
        <v>3</v>
      </c>
      <c r="J1430" t="s">
        <v>23</v>
      </c>
      <c r="K1430" s="59" t="s">
        <v>4376</v>
      </c>
    </row>
    <row r="1431" spans="1:11" x14ac:dyDescent="0.2">
      <c r="A1431" t="s">
        <v>1470</v>
      </c>
      <c r="B1431">
        <v>2017</v>
      </c>
      <c r="C1431" t="s">
        <v>33</v>
      </c>
      <c r="D1431">
        <v>151</v>
      </c>
      <c r="E1431" t="s">
        <v>25</v>
      </c>
      <c r="F1431" t="s">
        <v>26</v>
      </c>
      <c r="G1431" t="s">
        <v>22</v>
      </c>
      <c r="H1431">
        <v>-0.67416382492938842</v>
      </c>
      <c r="I1431">
        <v>2</v>
      </c>
      <c r="J1431" t="s">
        <v>23</v>
      </c>
      <c r="K1431" s="59" t="s">
        <v>4376</v>
      </c>
    </row>
    <row r="1432" spans="1:11" x14ac:dyDescent="0.2">
      <c r="A1432" t="s">
        <v>1471</v>
      </c>
      <c r="B1432">
        <v>2023</v>
      </c>
      <c r="C1432" t="s">
        <v>12</v>
      </c>
      <c r="D1432">
        <v>395</v>
      </c>
      <c r="E1432" t="s">
        <v>38</v>
      </c>
      <c r="F1432" t="s">
        <v>39</v>
      </c>
      <c r="G1432" t="s">
        <v>15</v>
      </c>
      <c r="H1432">
        <v>1.173666381899163E-3</v>
      </c>
      <c r="I1432">
        <v>3</v>
      </c>
      <c r="J1432" t="s">
        <v>16</v>
      </c>
      <c r="K1432" s="59" t="s">
        <v>4376</v>
      </c>
    </row>
    <row r="1433" spans="1:11" x14ac:dyDescent="0.2">
      <c r="A1433" t="s">
        <v>1472</v>
      </c>
      <c r="B1433">
        <v>2019</v>
      </c>
      <c r="C1433" t="s">
        <v>19</v>
      </c>
      <c r="D1433">
        <v>120</v>
      </c>
      <c r="E1433" t="s">
        <v>25</v>
      </c>
      <c r="F1433" t="s">
        <v>26</v>
      </c>
      <c r="G1433" t="s">
        <v>15</v>
      </c>
      <c r="H1433">
        <v>-1.1444881492354639</v>
      </c>
      <c r="I1433">
        <v>2</v>
      </c>
      <c r="J1433" t="s">
        <v>16</v>
      </c>
      <c r="K1433" s="59" t="s">
        <v>4376</v>
      </c>
    </row>
    <row r="1434" spans="1:11" x14ac:dyDescent="0.2">
      <c r="A1434" t="s">
        <v>1473</v>
      </c>
      <c r="B1434">
        <v>2021</v>
      </c>
      <c r="C1434" t="s">
        <v>19</v>
      </c>
      <c r="D1434">
        <v>441</v>
      </c>
      <c r="E1434" t="s">
        <v>38</v>
      </c>
      <c r="F1434" t="s">
        <v>39</v>
      </c>
      <c r="G1434" t="s">
        <v>15</v>
      </c>
      <c r="H1434">
        <v>0.51117068710679503</v>
      </c>
      <c r="I1434">
        <v>3</v>
      </c>
      <c r="J1434" t="s">
        <v>23</v>
      </c>
      <c r="K1434" s="59" t="s">
        <v>17</v>
      </c>
    </row>
    <row r="1435" spans="1:11" x14ac:dyDescent="0.2">
      <c r="A1435" t="s">
        <v>1474</v>
      </c>
      <c r="B1435">
        <v>2022</v>
      </c>
      <c r="C1435" t="s">
        <v>19</v>
      </c>
      <c r="D1435">
        <v>169</v>
      </c>
      <c r="E1435" t="s">
        <v>25</v>
      </c>
      <c r="F1435" t="s">
        <v>26</v>
      </c>
      <c r="G1435" t="s">
        <v>15</v>
      </c>
      <c r="H1435">
        <v>-0.66170490243121427</v>
      </c>
      <c r="I1435">
        <v>2</v>
      </c>
      <c r="J1435" t="s">
        <v>23</v>
      </c>
      <c r="K1435" s="59" t="s">
        <v>17</v>
      </c>
    </row>
    <row r="1436" spans="1:11" x14ac:dyDescent="0.2">
      <c r="A1436" t="s">
        <v>1475</v>
      </c>
      <c r="B1436">
        <v>2025</v>
      </c>
      <c r="C1436" t="s">
        <v>33</v>
      </c>
      <c r="D1436">
        <v>475</v>
      </c>
      <c r="E1436" t="s">
        <v>13</v>
      </c>
      <c r="F1436" t="s">
        <v>14</v>
      </c>
      <c r="G1436" t="s">
        <v>15</v>
      </c>
      <c r="H1436">
        <v>-0.47015123592908198</v>
      </c>
      <c r="I1436">
        <v>4</v>
      </c>
      <c r="J1436" t="s">
        <v>16</v>
      </c>
      <c r="K1436" s="59" t="s">
        <v>23</v>
      </c>
    </row>
    <row r="1437" spans="1:11" x14ac:dyDescent="0.2">
      <c r="A1437" t="s">
        <v>1476</v>
      </c>
      <c r="B1437">
        <v>2024</v>
      </c>
      <c r="C1437" t="s">
        <v>19</v>
      </c>
      <c r="D1437">
        <v>56</v>
      </c>
      <c r="E1437" t="s">
        <v>20</v>
      </c>
      <c r="F1437" t="s">
        <v>21</v>
      </c>
      <c r="G1437" t="s">
        <v>15</v>
      </c>
      <c r="H1437">
        <v>-3.9236773383168169</v>
      </c>
      <c r="I1437">
        <v>3</v>
      </c>
      <c r="J1437" t="s">
        <v>17</v>
      </c>
      <c r="K1437" s="59" t="s">
        <v>17</v>
      </c>
    </row>
    <row r="1438" spans="1:11" x14ac:dyDescent="0.2">
      <c r="A1438" t="s">
        <v>1477</v>
      </c>
      <c r="B1438">
        <v>2021</v>
      </c>
      <c r="C1438" t="s">
        <v>33</v>
      </c>
      <c r="D1438">
        <v>513</v>
      </c>
      <c r="E1438" t="s">
        <v>20</v>
      </c>
      <c r="F1438" t="s">
        <v>21</v>
      </c>
      <c r="G1438" t="s">
        <v>15</v>
      </c>
      <c r="H1438">
        <v>1.5942316816003239</v>
      </c>
      <c r="I1438">
        <v>3</v>
      </c>
      <c r="J1438" t="s">
        <v>23</v>
      </c>
      <c r="K1438" s="59" t="s">
        <v>4376</v>
      </c>
    </row>
    <row r="1439" spans="1:11" x14ac:dyDescent="0.2">
      <c r="A1439" t="s">
        <v>1478</v>
      </c>
      <c r="B1439">
        <v>2024</v>
      </c>
      <c r="C1439" t="s">
        <v>33</v>
      </c>
      <c r="D1439">
        <v>41</v>
      </c>
      <c r="E1439" t="s">
        <v>20</v>
      </c>
      <c r="F1439" t="s">
        <v>21</v>
      </c>
      <c r="G1439" t="s">
        <v>15</v>
      </c>
      <c r="H1439">
        <v>-1.2682577082633779</v>
      </c>
      <c r="I1439">
        <v>3</v>
      </c>
      <c r="J1439" t="s">
        <v>23</v>
      </c>
      <c r="K1439" s="59" t="s">
        <v>4376</v>
      </c>
    </row>
    <row r="1440" spans="1:11" x14ac:dyDescent="0.2">
      <c r="A1440" t="s">
        <v>1479</v>
      </c>
      <c r="B1440">
        <v>2021</v>
      </c>
      <c r="C1440" t="s">
        <v>12</v>
      </c>
      <c r="D1440">
        <v>382</v>
      </c>
      <c r="E1440" t="s">
        <v>29</v>
      </c>
      <c r="F1440" t="s">
        <v>30</v>
      </c>
      <c r="G1440" t="s">
        <v>15</v>
      </c>
      <c r="H1440">
        <v>-0.1911280323988247</v>
      </c>
      <c r="I1440">
        <v>4</v>
      </c>
      <c r="J1440" t="s">
        <v>17</v>
      </c>
      <c r="K1440" s="59" t="s">
        <v>23</v>
      </c>
    </row>
    <row r="1441" spans="1:11" x14ac:dyDescent="0.2">
      <c r="A1441" t="s">
        <v>1480</v>
      </c>
      <c r="B1441">
        <v>2022</v>
      </c>
      <c r="C1441" t="s">
        <v>19</v>
      </c>
      <c r="D1441">
        <v>151</v>
      </c>
      <c r="E1441" t="s">
        <v>25</v>
      </c>
      <c r="F1441" t="s">
        <v>26</v>
      </c>
      <c r="G1441" t="s">
        <v>15</v>
      </c>
      <c r="H1441">
        <v>-1.0325061672578271</v>
      </c>
      <c r="I1441">
        <v>2</v>
      </c>
      <c r="J1441" t="s">
        <v>23</v>
      </c>
      <c r="K1441" s="59" t="s">
        <v>17</v>
      </c>
    </row>
    <row r="1442" spans="1:11" x14ac:dyDescent="0.2">
      <c r="A1442" t="s">
        <v>1481</v>
      </c>
      <c r="B1442">
        <v>2025</v>
      </c>
      <c r="C1442" t="s">
        <v>33</v>
      </c>
      <c r="D1442">
        <v>168</v>
      </c>
      <c r="E1442" t="s">
        <v>20</v>
      </c>
      <c r="F1442" t="s">
        <v>21</v>
      </c>
      <c r="G1442" t="s">
        <v>48</v>
      </c>
      <c r="H1442">
        <v>0.64047765987795435</v>
      </c>
      <c r="I1442">
        <v>3</v>
      </c>
      <c r="J1442" t="s">
        <v>16</v>
      </c>
      <c r="K1442" s="59" t="s">
        <v>17</v>
      </c>
    </row>
    <row r="1443" spans="1:11" x14ac:dyDescent="0.2">
      <c r="A1443" t="s">
        <v>1482</v>
      </c>
      <c r="B1443">
        <v>2021</v>
      </c>
      <c r="C1443" t="s">
        <v>19</v>
      </c>
      <c r="D1443">
        <v>110</v>
      </c>
      <c r="E1443" t="s">
        <v>25</v>
      </c>
      <c r="F1443" t="s">
        <v>26</v>
      </c>
      <c r="G1443" t="s">
        <v>48</v>
      </c>
      <c r="H1443">
        <v>0.33616250135773618</v>
      </c>
      <c r="I1443">
        <v>2</v>
      </c>
      <c r="J1443" t="s">
        <v>23</v>
      </c>
      <c r="K1443" s="59" t="s">
        <v>17</v>
      </c>
    </row>
    <row r="1444" spans="1:11" x14ac:dyDescent="0.2">
      <c r="A1444" t="s">
        <v>1483</v>
      </c>
      <c r="B1444">
        <v>2017</v>
      </c>
      <c r="C1444" t="s">
        <v>19</v>
      </c>
      <c r="D1444">
        <v>115</v>
      </c>
      <c r="E1444" t="s">
        <v>20</v>
      </c>
      <c r="F1444" t="s">
        <v>21</v>
      </c>
      <c r="G1444" t="s">
        <v>22</v>
      </c>
      <c r="H1444">
        <v>-3.056211798423274E-2</v>
      </c>
      <c r="I1444">
        <v>3</v>
      </c>
      <c r="J1444" t="s">
        <v>23</v>
      </c>
      <c r="K1444" s="59" t="s">
        <v>17</v>
      </c>
    </row>
    <row r="1445" spans="1:11" x14ac:dyDescent="0.2">
      <c r="A1445" t="s">
        <v>1484</v>
      </c>
      <c r="B1445">
        <v>2021</v>
      </c>
      <c r="C1445" t="s">
        <v>19</v>
      </c>
      <c r="D1445">
        <v>440</v>
      </c>
      <c r="E1445" t="s">
        <v>38</v>
      </c>
      <c r="F1445" t="s">
        <v>39</v>
      </c>
      <c r="G1445" t="s">
        <v>15</v>
      </c>
      <c r="H1445">
        <v>0.51117068710679503</v>
      </c>
      <c r="I1445">
        <v>3</v>
      </c>
      <c r="J1445" t="s">
        <v>23</v>
      </c>
      <c r="K1445" s="59" t="s">
        <v>17</v>
      </c>
    </row>
    <row r="1446" spans="1:11" x14ac:dyDescent="0.2">
      <c r="A1446" t="s">
        <v>1485</v>
      </c>
      <c r="B1446">
        <v>2022</v>
      </c>
      <c r="C1446" t="s">
        <v>12</v>
      </c>
      <c r="D1446">
        <v>186</v>
      </c>
      <c r="E1446" t="s">
        <v>25</v>
      </c>
      <c r="F1446" t="s">
        <v>26</v>
      </c>
      <c r="G1446" t="s">
        <v>48</v>
      </c>
      <c r="H1446">
        <v>-0.1711063058913885</v>
      </c>
      <c r="I1446">
        <v>2</v>
      </c>
      <c r="J1446" t="s">
        <v>23</v>
      </c>
      <c r="K1446" s="59" t="s">
        <v>23</v>
      </c>
    </row>
    <row r="1447" spans="1:11" x14ac:dyDescent="0.2">
      <c r="A1447" t="s">
        <v>1486</v>
      </c>
      <c r="B1447">
        <v>2025</v>
      </c>
      <c r="C1447" t="s">
        <v>33</v>
      </c>
      <c r="D1447">
        <v>134</v>
      </c>
      <c r="E1447" t="s">
        <v>13</v>
      </c>
      <c r="F1447" t="s">
        <v>14</v>
      </c>
      <c r="G1447" t="s">
        <v>15</v>
      </c>
      <c r="H1447">
        <v>-2.3291396427883599</v>
      </c>
      <c r="I1447">
        <v>4</v>
      </c>
      <c r="J1447" t="s">
        <v>23</v>
      </c>
      <c r="K1447" s="59" t="s">
        <v>4376</v>
      </c>
    </row>
    <row r="1448" spans="1:11" x14ac:dyDescent="0.2">
      <c r="A1448" t="s">
        <v>1487</v>
      </c>
      <c r="B1448">
        <v>2019</v>
      </c>
      <c r="C1448" t="s">
        <v>33</v>
      </c>
      <c r="D1448">
        <v>144</v>
      </c>
      <c r="E1448" t="s">
        <v>20</v>
      </c>
      <c r="F1448" t="s">
        <v>21</v>
      </c>
      <c r="G1448" t="s">
        <v>15</v>
      </c>
      <c r="H1448">
        <v>0.8711875263620017</v>
      </c>
      <c r="I1448">
        <v>3</v>
      </c>
      <c r="J1448" t="s">
        <v>23</v>
      </c>
      <c r="K1448" s="59" t="s">
        <v>4376</v>
      </c>
    </row>
    <row r="1449" spans="1:11" x14ac:dyDescent="0.2">
      <c r="A1449" t="s">
        <v>1488</v>
      </c>
      <c r="B1449">
        <v>2022</v>
      </c>
      <c r="C1449" t="s">
        <v>33</v>
      </c>
      <c r="D1449">
        <v>352</v>
      </c>
      <c r="E1449" t="s">
        <v>53</v>
      </c>
      <c r="F1449" t="s">
        <v>54</v>
      </c>
      <c r="G1449" t="s">
        <v>36</v>
      </c>
      <c r="H1449">
        <v>5.4377775466296963E-2</v>
      </c>
      <c r="I1449">
        <v>3</v>
      </c>
      <c r="J1449" t="s">
        <v>16</v>
      </c>
      <c r="K1449" s="59" t="s">
        <v>4376</v>
      </c>
    </row>
    <row r="1450" spans="1:11" x14ac:dyDescent="0.2">
      <c r="A1450" t="s">
        <v>1489</v>
      </c>
      <c r="B1450">
        <v>2025</v>
      </c>
      <c r="C1450" t="s">
        <v>33</v>
      </c>
      <c r="D1450">
        <v>405</v>
      </c>
      <c r="E1450" t="s">
        <v>38</v>
      </c>
      <c r="F1450" t="s">
        <v>39</v>
      </c>
      <c r="G1450" t="s">
        <v>15</v>
      </c>
      <c r="H1450">
        <v>0.19175280669457759</v>
      </c>
      <c r="I1450">
        <v>3</v>
      </c>
      <c r="J1450" t="s">
        <v>16</v>
      </c>
      <c r="K1450" s="59" t="s">
        <v>4376</v>
      </c>
    </row>
    <row r="1451" spans="1:11" x14ac:dyDescent="0.2">
      <c r="A1451" t="s">
        <v>1490</v>
      </c>
      <c r="B1451">
        <v>2022</v>
      </c>
      <c r="C1451" t="s">
        <v>12</v>
      </c>
      <c r="D1451">
        <v>123</v>
      </c>
      <c r="E1451" t="s">
        <v>20</v>
      </c>
      <c r="F1451" t="s">
        <v>21</v>
      </c>
      <c r="G1451" t="s">
        <v>48</v>
      </c>
      <c r="H1451">
        <v>-1.9799547633979311E-2</v>
      </c>
      <c r="I1451">
        <v>3</v>
      </c>
      <c r="J1451" t="s">
        <v>23</v>
      </c>
      <c r="K1451" s="59" t="s">
        <v>17</v>
      </c>
    </row>
    <row r="1452" spans="1:11" x14ac:dyDescent="0.2">
      <c r="A1452" t="s">
        <v>1491</v>
      </c>
      <c r="B1452">
        <v>2025</v>
      </c>
      <c r="C1452" t="s">
        <v>33</v>
      </c>
      <c r="D1452">
        <v>284</v>
      </c>
      <c r="E1452" t="s">
        <v>25</v>
      </c>
      <c r="F1452" t="s">
        <v>26</v>
      </c>
      <c r="G1452" t="s">
        <v>15</v>
      </c>
      <c r="H1452">
        <v>0.62166750842842888</v>
      </c>
      <c r="I1452">
        <v>2</v>
      </c>
      <c r="J1452" t="s">
        <v>16</v>
      </c>
      <c r="K1452" s="59" t="s">
        <v>17</v>
      </c>
    </row>
    <row r="1453" spans="1:11" x14ac:dyDescent="0.2">
      <c r="A1453" t="s">
        <v>1492</v>
      </c>
      <c r="B1453">
        <v>2021</v>
      </c>
      <c r="C1453" t="s">
        <v>33</v>
      </c>
      <c r="D1453">
        <v>92</v>
      </c>
      <c r="E1453" t="s">
        <v>13</v>
      </c>
      <c r="F1453" t="s">
        <v>14</v>
      </c>
      <c r="G1453" t="s">
        <v>41</v>
      </c>
      <c r="H1453">
        <v>-1.222588701713449E-2</v>
      </c>
      <c r="I1453">
        <v>4</v>
      </c>
      <c r="J1453" t="s">
        <v>23</v>
      </c>
      <c r="K1453" s="59" t="s">
        <v>4376</v>
      </c>
    </row>
    <row r="1454" spans="1:11" x14ac:dyDescent="0.2">
      <c r="A1454" t="s">
        <v>1493</v>
      </c>
      <c r="B1454">
        <v>2025</v>
      </c>
      <c r="C1454" t="s">
        <v>19</v>
      </c>
      <c r="D1454">
        <v>131</v>
      </c>
      <c r="E1454" t="s">
        <v>20</v>
      </c>
      <c r="F1454" t="s">
        <v>21</v>
      </c>
      <c r="G1454" t="s">
        <v>15</v>
      </c>
      <c r="H1454">
        <v>-0.25123652555338272</v>
      </c>
      <c r="I1454">
        <v>3</v>
      </c>
      <c r="J1454" t="s">
        <v>16</v>
      </c>
      <c r="K1454" s="59" t="s">
        <v>23</v>
      </c>
    </row>
    <row r="1455" spans="1:11" x14ac:dyDescent="0.2">
      <c r="A1455" t="s">
        <v>1494</v>
      </c>
      <c r="B1455">
        <v>2025</v>
      </c>
      <c r="C1455" t="s">
        <v>33</v>
      </c>
      <c r="D1455">
        <v>76</v>
      </c>
      <c r="E1455" t="s">
        <v>25</v>
      </c>
      <c r="F1455" t="s">
        <v>26</v>
      </c>
      <c r="G1455" t="s">
        <v>48</v>
      </c>
      <c r="H1455">
        <v>-1.405779440516616</v>
      </c>
      <c r="I1455">
        <v>2</v>
      </c>
      <c r="J1455" t="s">
        <v>23</v>
      </c>
      <c r="K1455" s="59" t="s">
        <v>4376</v>
      </c>
    </row>
    <row r="1456" spans="1:11" x14ac:dyDescent="0.2">
      <c r="A1456" t="s">
        <v>1495</v>
      </c>
      <c r="B1456">
        <v>2025</v>
      </c>
      <c r="C1456" t="s">
        <v>33</v>
      </c>
      <c r="D1456">
        <v>134</v>
      </c>
      <c r="E1456" t="s">
        <v>13</v>
      </c>
      <c r="F1456" t="s">
        <v>14</v>
      </c>
      <c r="G1456" t="s">
        <v>48</v>
      </c>
      <c r="H1456">
        <v>-1.6650761417879889</v>
      </c>
      <c r="I1456">
        <v>4</v>
      </c>
      <c r="J1456" t="s">
        <v>23</v>
      </c>
      <c r="K1456" s="59" t="s">
        <v>17</v>
      </c>
    </row>
    <row r="1457" spans="1:11" x14ac:dyDescent="0.2">
      <c r="A1457" t="s">
        <v>1496</v>
      </c>
      <c r="B1457">
        <v>2016</v>
      </c>
      <c r="C1457" t="s">
        <v>19</v>
      </c>
      <c r="D1457">
        <v>88</v>
      </c>
      <c r="E1457" t="s">
        <v>38</v>
      </c>
      <c r="F1457" t="s">
        <v>39</v>
      </c>
      <c r="G1457" t="s">
        <v>15</v>
      </c>
      <c r="H1457">
        <v>0.1382145534174688</v>
      </c>
      <c r="I1457">
        <v>3</v>
      </c>
      <c r="J1457" t="s">
        <v>23</v>
      </c>
      <c r="K1457" s="59" t="s">
        <v>23</v>
      </c>
    </row>
    <row r="1458" spans="1:11" x14ac:dyDescent="0.2">
      <c r="A1458" t="s">
        <v>1497</v>
      </c>
      <c r="B1458">
        <v>2019</v>
      </c>
      <c r="C1458" t="s">
        <v>12</v>
      </c>
      <c r="D1458">
        <v>123</v>
      </c>
      <c r="E1458" t="s">
        <v>20</v>
      </c>
      <c r="F1458" t="s">
        <v>21</v>
      </c>
      <c r="G1458" t="s">
        <v>22</v>
      </c>
      <c r="H1458">
        <v>0.79456827553519749</v>
      </c>
      <c r="I1458">
        <v>3</v>
      </c>
      <c r="J1458" t="s">
        <v>23</v>
      </c>
      <c r="K1458" s="59" t="s">
        <v>17</v>
      </c>
    </row>
    <row r="1459" spans="1:11" x14ac:dyDescent="0.2">
      <c r="A1459" t="s">
        <v>1498</v>
      </c>
      <c r="B1459">
        <v>2022</v>
      </c>
      <c r="C1459" t="s">
        <v>19</v>
      </c>
      <c r="D1459">
        <v>352</v>
      </c>
      <c r="E1459" t="s">
        <v>53</v>
      </c>
      <c r="F1459" t="s">
        <v>54</v>
      </c>
      <c r="G1459" t="s">
        <v>36</v>
      </c>
      <c r="H1459">
        <v>5.4377775466296963E-2</v>
      </c>
      <c r="I1459">
        <v>3</v>
      </c>
      <c r="J1459" t="s">
        <v>16</v>
      </c>
      <c r="K1459" s="59" t="s">
        <v>4376</v>
      </c>
    </row>
    <row r="1460" spans="1:11" x14ac:dyDescent="0.2">
      <c r="A1460" t="s">
        <v>1499</v>
      </c>
      <c r="B1460">
        <v>2024</v>
      </c>
      <c r="C1460" t="s">
        <v>12</v>
      </c>
      <c r="D1460">
        <v>598</v>
      </c>
      <c r="E1460" t="s">
        <v>53</v>
      </c>
      <c r="F1460" t="s">
        <v>54</v>
      </c>
      <c r="G1460" t="s">
        <v>15</v>
      </c>
      <c r="H1460">
        <v>-0.340911879999171</v>
      </c>
      <c r="I1460">
        <v>3</v>
      </c>
      <c r="J1460" t="s">
        <v>16</v>
      </c>
      <c r="K1460" s="59" t="s">
        <v>16</v>
      </c>
    </row>
    <row r="1461" spans="1:11" x14ac:dyDescent="0.2">
      <c r="A1461" t="s">
        <v>1500</v>
      </c>
      <c r="B1461">
        <v>2019</v>
      </c>
      <c r="C1461" t="s">
        <v>33</v>
      </c>
      <c r="D1461">
        <v>327</v>
      </c>
      <c r="E1461" t="s">
        <v>25</v>
      </c>
      <c r="F1461" t="s">
        <v>26</v>
      </c>
      <c r="G1461" t="s">
        <v>15</v>
      </c>
      <c r="H1461">
        <v>-0.856985819330496</v>
      </c>
      <c r="I1461">
        <v>2</v>
      </c>
      <c r="J1461" t="s">
        <v>23</v>
      </c>
      <c r="K1461" s="59" t="s">
        <v>23</v>
      </c>
    </row>
    <row r="1462" spans="1:11" x14ac:dyDescent="0.2">
      <c r="A1462" t="s">
        <v>1501</v>
      </c>
      <c r="B1462">
        <v>2023</v>
      </c>
      <c r="C1462" t="s">
        <v>19</v>
      </c>
      <c r="D1462">
        <v>220</v>
      </c>
      <c r="E1462" t="s">
        <v>25</v>
      </c>
      <c r="F1462" t="s">
        <v>26</v>
      </c>
      <c r="G1462" t="s">
        <v>15</v>
      </c>
      <c r="H1462">
        <v>9.2620855455871787E-2</v>
      </c>
      <c r="I1462">
        <v>2</v>
      </c>
      <c r="J1462" t="s">
        <v>23</v>
      </c>
      <c r="K1462" s="59" t="s">
        <v>17</v>
      </c>
    </row>
    <row r="1463" spans="1:11" x14ac:dyDescent="0.2">
      <c r="A1463" t="s">
        <v>1502</v>
      </c>
      <c r="B1463">
        <v>2021</v>
      </c>
      <c r="C1463" t="s">
        <v>19</v>
      </c>
      <c r="D1463">
        <v>258</v>
      </c>
      <c r="E1463" t="s">
        <v>20</v>
      </c>
      <c r="F1463" t="s">
        <v>21</v>
      </c>
      <c r="G1463" t="s">
        <v>15</v>
      </c>
      <c r="H1463">
        <v>0.44237847342324538</v>
      </c>
      <c r="I1463">
        <v>3</v>
      </c>
      <c r="J1463" t="s">
        <v>16</v>
      </c>
      <c r="K1463" s="59" t="s">
        <v>17</v>
      </c>
    </row>
    <row r="1464" spans="1:11" x14ac:dyDescent="0.2">
      <c r="A1464" t="s">
        <v>1503</v>
      </c>
      <c r="B1464">
        <v>2021</v>
      </c>
      <c r="C1464" t="s">
        <v>33</v>
      </c>
      <c r="D1464">
        <v>382</v>
      </c>
      <c r="E1464" t="s">
        <v>29</v>
      </c>
      <c r="F1464" t="s">
        <v>30</v>
      </c>
      <c r="G1464" t="s">
        <v>15</v>
      </c>
      <c r="H1464">
        <v>-0.1911280323988247</v>
      </c>
      <c r="I1464">
        <v>4</v>
      </c>
      <c r="J1464" t="s">
        <v>17</v>
      </c>
      <c r="K1464" s="59" t="s">
        <v>4376</v>
      </c>
    </row>
    <row r="1465" spans="1:11" x14ac:dyDescent="0.2">
      <c r="A1465" t="s">
        <v>1504</v>
      </c>
      <c r="B1465">
        <v>2022</v>
      </c>
      <c r="C1465" t="s">
        <v>33</v>
      </c>
      <c r="D1465">
        <v>245</v>
      </c>
      <c r="E1465" t="s">
        <v>20</v>
      </c>
      <c r="F1465" t="s">
        <v>21</v>
      </c>
      <c r="G1465" t="s">
        <v>41</v>
      </c>
      <c r="H1465">
        <v>-0.33491349264303921</v>
      </c>
      <c r="I1465">
        <v>3</v>
      </c>
      <c r="J1465" t="s">
        <v>23</v>
      </c>
      <c r="K1465" s="59" t="s">
        <v>23</v>
      </c>
    </row>
    <row r="1466" spans="1:11" x14ac:dyDescent="0.2">
      <c r="A1466" t="s">
        <v>1505</v>
      </c>
      <c r="B1466">
        <v>2024</v>
      </c>
      <c r="C1466" t="s">
        <v>19</v>
      </c>
      <c r="D1466">
        <v>245</v>
      </c>
      <c r="E1466" t="s">
        <v>20</v>
      </c>
      <c r="F1466" t="s">
        <v>21</v>
      </c>
      <c r="G1466" t="s">
        <v>15</v>
      </c>
      <c r="H1466">
        <v>-0.22400555048982529</v>
      </c>
      <c r="I1466">
        <v>3</v>
      </c>
      <c r="J1466" t="s">
        <v>17</v>
      </c>
      <c r="K1466" s="59" t="s">
        <v>16</v>
      </c>
    </row>
    <row r="1467" spans="1:11" x14ac:dyDescent="0.2">
      <c r="A1467" t="s">
        <v>1506</v>
      </c>
      <c r="B1467">
        <v>2024</v>
      </c>
      <c r="C1467" t="s">
        <v>33</v>
      </c>
      <c r="D1467">
        <v>268</v>
      </c>
      <c r="E1467" t="s">
        <v>25</v>
      </c>
      <c r="F1467" t="s">
        <v>26</v>
      </c>
      <c r="G1467" t="s">
        <v>15</v>
      </c>
      <c r="H1467">
        <v>-0.46808085487054341</v>
      </c>
      <c r="I1467">
        <v>2</v>
      </c>
      <c r="J1467" t="s">
        <v>23</v>
      </c>
      <c r="K1467" s="59" t="s">
        <v>17</v>
      </c>
    </row>
    <row r="1468" spans="1:11" x14ac:dyDescent="0.2">
      <c r="A1468" t="s">
        <v>1507</v>
      </c>
      <c r="B1468">
        <v>2019</v>
      </c>
      <c r="C1468" t="s">
        <v>12</v>
      </c>
      <c r="D1468">
        <v>80</v>
      </c>
      <c r="E1468" t="s">
        <v>20</v>
      </c>
      <c r="F1468" t="s">
        <v>21</v>
      </c>
      <c r="G1468" t="s">
        <v>48</v>
      </c>
      <c r="H1468">
        <v>0.59632266150780178</v>
      </c>
      <c r="I1468">
        <v>3</v>
      </c>
      <c r="J1468" t="s">
        <v>23</v>
      </c>
      <c r="K1468" s="59" t="s">
        <v>16</v>
      </c>
    </row>
    <row r="1469" spans="1:11" x14ac:dyDescent="0.2">
      <c r="A1469" t="s">
        <v>1508</v>
      </c>
      <c r="B1469">
        <v>2025</v>
      </c>
      <c r="C1469" t="s">
        <v>19</v>
      </c>
      <c r="D1469">
        <v>208</v>
      </c>
      <c r="E1469" t="s">
        <v>13</v>
      </c>
      <c r="F1469" t="s">
        <v>14</v>
      </c>
      <c r="G1469" t="s">
        <v>44</v>
      </c>
      <c r="H1469">
        <v>-2.0048375229660889</v>
      </c>
      <c r="I1469">
        <v>4</v>
      </c>
      <c r="J1469" t="s">
        <v>16</v>
      </c>
      <c r="K1469" s="59" t="s">
        <v>23</v>
      </c>
    </row>
    <row r="1470" spans="1:11" x14ac:dyDescent="0.2">
      <c r="A1470" t="s">
        <v>1509</v>
      </c>
      <c r="B1470">
        <v>2019</v>
      </c>
      <c r="C1470" t="s">
        <v>19</v>
      </c>
      <c r="D1470">
        <v>156</v>
      </c>
      <c r="E1470" t="s">
        <v>20</v>
      </c>
      <c r="F1470" t="s">
        <v>21</v>
      </c>
      <c r="G1470" t="s">
        <v>15</v>
      </c>
      <c r="H1470">
        <v>-3.8758777522505297E-2</v>
      </c>
      <c r="I1470">
        <v>3</v>
      </c>
      <c r="J1470" t="s">
        <v>16</v>
      </c>
      <c r="K1470" s="59" t="s">
        <v>23</v>
      </c>
    </row>
    <row r="1471" spans="1:11" x14ac:dyDescent="0.2">
      <c r="A1471" t="s">
        <v>1510</v>
      </c>
      <c r="B1471">
        <v>2023</v>
      </c>
      <c r="C1471" t="s">
        <v>19</v>
      </c>
      <c r="D1471">
        <v>262</v>
      </c>
      <c r="E1471" t="s">
        <v>25</v>
      </c>
      <c r="F1471" t="s">
        <v>26</v>
      </c>
      <c r="G1471" t="s">
        <v>15</v>
      </c>
      <c r="H1471">
        <v>1.1423505075144611</v>
      </c>
      <c r="I1471">
        <v>2</v>
      </c>
      <c r="J1471" t="s">
        <v>23</v>
      </c>
      <c r="K1471" s="59" t="s">
        <v>17</v>
      </c>
    </row>
    <row r="1472" spans="1:11" x14ac:dyDescent="0.2">
      <c r="A1472" t="s">
        <v>1511</v>
      </c>
      <c r="B1472">
        <v>2018</v>
      </c>
      <c r="C1472" t="s">
        <v>19</v>
      </c>
      <c r="D1472">
        <v>123</v>
      </c>
      <c r="E1472" t="s">
        <v>20</v>
      </c>
      <c r="F1472" t="s">
        <v>21</v>
      </c>
      <c r="G1472" t="s">
        <v>48</v>
      </c>
      <c r="H1472">
        <v>-0.78576620696811805</v>
      </c>
      <c r="I1472">
        <v>3</v>
      </c>
      <c r="J1472" t="s">
        <v>23</v>
      </c>
      <c r="K1472" s="59" t="s">
        <v>23</v>
      </c>
    </row>
    <row r="1473" spans="1:11" x14ac:dyDescent="0.2">
      <c r="A1473" t="s">
        <v>1512</v>
      </c>
      <c r="B1473">
        <v>2025</v>
      </c>
      <c r="C1473" t="s">
        <v>33</v>
      </c>
      <c r="D1473">
        <v>120</v>
      </c>
      <c r="E1473" t="s">
        <v>25</v>
      </c>
      <c r="F1473" t="s">
        <v>26</v>
      </c>
      <c r="G1473" t="s">
        <v>41</v>
      </c>
      <c r="H1473">
        <v>-9.2225388414889087E-3</v>
      </c>
      <c r="I1473">
        <v>2</v>
      </c>
      <c r="J1473" t="s">
        <v>23</v>
      </c>
      <c r="K1473" s="59" t="s">
        <v>23</v>
      </c>
    </row>
    <row r="1474" spans="1:11" x14ac:dyDescent="0.2">
      <c r="A1474" t="s">
        <v>1513</v>
      </c>
      <c r="B1474">
        <v>2025</v>
      </c>
      <c r="C1474" t="s">
        <v>33</v>
      </c>
      <c r="D1474">
        <v>350</v>
      </c>
      <c r="E1474" t="s">
        <v>13</v>
      </c>
      <c r="F1474" t="s">
        <v>14</v>
      </c>
      <c r="G1474" t="s">
        <v>41</v>
      </c>
      <c r="H1474">
        <v>0.82420657990011958</v>
      </c>
      <c r="I1474">
        <v>4</v>
      </c>
      <c r="J1474" t="s">
        <v>17</v>
      </c>
      <c r="K1474" s="59" t="s">
        <v>4376</v>
      </c>
    </row>
    <row r="1475" spans="1:11" x14ac:dyDescent="0.2">
      <c r="A1475" t="s">
        <v>1514</v>
      </c>
      <c r="B1475">
        <v>2022</v>
      </c>
      <c r="C1475" t="s">
        <v>12</v>
      </c>
      <c r="D1475">
        <v>352</v>
      </c>
      <c r="E1475" t="s">
        <v>53</v>
      </c>
      <c r="F1475" t="s">
        <v>54</v>
      </c>
      <c r="G1475" t="s">
        <v>36</v>
      </c>
      <c r="H1475">
        <v>5.4377775466296963E-2</v>
      </c>
      <c r="I1475">
        <v>3</v>
      </c>
      <c r="J1475" t="s">
        <v>16</v>
      </c>
      <c r="K1475" s="59" t="s">
        <v>4376</v>
      </c>
    </row>
    <row r="1476" spans="1:11" x14ac:dyDescent="0.2">
      <c r="A1476" t="s">
        <v>1515</v>
      </c>
      <c r="B1476">
        <v>2022</v>
      </c>
      <c r="C1476" t="s">
        <v>19</v>
      </c>
      <c r="D1476">
        <v>195</v>
      </c>
      <c r="E1476" t="s">
        <v>25</v>
      </c>
      <c r="F1476" t="s">
        <v>26</v>
      </c>
      <c r="G1476" t="s">
        <v>15</v>
      </c>
      <c r="H1476">
        <v>-0.76281134155252317</v>
      </c>
      <c r="I1476">
        <v>2</v>
      </c>
      <c r="J1476" t="s">
        <v>23</v>
      </c>
      <c r="K1476" s="59" t="s">
        <v>17</v>
      </c>
    </row>
    <row r="1477" spans="1:11" x14ac:dyDescent="0.2">
      <c r="A1477" t="s">
        <v>1516</v>
      </c>
      <c r="B1477">
        <v>2023</v>
      </c>
      <c r="C1477" t="s">
        <v>33</v>
      </c>
      <c r="D1477">
        <v>70</v>
      </c>
      <c r="E1477" t="s">
        <v>53</v>
      </c>
      <c r="F1477" t="s">
        <v>54</v>
      </c>
      <c r="G1477" t="s">
        <v>15</v>
      </c>
      <c r="H1477">
        <v>-1.068629387250613</v>
      </c>
      <c r="I1477">
        <v>3</v>
      </c>
      <c r="J1477" t="s">
        <v>16</v>
      </c>
      <c r="K1477" s="59" t="s">
        <v>4376</v>
      </c>
    </row>
    <row r="1478" spans="1:11" x14ac:dyDescent="0.2">
      <c r="A1478" t="s">
        <v>1517</v>
      </c>
      <c r="B1478">
        <v>2023</v>
      </c>
      <c r="C1478" t="s">
        <v>33</v>
      </c>
      <c r="D1478">
        <v>70</v>
      </c>
      <c r="E1478" t="s">
        <v>53</v>
      </c>
      <c r="F1478" t="s">
        <v>54</v>
      </c>
      <c r="G1478" t="s">
        <v>15</v>
      </c>
      <c r="H1478">
        <v>-1.068629387250613</v>
      </c>
      <c r="I1478">
        <v>3</v>
      </c>
      <c r="J1478" t="s">
        <v>16</v>
      </c>
      <c r="K1478" s="59" t="s">
        <v>4376</v>
      </c>
    </row>
    <row r="1479" spans="1:11" x14ac:dyDescent="0.2">
      <c r="A1479" t="s">
        <v>1518</v>
      </c>
      <c r="B1479">
        <v>2022</v>
      </c>
      <c r="C1479" t="s">
        <v>19</v>
      </c>
      <c r="D1479">
        <v>93</v>
      </c>
      <c r="E1479" t="s">
        <v>20</v>
      </c>
      <c r="F1479" t="s">
        <v>21</v>
      </c>
      <c r="G1479" t="s">
        <v>15</v>
      </c>
      <c r="H1479">
        <v>1.207133472294913</v>
      </c>
      <c r="I1479">
        <v>3</v>
      </c>
      <c r="J1479" t="s">
        <v>23</v>
      </c>
      <c r="K1479" s="59" t="s">
        <v>23</v>
      </c>
    </row>
    <row r="1480" spans="1:11" x14ac:dyDescent="0.2">
      <c r="A1480" t="s">
        <v>1519</v>
      </c>
      <c r="B1480">
        <v>2025</v>
      </c>
      <c r="C1480" t="s">
        <v>33</v>
      </c>
      <c r="D1480">
        <v>817</v>
      </c>
      <c r="E1480" t="s">
        <v>20</v>
      </c>
      <c r="F1480" t="s">
        <v>21</v>
      </c>
      <c r="G1480" t="s">
        <v>48</v>
      </c>
      <c r="H1480">
        <v>-0.27481713497132793</v>
      </c>
      <c r="I1480">
        <v>3</v>
      </c>
      <c r="J1480" t="s">
        <v>16</v>
      </c>
      <c r="K1480" s="59" t="s">
        <v>17</v>
      </c>
    </row>
    <row r="1481" spans="1:11" x14ac:dyDescent="0.2">
      <c r="A1481" t="s">
        <v>1520</v>
      </c>
      <c r="B1481">
        <v>2025</v>
      </c>
      <c r="C1481" t="s">
        <v>33</v>
      </c>
      <c r="D1481">
        <v>255</v>
      </c>
      <c r="E1481" t="s">
        <v>20</v>
      </c>
      <c r="F1481" t="s">
        <v>21</v>
      </c>
      <c r="G1481" t="s">
        <v>15</v>
      </c>
      <c r="H1481">
        <v>0.20216696736740131</v>
      </c>
      <c r="I1481">
        <v>3</v>
      </c>
      <c r="J1481" t="s">
        <v>23</v>
      </c>
      <c r="K1481" s="59" t="s">
        <v>17</v>
      </c>
    </row>
    <row r="1482" spans="1:11" x14ac:dyDescent="0.2">
      <c r="A1482" t="s">
        <v>1521</v>
      </c>
      <c r="B1482">
        <v>2023</v>
      </c>
      <c r="C1482" t="s">
        <v>33</v>
      </c>
      <c r="D1482">
        <v>70</v>
      </c>
      <c r="E1482" t="s">
        <v>53</v>
      </c>
      <c r="F1482" t="s">
        <v>54</v>
      </c>
      <c r="G1482" t="s">
        <v>15</v>
      </c>
      <c r="H1482">
        <v>-1.068629387250613</v>
      </c>
      <c r="I1482">
        <v>3</v>
      </c>
      <c r="J1482" t="s">
        <v>16</v>
      </c>
      <c r="K1482" s="59" t="s">
        <v>23</v>
      </c>
    </row>
    <row r="1483" spans="1:11" x14ac:dyDescent="0.2">
      <c r="A1483" t="s">
        <v>1522</v>
      </c>
      <c r="B1483">
        <v>2023</v>
      </c>
      <c r="C1483" t="s">
        <v>12</v>
      </c>
      <c r="D1483">
        <v>395</v>
      </c>
      <c r="E1483" t="s">
        <v>38</v>
      </c>
      <c r="F1483" t="s">
        <v>39</v>
      </c>
      <c r="G1483" t="s">
        <v>15</v>
      </c>
      <c r="H1483">
        <v>-3.902499381520147E-2</v>
      </c>
      <c r="I1483">
        <v>3</v>
      </c>
      <c r="J1483" t="s">
        <v>16</v>
      </c>
      <c r="K1483" s="59" t="s">
        <v>4376</v>
      </c>
    </row>
    <row r="1484" spans="1:11" x14ac:dyDescent="0.2">
      <c r="A1484" t="s">
        <v>1523</v>
      </c>
      <c r="B1484">
        <v>2022</v>
      </c>
      <c r="C1484" t="s">
        <v>33</v>
      </c>
      <c r="D1484">
        <v>109</v>
      </c>
      <c r="E1484" t="s">
        <v>13</v>
      </c>
      <c r="F1484" t="s">
        <v>14</v>
      </c>
      <c r="G1484" t="s">
        <v>167</v>
      </c>
      <c r="H1484">
        <v>-1.054041163791988</v>
      </c>
      <c r="I1484">
        <v>4</v>
      </c>
      <c r="J1484" t="s">
        <v>23</v>
      </c>
      <c r="K1484" s="59" t="s">
        <v>4376</v>
      </c>
    </row>
    <row r="1485" spans="1:11" x14ac:dyDescent="0.2">
      <c r="A1485" t="s">
        <v>1524</v>
      </c>
      <c r="B1485">
        <v>2019</v>
      </c>
      <c r="C1485" t="s">
        <v>33</v>
      </c>
      <c r="D1485">
        <v>60</v>
      </c>
      <c r="E1485" t="s">
        <v>13</v>
      </c>
      <c r="F1485" t="s">
        <v>14</v>
      </c>
      <c r="G1485" t="s">
        <v>15</v>
      </c>
      <c r="H1485">
        <v>-1.1444881492354639</v>
      </c>
      <c r="I1485">
        <v>4</v>
      </c>
      <c r="J1485" t="s">
        <v>23</v>
      </c>
      <c r="K1485" s="59" t="s">
        <v>17</v>
      </c>
    </row>
    <row r="1486" spans="1:11" x14ac:dyDescent="0.2">
      <c r="A1486" t="s">
        <v>1525</v>
      </c>
      <c r="B1486">
        <v>2025</v>
      </c>
      <c r="C1486" t="s">
        <v>33</v>
      </c>
      <c r="D1486">
        <v>214</v>
      </c>
      <c r="E1486" t="s">
        <v>25</v>
      </c>
      <c r="F1486" t="s">
        <v>26</v>
      </c>
      <c r="G1486" t="s">
        <v>48</v>
      </c>
      <c r="H1486">
        <v>0.26175794605154518</v>
      </c>
      <c r="I1486">
        <v>2</v>
      </c>
      <c r="J1486" t="s">
        <v>23</v>
      </c>
      <c r="K1486" s="59" t="s">
        <v>4376</v>
      </c>
    </row>
    <row r="1487" spans="1:11" x14ac:dyDescent="0.2">
      <c r="A1487" t="s">
        <v>1526</v>
      </c>
      <c r="B1487">
        <v>2025</v>
      </c>
      <c r="C1487" t="s">
        <v>19</v>
      </c>
      <c r="D1487">
        <v>735</v>
      </c>
      <c r="E1487" t="s">
        <v>20</v>
      </c>
      <c r="F1487" t="s">
        <v>21</v>
      </c>
      <c r="G1487" t="s">
        <v>41</v>
      </c>
      <c r="H1487">
        <v>-4.8797043807866522E-2</v>
      </c>
      <c r="I1487">
        <v>3</v>
      </c>
      <c r="J1487" t="s">
        <v>16</v>
      </c>
      <c r="K1487" s="59" t="s">
        <v>16</v>
      </c>
    </row>
    <row r="1488" spans="1:11" x14ac:dyDescent="0.2">
      <c r="A1488" t="s">
        <v>1527</v>
      </c>
      <c r="B1488">
        <v>2019</v>
      </c>
      <c r="C1488" t="s">
        <v>33</v>
      </c>
      <c r="D1488">
        <v>41</v>
      </c>
      <c r="E1488" t="s">
        <v>20</v>
      </c>
      <c r="F1488" t="s">
        <v>21</v>
      </c>
      <c r="G1488" t="s">
        <v>15</v>
      </c>
      <c r="H1488">
        <v>-2.2342640226275892</v>
      </c>
      <c r="I1488">
        <v>3</v>
      </c>
      <c r="J1488" t="s">
        <v>23</v>
      </c>
      <c r="K1488" s="59" t="s">
        <v>23</v>
      </c>
    </row>
    <row r="1489" spans="1:11" x14ac:dyDescent="0.2">
      <c r="A1489" t="s">
        <v>1528</v>
      </c>
      <c r="B1489">
        <v>2019</v>
      </c>
      <c r="C1489" t="s">
        <v>33</v>
      </c>
      <c r="D1489">
        <v>183</v>
      </c>
      <c r="E1489" t="s">
        <v>20</v>
      </c>
      <c r="F1489" t="s">
        <v>21</v>
      </c>
      <c r="G1489" t="s">
        <v>48</v>
      </c>
      <c r="H1489">
        <v>-0.51467041244794476</v>
      </c>
      <c r="I1489">
        <v>3</v>
      </c>
      <c r="J1489" t="s">
        <v>23</v>
      </c>
      <c r="K1489" s="59" t="s">
        <v>4376</v>
      </c>
    </row>
    <row r="1490" spans="1:11" x14ac:dyDescent="0.2">
      <c r="A1490" t="s">
        <v>1529</v>
      </c>
      <c r="B1490">
        <v>2024</v>
      </c>
      <c r="C1490" t="s">
        <v>19</v>
      </c>
      <c r="D1490">
        <v>142</v>
      </c>
      <c r="E1490" t="s">
        <v>25</v>
      </c>
      <c r="F1490" t="s">
        <v>26</v>
      </c>
      <c r="G1490" t="s">
        <v>15</v>
      </c>
      <c r="H1490">
        <v>1.207133472294913</v>
      </c>
      <c r="I1490">
        <v>2</v>
      </c>
      <c r="J1490" t="s">
        <v>23</v>
      </c>
      <c r="K1490" s="59" t="s">
        <v>23</v>
      </c>
    </row>
    <row r="1491" spans="1:11" x14ac:dyDescent="0.2">
      <c r="A1491" t="s">
        <v>1530</v>
      </c>
      <c r="B1491">
        <v>2017</v>
      </c>
      <c r="C1491" t="s">
        <v>12</v>
      </c>
      <c r="D1491">
        <v>231</v>
      </c>
      <c r="E1491" t="s">
        <v>20</v>
      </c>
      <c r="F1491" t="s">
        <v>21</v>
      </c>
      <c r="G1491" t="s">
        <v>15</v>
      </c>
      <c r="H1491">
        <v>1.423872792251629</v>
      </c>
      <c r="I1491">
        <v>3</v>
      </c>
      <c r="J1491" t="s">
        <v>23</v>
      </c>
      <c r="K1491" s="59" t="s">
        <v>16</v>
      </c>
    </row>
    <row r="1492" spans="1:11" x14ac:dyDescent="0.2">
      <c r="A1492" t="s">
        <v>1531</v>
      </c>
      <c r="B1492">
        <v>2025</v>
      </c>
      <c r="C1492" t="s">
        <v>12</v>
      </c>
      <c r="D1492">
        <v>116</v>
      </c>
      <c r="E1492" t="s">
        <v>13</v>
      </c>
      <c r="F1492" t="s">
        <v>14</v>
      </c>
      <c r="G1492" t="s">
        <v>41</v>
      </c>
      <c r="H1492">
        <v>-0.2368447163640903</v>
      </c>
      <c r="I1492">
        <v>4</v>
      </c>
      <c r="J1492" t="s">
        <v>23</v>
      </c>
      <c r="K1492" s="59" t="s">
        <v>23</v>
      </c>
    </row>
    <row r="1493" spans="1:11" x14ac:dyDescent="0.2">
      <c r="A1493" t="s">
        <v>1532</v>
      </c>
      <c r="B1493">
        <v>2018</v>
      </c>
      <c r="C1493" t="s">
        <v>12</v>
      </c>
      <c r="D1493">
        <v>72</v>
      </c>
      <c r="E1493" t="s">
        <v>20</v>
      </c>
      <c r="F1493" t="s">
        <v>21</v>
      </c>
      <c r="G1493" t="s">
        <v>36</v>
      </c>
      <c r="H1493">
        <v>-4.0922955339707254</v>
      </c>
      <c r="I1493">
        <v>3</v>
      </c>
      <c r="J1493" t="s">
        <v>23</v>
      </c>
      <c r="K1493" s="59" t="s">
        <v>16</v>
      </c>
    </row>
    <row r="1494" spans="1:11" x14ac:dyDescent="0.2">
      <c r="A1494" t="s">
        <v>1533</v>
      </c>
      <c r="B1494">
        <v>2019</v>
      </c>
      <c r="C1494" t="s">
        <v>19</v>
      </c>
      <c r="D1494">
        <v>62</v>
      </c>
      <c r="E1494" t="s">
        <v>25</v>
      </c>
      <c r="F1494" t="s">
        <v>26</v>
      </c>
      <c r="G1494" t="s">
        <v>15</v>
      </c>
      <c r="H1494">
        <v>0.40997360058970028</v>
      </c>
      <c r="I1494">
        <v>2</v>
      </c>
      <c r="J1494" t="s">
        <v>23</v>
      </c>
      <c r="K1494" s="59" t="s">
        <v>23</v>
      </c>
    </row>
    <row r="1495" spans="1:11" x14ac:dyDescent="0.2">
      <c r="A1495" t="s">
        <v>1534</v>
      </c>
      <c r="B1495">
        <v>2017</v>
      </c>
      <c r="C1495" t="s">
        <v>33</v>
      </c>
      <c r="D1495">
        <v>165</v>
      </c>
      <c r="E1495" t="s">
        <v>13</v>
      </c>
      <c r="F1495" t="s">
        <v>14</v>
      </c>
      <c r="G1495" t="s">
        <v>147</v>
      </c>
      <c r="H1495">
        <v>0.19100067286820679</v>
      </c>
      <c r="I1495">
        <v>4</v>
      </c>
      <c r="J1495" t="s">
        <v>23</v>
      </c>
      <c r="K1495" s="59" t="s">
        <v>23</v>
      </c>
    </row>
    <row r="1496" spans="1:11" x14ac:dyDescent="0.2">
      <c r="A1496" t="s">
        <v>1535</v>
      </c>
      <c r="B1496">
        <v>2023</v>
      </c>
      <c r="C1496" t="s">
        <v>12</v>
      </c>
      <c r="D1496">
        <v>395</v>
      </c>
      <c r="E1496" t="s">
        <v>38</v>
      </c>
      <c r="F1496" t="s">
        <v>39</v>
      </c>
      <c r="G1496" t="s">
        <v>15</v>
      </c>
      <c r="H1496">
        <v>1.173666381899163E-3</v>
      </c>
      <c r="I1496">
        <v>3</v>
      </c>
      <c r="J1496" t="s">
        <v>16</v>
      </c>
      <c r="K1496" s="59" t="s">
        <v>4376</v>
      </c>
    </row>
    <row r="1497" spans="1:11" x14ac:dyDescent="0.2">
      <c r="A1497" t="s">
        <v>1536</v>
      </c>
      <c r="B1497">
        <v>2020</v>
      </c>
      <c r="C1497" t="s">
        <v>33</v>
      </c>
      <c r="D1497">
        <v>61</v>
      </c>
      <c r="E1497" t="s">
        <v>20</v>
      </c>
      <c r="F1497" t="s">
        <v>21</v>
      </c>
      <c r="G1497" t="s">
        <v>48</v>
      </c>
      <c r="H1497">
        <v>0.17910216233627821</v>
      </c>
      <c r="I1497">
        <v>3</v>
      </c>
      <c r="J1497" t="s">
        <v>16</v>
      </c>
      <c r="K1497" s="59" t="s">
        <v>16</v>
      </c>
    </row>
    <row r="1498" spans="1:11" x14ac:dyDescent="0.2">
      <c r="A1498" t="s">
        <v>1537</v>
      </c>
      <c r="B1498">
        <v>2021</v>
      </c>
      <c r="C1498" t="s">
        <v>12</v>
      </c>
      <c r="D1498">
        <v>315</v>
      </c>
      <c r="E1498" t="s">
        <v>29</v>
      </c>
      <c r="F1498" t="s">
        <v>30</v>
      </c>
      <c r="G1498" t="s">
        <v>15</v>
      </c>
      <c r="H1498">
        <v>0.71279859689813674</v>
      </c>
      <c r="I1498">
        <v>4</v>
      </c>
      <c r="J1498" t="s">
        <v>16</v>
      </c>
      <c r="K1498" s="59" t="s">
        <v>16</v>
      </c>
    </row>
    <row r="1499" spans="1:11" x14ac:dyDescent="0.2">
      <c r="A1499" t="s">
        <v>1538</v>
      </c>
      <c r="B1499">
        <v>2019</v>
      </c>
      <c r="C1499" t="s">
        <v>33</v>
      </c>
      <c r="D1499">
        <v>209</v>
      </c>
      <c r="E1499" t="s">
        <v>25</v>
      </c>
      <c r="F1499" t="s">
        <v>26</v>
      </c>
      <c r="G1499" t="s">
        <v>15</v>
      </c>
      <c r="H1499">
        <v>0.75489854507753251</v>
      </c>
      <c r="I1499">
        <v>2</v>
      </c>
      <c r="J1499" t="s">
        <v>23</v>
      </c>
      <c r="K1499" s="59" t="s">
        <v>16</v>
      </c>
    </row>
    <row r="1500" spans="1:11" x14ac:dyDescent="0.2">
      <c r="A1500" t="s">
        <v>1539</v>
      </c>
      <c r="B1500">
        <v>2025</v>
      </c>
      <c r="C1500" t="s">
        <v>33</v>
      </c>
      <c r="D1500">
        <v>154</v>
      </c>
      <c r="E1500" t="s">
        <v>13</v>
      </c>
      <c r="F1500" t="s">
        <v>14</v>
      </c>
      <c r="G1500" t="s">
        <v>15</v>
      </c>
      <c r="H1500">
        <v>-0.13370341717416151</v>
      </c>
      <c r="I1500">
        <v>4</v>
      </c>
      <c r="J1500" t="s">
        <v>23</v>
      </c>
      <c r="K1500" s="59" t="s">
        <v>4376</v>
      </c>
    </row>
    <row r="1501" spans="1:11" x14ac:dyDescent="0.2">
      <c r="A1501" t="s">
        <v>1540</v>
      </c>
      <c r="B1501">
        <v>2023</v>
      </c>
      <c r="C1501" t="s">
        <v>19</v>
      </c>
      <c r="D1501">
        <v>50</v>
      </c>
      <c r="E1501" t="s">
        <v>20</v>
      </c>
      <c r="F1501" t="s">
        <v>21</v>
      </c>
      <c r="G1501" t="s">
        <v>15</v>
      </c>
      <c r="H1501">
        <v>-2.6322487669383552</v>
      </c>
      <c r="I1501">
        <v>3</v>
      </c>
      <c r="J1501" t="s">
        <v>16</v>
      </c>
      <c r="K1501" s="59" t="s">
        <v>23</v>
      </c>
    </row>
    <row r="1502" spans="1:11" x14ac:dyDescent="0.2">
      <c r="A1502" t="s">
        <v>1541</v>
      </c>
      <c r="B1502">
        <v>2023</v>
      </c>
      <c r="C1502" t="s">
        <v>33</v>
      </c>
      <c r="D1502">
        <v>157</v>
      </c>
      <c r="E1502" t="s">
        <v>53</v>
      </c>
      <c r="F1502" t="s">
        <v>54</v>
      </c>
      <c r="G1502" t="s">
        <v>15</v>
      </c>
      <c r="H1502">
        <v>-1.0325061672578271</v>
      </c>
      <c r="I1502">
        <v>3</v>
      </c>
      <c r="J1502" t="s">
        <v>16</v>
      </c>
      <c r="K1502" s="59" t="s">
        <v>4376</v>
      </c>
    </row>
    <row r="1503" spans="1:11" x14ac:dyDescent="0.2">
      <c r="A1503" t="s">
        <v>1542</v>
      </c>
      <c r="B1503">
        <v>2021</v>
      </c>
      <c r="C1503" t="s">
        <v>19</v>
      </c>
      <c r="D1503">
        <v>398</v>
      </c>
      <c r="E1503" t="s">
        <v>29</v>
      </c>
      <c r="F1503" t="s">
        <v>30</v>
      </c>
      <c r="G1503" t="s">
        <v>15</v>
      </c>
      <c r="H1503">
        <v>0.43743819565275671</v>
      </c>
      <c r="I1503">
        <v>4</v>
      </c>
      <c r="J1503" t="s">
        <v>23</v>
      </c>
      <c r="K1503" s="59" t="s">
        <v>16</v>
      </c>
    </row>
    <row r="1504" spans="1:11" x14ac:dyDescent="0.2">
      <c r="A1504" t="s">
        <v>1543</v>
      </c>
      <c r="B1504">
        <v>2021</v>
      </c>
      <c r="C1504" t="s">
        <v>19</v>
      </c>
      <c r="D1504">
        <v>440</v>
      </c>
      <c r="E1504" t="s">
        <v>38</v>
      </c>
      <c r="F1504" t="s">
        <v>39</v>
      </c>
      <c r="G1504" t="s">
        <v>15</v>
      </c>
      <c r="H1504">
        <v>0.62105954792597151</v>
      </c>
      <c r="I1504">
        <v>3</v>
      </c>
      <c r="J1504" t="s">
        <v>23</v>
      </c>
      <c r="K1504" s="59" t="s">
        <v>23</v>
      </c>
    </row>
    <row r="1505" spans="1:11" x14ac:dyDescent="0.2">
      <c r="A1505" t="s">
        <v>1544</v>
      </c>
      <c r="B1505">
        <v>2025</v>
      </c>
      <c r="C1505" t="s">
        <v>33</v>
      </c>
      <c r="D1505">
        <v>280</v>
      </c>
      <c r="E1505" t="s">
        <v>13</v>
      </c>
      <c r="F1505" t="s">
        <v>14</v>
      </c>
      <c r="G1505" t="s">
        <v>44</v>
      </c>
      <c r="H1505">
        <v>0.15416856713205759</v>
      </c>
      <c r="I1505">
        <v>4</v>
      </c>
      <c r="J1505" t="s">
        <v>16</v>
      </c>
      <c r="K1505" s="59" t="s">
        <v>4376</v>
      </c>
    </row>
    <row r="1506" spans="1:11" x14ac:dyDescent="0.2">
      <c r="A1506" t="s">
        <v>1545</v>
      </c>
      <c r="B1506">
        <v>2025</v>
      </c>
      <c r="C1506" t="s">
        <v>33</v>
      </c>
      <c r="D1506">
        <v>130</v>
      </c>
      <c r="E1506" t="s">
        <v>20</v>
      </c>
      <c r="F1506" t="s">
        <v>21</v>
      </c>
      <c r="G1506" t="s">
        <v>15</v>
      </c>
      <c r="H1506">
        <v>-1.709606523401678</v>
      </c>
      <c r="I1506">
        <v>3</v>
      </c>
      <c r="J1506" t="s">
        <v>23</v>
      </c>
      <c r="K1506" s="59" t="s">
        <v>4376</v>
      </c>
    </row>
    <row r="1507" spans="1:11" x14ac:dyDescent="0.2">
      <c r="A1507" t="s">
        <v>1546</v>
      </c>
      <c r="B1507">
        <v>2021</v>
      </c>
      <c r="C1507" t="s">
        <v>33</v>
      </c>
      <c r="D1507">
        <v>205</v>
      </c>
      <c r="E1507" t="s">
        <v>20</v>
      </c>
      <c r="F1507" t="s">
        <v>21</v>
      </c>
      <c r="G1507" t="s">
        <v>15</v>
      </c>
      <c r="H1507">
        <v>0.28942747364891208</v>
      </c>
      <c r="I1507">
        <v>3</v>
      </c>
      <c r="J1507" t="s">
        <v>23</v>
      </c>
      <c r="K1507" s="59" t="s">
        <v>23</v>
      </c>
    </row>
    <row r="1508" spans="1:11" x14ac:dyDescent="0.2">
      <c r="A1508" t="s">
        <v>1547</v>
      </c>
      <c r="B1508">
        <v>2023</v>
      </c>
      <c r="C1508" t="s">
        <v>33</v>
      </c>
      <c r="D1508">
        <v>116</v>
      </c>
      <c r="E1508" t="s">
        <v>20</v>
      </c>
      <c r="F1508" t="s">
        <v>21</v>
      </c>
      <c r="G1508" t="s">
        <v>15</v>
      </c>
      <c r="H1508">
        <v>-1.813297968202819</v>
      </c>
      <c r="I1508">
        <v>3</v>
      </c>
      <c r="J1508" t="s">
        <v>16</v>
      </c>
      <c r="K1508" s="59" t="s">
        <v>17</v>
      </c>
    </row>
    <row r="1509" spans="1:11" x14ac:dyDescent="0.2">
      <c r="A1509" t="s">
        <v>1548</v>
      </c>
      <c r="B1509">
        <v>2024</v>
      </c>
      <c r="C1509" t="s">
        <v>19</v>
      </c>
      <c r="D1509">
        <v>105</v>
      </c>
      <c r="E1509" t="s">
        <v>13</v>
      </c>
      <c r="F1509" t="s">
        <v>14</v>
      </c>
      <c r="G1509" t="s">
        <v>48</v>
      </c>
      <c r="H1509">
        <v>-0.34509202046441151</v>
      </c>
      <c r="I1509">
        <v>4</v>
      </c>
      <c r="J1509" t="s">
        <v>23</v>
      </c>
      <c r="K1509" s="59" t="s">
        <v>16</v>
      </c>
    </row>
    <row r="1510" spans="1:11" x14ac:dyDescent="0.2">
      <c r="A1510" t="s">
        <v>1549</v>
      </c>
      <c r="B1510">
        <v>2025</v>
      </c>
      <c r="C1510" t="s">
        <v>33</v>
      </c>
      <c r="D1510">
        <v>72</v>
      </c>
      <c r="E1510" t="s">
        <v>20</v>
      </c>
      <c r="F1510" t="s">
        <v>21</v>
      </c>
      <c r="G1510" t="s">
        <v>15</v>
      </c>
      <c r="H1510">
        <v>-9.9322984110851928E-2</v>
      </c>
      <c r="I1510">
        <v>3</v>
      </c>
      <c r="J1510" t="s">
        <v>23</v>
      </c>
      <c r="K1510" s="59" t="s">
        <v>4376</v>
      </c>
    </row>
    <row r="1511" spans="1:11" x14ac:dyDescent="0.2">
      <c r="A1511" t="s">
        <v>1550</v>
      </c>
      <c r="B1511">
        <v>2025</v>
      </c>
      <c r="C1511" t="s">
        <v>33</v>
      </c>
      <c r="D1511">
        <v>269</v>
      </c>
      <c r="E1511" t="s">
        <v>25</v>
      </c>
      <c r="F1511" t="s">
        <v>26</v>
      </c>
      <c r="G1511" t="s">
        <v>22</v>
      </c>
      <c r="H1511">
        <v>1.383947128049076</v>
      </c>
      <c r="I1511">
        <v>2</v>
      </c>
      <c r="J1511" t="s">
        <v>16</v>
      </c>
      <c r="K1511" s="59" t="s">
        <v>23</v>
      </c>
    </row>
    <row r="1512" spans="1:11" x14ac:dyDescent="0.2">
      <c r="A1512" t="s">
        <v>1551</v>
      </c>
      <c r="B1512">
        <v>2025</v>
      </c>
      <c r="C1512" t="s">
        <v>33</v>
      </c>
      <c r="D1512">
        <v>119</v>
      </c>
      <c r="E1512" t="s">
        <v>20</v>
      </c>
      <c r="F1512" t="s">
        <v>21</v>
      </c>
      <c r="G1512" t="s">
        <v>15</v>
      </c>
      <c r="H1512">
        <v>-1.9815060145259371</v>
      </c>
      <c r="I1512">
        <v>3</v>
      </c>
      <c r="J1512" t="s">
        <v>23</v>
      </c>
      <c r="K1512" s="59" t="s">
        <v>17</v>
      </c>
    </row>
    <row r="1513" spans="1:11" x14ac:dyDescent="0.2">
      <c r="A1513" t="s">
        <v>1552</v>
      </c>
      <c r="B1513">
        <v>2020</v>
      </c>
      <c r="C1513" t="s">
        <v>12</v>
      </c>
      <c r="D1513">
        <v>48</v>
      </c>
      <c r="E1513" t="s">
        <v>13</v>
      </c>
      <c r="F1513" t="s">
        <v>14</v>
      </c>
      <c r="G1513" t="s">
        <v>15</v>
      </c>
      <c r="H1513">
        <v>0.2272911299905892</v>
      </c>
      <c r="I1513">
        <v>4</v>
      </c>
      <c r="J1513" t="s">
        <v>23</v>
      </c>
      <c r="K1513" s="59" t="s">
        <v>17</v>
      </c>
    </row>
    <row r="1514" spans="1:11" x14ac:dyDescent="0.2">
      <c r="A1514" t="s">
        <v>1553</v>
      </c>
      <c r="B1514">
        <v>2021</v>
      </c>
      <c r="C1514" t="s">
        <v>33</v>
      </c>
      <c r="D1514">
        <v>367</v>
      </c>
      <c r="E1514" t="s">
        <v>38</v>
      </c>
      <c r="F1514" t="s">
        <v>39</v>
      </c>
      <c r="G1514" t="s">
        <v>15</v>
      </c>
      <c r="H1514">
        <v>0.69029355547504967</v>
      </c>
      <c r="I1514">
        <v>3</v>
      </c>
      <c r="J1514" t="s">
        <v>23</v>
      </c>
      <c r="K1514" s="59" t="s">
        <v>4376</v>
      </c>
    </row>
    <row r="1515" spans="1:11" x14ac:dyDescent="0.2">
      <c r="A1515" t="s">
        <v>1554</v>
      </c>
      <c r="B1515">
        <v>2021</v>
      </c>
      <c r="C1515" t="s">
        <v>19</v>
      </c>
      <c r="D1515">
        <v>311</v>
      </c>
      <c r="E1515" t="s">
        <v>38</v>
      </c>
      <c r="F1515" t="s">
        <v>39</v>
      </c>
      <c r="G1515" t="s">
        <v>15</v>
      </c>
      <c r="H1515">
        <v>0.60221472720671299</v>
      </c>
      <c r="I1515">
        <v>3</v>
      </c>
      <c r="J1515" t="s">
        <v>23</v>
      </c>
      <c r="K1515" s="59" t="s">
        <v>17</v>
      </c>
    </row>
    <row r="1516" spans="1:11" x14ac:dyDescent="0.2">
      <c r="A1516" t="s">
        <v>1555</v>
      </c>
      <c r="B1516">
        <v>2025</v>
      </c>
      <c r="C1516" t="s">
        <v>33</v>
      </c>
      <c r="D1516">
        <v>129</v>
      </c>
      <c r="E1516" t="s">
        <v>25</v>
      </c>
      <c r="F1516" t="s">
        <v>26</v>
      </c>
      <c r="G1516" t="s">
        <v>15</v>
      </c>
      <c r="H1516">
        <v>0.34977142277862971</v>
      </c>
      <c r="I1516">
        <v>2</v>
      </c>
      <c r="J1516" t="s">
        <v>23</v>
      </c>
      <c r="K1516" s="59" t="s">
        <v>4376</v>
      </c>
    </row>
    <row r="1517" spans="1:11" x14ac:dyDescent="0.2">
      <c r="A1517" t="s">
        <v>1556</v>
      </c>
      <c r="B1517">
        <v>2025</v>
      </c>
      <c r="C1517" t="s">
        <v>33</v>
      </c>
      <c r="D1517">
        <v>62</v>
      </c>
      <c r="E1517" t="s">
        <v>20</v>
      </c>
      <c r="F1517" t="s">
        <v>21</v>
      </c>
      <c r="G1517" t="s">
        <v>15</v>
      </c>
      <c r="H1517">
        <v>-2.093388101782808</v>
      </c>
      <c r="I1517">
        <v>3</v>
      </c>
      <c r="J1517" t="s">
        <v>23</v>
      </c>
      <c r="K1517" s="59" t="s">
        <v>4376</v>
      </c>
    </row>
    <row r="1518" spans="1:11" x14ac:dyDescent="0.2">
      <c r="A1518" t="s">
        <v>1557</v>
      </c>
      <c r="B1518">
        <v>2025</v>
      </c>
      <c r="C1518" t="s">
        <v>33</v>
      </c>
      <c r="D1518">
        <v>66</v>
      </c>
      <c r="E1518" t="s">
        <v>25</v>
      </c>
      <c r="F1518" t="s">
        <v>26</v>
      </c>
      <c r="G1518" t="s">
        <v>15</v>
      </c>
      <c r="H1518">
        <v>0.4485458524464041</v>
      </c>
      <c r="I1518">
        <v>2</v>
      </c>
      <c r="J1518" t="s">
        <v>23</v>
      </c>
      <c r="K1518" s="59" t="s">
        <v>4376</v>
      </c>
    </row>
    <row r="1519" spans="1:11" x14ac:dyDescent="0.2">
      <c r="A1519" t="s">
        <v>1558</v>
      </c>
      <c r="B1519">
        <v>2025</v>
      </c>
      <c r="C1519" t="s">
        <v>19</v>
      </c>
      <c r="D1519">
        <v>57</v>
      </c>
      <c r="E1519" t="s">
        <v>20</v>
      </c>
      <c r="F1519" t="s">
        <v>21</v>
      </c>
      <c r="G1519" t="s">
        <v>48</v>
      </c>
      <c r="H1519">
        <v>0.30266361786015239</v>
      </c>
      <c r="I1519">
        <v>3</v>
      </c>
      <c r="J1519" t="s">
        <v>16</v>
      </c>
      <c r="K1519" s="59" t="s">
        <v>16</v>
      </c>
    </row>
    <row r="1520" spans="1:11" x14ac:dyDescent="0.2">
      <c r="A1520" t="s">
        <v>1559</v>
      </c>
      <c r="B1520">
        <v>2025</v>
      </c>
      <c r="C1520" t="s">
        <v>33</v>
      </c>
      <c r="D1520">
        <v>117</v>
      </c>
      <c r="E1520" t="s">
        <v>20</v>
      </c>
      <c r="F1520" t="s">
        <v>21</v>
      </c>
      <c r="G1520" t="s">
        <v>15</v>
      </c>
      <c r="H1520">
        <v>-5.2800985870992294</v>
      </c>
      <c r="I1520">
        <v>3</v>
      </c>
      <c r="J1520" t="s">
        <v>23</v>
      </c>
      <c r="K1520" s="59" t="s">
        <v>23</v>
      </c>
    </row>
    <row r="1521" spans="1:11" x14ac:dyDescent="0.2">
      <c r="A1521" t="s">
        <v>1560</v>
      </c>
      <c r="B1521">
        <v>2023</v>
      </c>
      <c r="C1521" t="s">
        <v>12</v>
      </c>
      <c r="D1521">
        <v>153</v>
      </c>
      <c r="E1521" t="s">
        <v>25</v>
      </c>
      <c r="F1521" t="s">
        <v>26</v>
      </c>
      <c r="G1521" t="s">
        <v>22</v>
      </c>
      <c r="H1521">
        <v>-3.056211798423274E-2</v>
      </c>
      <c r="I1521">
        <v>2</v>
      </c>
      <c r="J1521" t="s">
        <v>23</v>
      </c>
      <c r="K1521" s="59" t="s">
        <v>16</v>
      </c>
    </row>
    <row r="1522" spans="1:11" x14ac:dyDescent="0.2">
      <c r="A1522" t="s">
        <v>1561</v>
      </c>
      <c r="B1522">
        <v>2019</v>
      </c>
      <c r="C1522" t="s">
        <v>33</v>
      </c>
      <c r="D1522">
        <v>190</v>
      </c>
      <c r="E1522" t="s">
        <v>20</v>
      </c>
      <c r="F1522" t="s">
        <v>21</v>
      </c>
      <c r="G1522" t="s">
        <v>15</v>
      </c>
      <c r="H1522">
        <v>1.207133472294913</v>
      </c>
      <c r="I1522">
        <v>3</v>
      </c>
      <c r="J1522" t="s">
        <v>23</v>
      </c>
      <c r="K1522" s="59" t="s">
        <v>4376</v>
      </c>
    </row>
    <row r="1523" spans="1:11" x14ac:dyDescent="0.2">
      <c r="A1523" t="s">
        <v>1562</v>
      </c>
      <c r="B1523">
        <v>2025</v>
      </c>
      <c r="C1523" t="s">
        <v>33</v>
      </c>
      <c r="D1523">
        <v>291</v>
      </c>
      <c r="E1523" t="s">
        <v>20</v>
      </c>
      <c r="F1523" t="s">
        <v>21</v>
      </c>
      <c r="G1523" t="s">
        <v>48</v>
      </c>
      <c r="H1523">
        <v>-0.27810123604006193</v>
      </c>
      <c r="I1523">
        <v>3</v>
      </c>
      <c r="J1523" t="s">
        <v>16</v>
      </c>
      <c r="K1523" s="59" t="s">
        <v>17</v>
      </c>
    </row>
    <row r="1524" spans="1:11" x14ac:dyDescent="0.2">
      <c r="A1524" t="s">
        <v>1563</v>
      </c>
      <c r="B1524">
        <v>2019</v>
      </c>
      <c r="C1524" t="s">
        <v>19</v>
      </c>
      <c r="D1524">
        <v>113</v>
      </c>
      <c r="E1524" t="s">
        <v>25</v>
      </c>
      <c r="F1524" t="s">
        <v>26</v>
      </c>
      <c r="G1524" t="s">
        <v>15</v>
      </c>
      <c r="H1524">
        <v>-0.48772895763689011</v>
      </c>
      <c r="I1524">
        <v>2</v>
      </c>
      <c r="J1524" t="s">
        <v>16</v>
      </c>
      <c r="K1524" s="59" t="s">
        <v>17</v>
      </c>
    </row>
    <row r="1525" spans="1:11" x14ac:dyDescent="0.2">
      <c r="A1525" t="s">
        <v>1564</v>
      </c>
      <c r="B1525">
        <v>2023</v>
      </c>
      <c r="C1525" t="s">
        <v>12</v>
      </c>
      <c r="D1525">
        <v>393</v>
      </c>
      <c r="E1525" t="s">
        <v>38</v>
      </c>
      <c r="F1525" t="s">
        <v>39</v>
      </c>
      <c r="G1525" t="s">
        <v>15</v>
      </c>
      <c r="H1525">
        <v>-5.0426212774462454E-3</v>
      </c>
      <c r="I1525">
        <v>3</v>
      </c>
      <c r="J1525" t="s">
        <v>16</v>
      </c>
      <c r="K1525" s="59" t="s">
        <v>4376</v>
      </c>
    </row>
    <row r="1526" spans="1:11" x14ac:dyDescent="0.2">
      <c r="A1526" t="s">
        <v>1565</v>
      </c>
      <c r="B1526">
        <v>2023</v>
      </c>
      <c r="C1526" t="s">
        <v>19</v>
      </c>
      <c r="D1526">
        <v>156</v>
      </c>
      <c r="E1526" t="s">
        <v>53</v>
      </c>
      <c r="F1526" t="s">
        <v>54</v>
      </c>
      <c r="G1526" t="s">
        <v>15</v>
      </c>
      <c r="H1526">
        <v>-1.04784616478901</v>
      </c>
      <c r="I1526">
        <v>3</v>
      </c>
      <c r="J1526" t="s">
        <v>23</v>
      </c>
      <c r="K1526" s="59" t="s">
        <v>16</v>
      </c>
    </row>
    <row r="1527" spans="1:11" x14ac:dyDescent="0.2">
      <c r="A1527" t="s">
        <v>1566</v>
      </c>
      <c r="B1527">
        <v>2022</v>
      </c>
      <c r="C1527" t="s">
        <v>33</v>
      </c>
      <c r="D1527">
        <v>352</v>
      </c>
      <c r="E1527" t="s">
        <v>53</v>
      </c>
      <c r="F1527" t="s">
        <v>54</v>
      </c>
      <c r="G1527" t="s">
        <v>36</v>
      </c>
      <c r="H1527">
        <v>5.4377775466296963E-2</v>
      </c>
      <c r="I1527">
        <v>3</v>
      </c>
      <c r="J1527" t="s">
        <v>16</v>
      </c>
      <c r="K1527" s="59" t="s">
        <v>4376</v>
      </c>
    </row>
    <row r="1528" spans="1:11" x14ac:dyDescent="0.2">
      <c r="A1528" t="s">
        <v>1567</v>
      </c>
      <c r="B1528">
        <v>2023</v>
      </c>
      <c r="C1528" t="s">
        <v>19</v>
      </c>
      <c r="D1528">
        <v>155</v>
      </c>
      <c r="E1528" t="s">
        <v>53</v>
      </c>
      <c r="F1528" t="s">
        <v>54</v>
      </c>
      <c r="G1528" t="s">
        <v>15</v>
      </c>
      <c r="H1528">
        <v>0.87823534340954534</v>
      </c>
      <c r="I1528">
        <v>3</v>
      </c>
      <c r="J1528" t="s">
        <v>23</v>
      </c>
      <c r="K1528" s="59" t="s">
        <v>17</v>
      </c>
    </row>
    <row r="1529" spans="1:11" x14ac:dyDescent="0.2">
      <c r="A1529" t="s">
        <v>1568</v>
      </c>
      <c r="B1529">
        <v>2024</v>
      </c>
      <c r="C1529" t="s">
        <v>19</v>
      </c>
      <c r="D1529">
        <v>88</v>
      </c>
      <c r="E1529" t="s">
        <v>20</v>
      </c>
      <c r="F1529" t="s">
        <v>21</v>
      </c>
      <c r="G1529" t="s">
        <v>36</v>
      </c>
      <c r="H1529">
        <v>0.27395028914793801</v>
      </c>
      <c r="I1529">
        <v>3</v>
      </c>
      <c r="J1529" t="s">
        <v>23</v>
      </c>
      <c r="K1529" s="59" t="s">
        <v>23</v>
      </c>
    </row>
    <row r="1530" spans="1:11" x14ac:dyDescent="0.2">
      <c r="A1530" t="s">
        <v>1569</v>
      </c>
      <c r="B1530">
        <v>2024</v>
      </c>
      <c r="C1530" t="s">
        <v>33</v>
      </c>
      <c r="D1530">
        <v>68</v>
      </c>
      <c r="E1530" t="s">
        <v>25</v>
      </c>
      <c r="F1530" t="s">
        <v>26</v>
      </c>
      <c r="G1530" t="s">
        <v>15</v>
      </c>
      <c r="H1530">
        <v>-0.1968197345888941</v>
      </c>
      <c r="I1530">
        <v>2</v>
      </c>
      <c r="J1530" t="s">
        <v>16</v>
      </c>
      <c r="K1530" s="59" t="s">
        <v>17</v>
      </c>
    </row>
    <row r="1531" spans="1:11" x14ac:dyDescent="0.2">
      <c r="A1531" t="s">
        <v>1570</v>
      </c>
      <c r="B1531">
        <v>2019</v>
      </c>
      <c r="C1531" t="s">
        <v>19</v>
      </c>
      <c r="D1531">
        <v>41</v>
      </c>
      <c r="E1531" t="s">
        <v>20</v>
      </c>
      <c r="F1531" t="s">
        <v>21</v>
      </c>
      <c r="G1531" t="s">
        <v>15</v>
      </c>
      <c r="H1531">
        <v>-2.3202989600006521</v>
      </c>
      <c r="I1531">
        <v>3</v>
      </c>
      <c r="J1531" t="s">
        <v>23</v>
      </c>
      <c r="K1531" s="59" t="s">
        <v>23</v>
      </c>
    </row>
    <row r="1532" spans="1:11" x14ac:dyDescent="0.2">
      <c r="A1532" t="s">
        <v>1571</v>
      </c>
      <c r="B1532">
        <v>2025</v>
      </c>
      <c r="C1532" t="s">
        <v>19</v>
      </c>
      <c r="D1532">
        <v>78</v>
      </c>
      <c r="E1532" t="s">
        <v>20</v>
      </c>
      <c r="F1532" t="s">
        <v>21</v>
      </c>
      <c r="G1532" t="s">
        <v>15</v>
      </c>
      <c r="H1532">
        <v>-0.6252989600664195</v>
      </c>
      <c r="I1532">
        <v>3</v>
      </c>
      <c r="J1532" t="s">
        <v>17</v>
      </c>
      <c r="K1532" s="59" t="s">
        <v>17</v>
      </c>
    </row>
    <row r="1533" spans="1:11" x14ac:dyDescent="0.2">
      <c r="A1533" t="s">
        <v>1572</v>
      </c>
      <c r="B1533">
        <v>2024</v>
      </c>
      <c r="C1533" t="s">
        <v>19</v>
      </c>
      <c r="D1533">
        <v>55</v>
      </c>
      <c r="E1533" t="s">
        <v>20</v>
      </c>
      <c r="F1533" t="s">
        <v>21</v>
      </c>
      <c r="G1533" t="s">
        <v>15</v>
      </c>
      <c r="H1533">
        <v>-1.3582719330109521</v>
      </c>
      <c r="I1533">
        <v>3</v>
      </c>
      <c r="J1533" t="s">
        <v>23</v>
      </c>
      <c r="K1533" s="59" t="s">
        <v>17</v>
      </c>
    </row>
    <row r="1534" spans="1:11" x14ac:dyDescent="0.2">
      <c r="A1534" t="s">
        <v>1573</v>
      </c>
      <c r="B1534">
        <v>2021</v>
      </c>
      <c r="C1534" t="s">
        <v>19</v>
      </c>
      <c r="D1534">
        <v>440</v>
      </c>
      <c r="E1534" t="s">
        <v>38</v>
      </c>
      <c r="F1534" t="s">
        <v>39</v>
      </c>
      <c r="G1534" t="s">
        <v>15</v>
      </c>
      <c r="H1534">
        <v>0.51117068710679503</v>
      </c>
      <c r="I1534">
        <v>3</v>
      </c>
      <c r="J1534" t="s">
        <v>23</v>
      </c>
      <c r="K1534" s="59" t="s">
        <v>23</v>
      </c>
    </row>
    <row r="1535" spans="1:11" x14ac:dyDescent="0.2">
      <c r="A1535" t="s">
        <v>1574</v>
      </c>
      <c r="B1535">
        <v>2025</v>
      </c>
      <c r="C1535" t="s">
        <v>33</v>
      </c>
      <c r="D1535">
        <v>124</v>
      </c>
      <c r="E1535" t="s">
        <v>13</v>
      </c>
      <c r="F1535" t="s">
        <v>14</v>
      </c>
      <c r="G1535" t="s">
        <v>15</v>
      </c>
      <c r="H1535">
        <v>6.9252042522149906E-2</v>
      </c>
      <c r="I1535">
        <v>4</v>
      </c>
      <c r="J1535" t="s">
        <v>23</v>
      </c>
      <c r="K1535" s="59" t="s">
        <v>4376</v>
      </c>
    </row>
    <row r="1536" spans="1:11" x14ac:dyDescent="0.2">
      <c r="A1536" t="s">
        <v>1575</v>
      </c>
      <c r="B1536">
        <v>2023</v>
      </c>
      <c r="C1536" t="s">
        <v>19</v>
      </c>
      <c r="D1536">
        <v>156</v>
      </c>
      <c r="E1536" t="s">
        <v>53</v>
      </c>
      <c r="F1536" t="s">
        <v>54</v>
      </c>
      <c r="G1536" t="s">
        <v>15</v>
      </c>
      <c r="H1536">
        <v>-1.04784616478901</v>
      </c>
      <c r="I1536">
        <v>3</v>
      </c>
      <c r="J1536" t="s">
        <v>23</v>
      </c>
      <c r="K1536" s="59" t="s">
        <v>17</v>
      </c>
    </row>
    <row r="1537" spans="1:11" x14ac:dyDescent="0.2">
      <c r="A1537" t="s">
        <v>1576</v>
      </c>
      <c r="B1537">
        <v>2019</v>
      </c>
      <c r="C1537" t="s">
        <v>12</v>
      </c>
      <c r="D1537">
        <v>83</v>
      </c>
      <c r="E1537" t="s">
        <v>20</v>
      </c>
      <c r="F1537" t="s">
        <v>21</v>
      </c>
      <c r="G1537" t="s">
        <v>15</v>
      </c>
      <c r="H1537">
        <v>-2.1928014022068361</v>
      </c>
      <c r="I1537">
        <v>3</v>
      </c>
      <c r="J1537" t="s">
        <v>23</v>
      </c>
      <c r="K1537" s="59" t="s">
        <v>23</v>
      </c>
    </row>
    <row r="1538" spans="1:11" x14ac:dyDescent="0.2">
      <c r="A1538" t="s">
        <v>1577</v>
      </c>
      <c r="B1538">
        <v>2023</v>
      </c>
      <c r="C1538" t="s">
        <v>19</v>
      </c>
      <c r="D1538">
        <v>163</v>
      </c>
      <c r="E1538" t="s">
        <v>29</v>
      </c>
      <c r="F1538" t="s">
        <v>30</v>
      </c>
      <c r="G1538" t="s">
        <v>15</v>
      </c>
      <c r="H1538">
        <v>3.1322661529724391E-2</v>
      </c>
      <c r="I1538">
        <v>4</v>
      </c>
      <c r="J1538" t="s">
        <v>23</v>
      </c>
      <c r="K1538" s="59" t="s">
        <v>23</v>
      </c>
    </row>
    <row r="1539" spans="1:11" x14ac:dyDescent="0.2">
      <c r="A1539" t="s">
        <v>1578</v>
      </c>
      <c r="B1539">
        <v>2022</v>
      </c>
      <c r="C1539" t="s">
        <v>19</v>
      </c>
      <c r="D1539">
        <v>166</v>
      </c>
      <c r="E1539" t="s">
        <v>20</v>
      </c>
      <c r="F1539" t="s">
        <v>21</v>
      </c>
      <c r="G1539" t="s">
        <v>15</v>
      </c>
      <c r="H1539">
        <v>-1.220346911220314</v>
      </c>
      <c r="I1539">
        <v>3</v>
      </c>
      <c r="J1539" t="s">
        <v>23</v>
      </c>
      <c r="K1539" s="59" t="s">
        <v>17</v>
      </c>
    </row>
    <row r="1540" spans="1:11" x14ac:dyDescent="0.2">
      <c r="A1540" t="s">
        <v>1579</v>
      </c>
      <c r="B1540">
        <v>2019</v>
      </c>
      <c r="C1540" t="s">
        <v>12</v>
      </c>
      <c r="D1540">
        <v>267</v>
      </c>
      <c r="E1540" t="s">
        <v>25</v>
      </c>
      <c r="F1540" t="s">
        <v>26</v>
      </c>
      <c r="G1540" t="s">
        <v>80</v>
      </c>
      <c r="H1540">
        <v>-0.64078212383795585</v>
      </c>
      <c r="I1540">
        <v>2</v>
      </c>
      <c r="J1540" t="s">
        <v>16</v>
      </c>
      <c r="K1540" s="59" t="s">
        <v>17</v>
      </c>
    </row>
    <row r="1541" spans="1:11" x14ac:dyDescent="0.2">
      <c r="A1541" t="s">
        <v>1580</v>
      </c>
      <c r="B1541">
        <v>2023</v>
      </c>
      <c r="C1541" t="s">
        <v>19</v>
      </c>
      <c r="D1541">
        <v>155</v>
      </c>
      <c r="E1541" t="s">
        <v>53</v>
      </c>
      <c r="F1541" t="s">
        <v>54</v>
      </c>
      <c r="G1541" t="s">
        <v>15</v>
      </c>
      <c r="H1541">
        <v>0.87823534340954534</v>
      </c>
      <c r="I1541">
        <v>3</v>
      </c>
      <c r="J1541" t="s">
        <v>23</v>
      </c>
      <c r="K1541" s="59" t="s">
        <v>17</v>
      </c>
    </row>
    <row r="1542" spans="1:11" x14ac:dyDescent="0.2">
      <c r="A1542" t="s">
        <v>1581</v>
      </c>
      <c r="B1542">
        <v>2021</v>
      </c>
      <c r="C1542" t="s">
        <v>19</v>
      </c>
      <c r="D1542">
        <v>394</v>
      </c>
      <c r="E1542" t="s">
        <v>29</v>
      </c>
      <c r="F1542" t="s">
        <v>30</v>
      </c>
      <c r="G1542" t="s">
        <v>15</v>
      </c>
      <c r="H1542">
        <v>0.43743819565275671</v>
      </c>
      <c r="I1542">
        <v>4</v>
      </c>
      <c r="J1542" t="s">
        <v>23</v>
      </c>
      <c r="K1542" s="59" t="s">
        <v>17</v>
      </c>
    </row>
    <row r="1543" spans="1:11" x14ac:dyDescent="0.2">
      <c r="A1543" t="s">
        <v>1582</v>
      </c>
      <c r="B1543">
        <v>2021</v>
      </c>
      <c r="C1543" t="s">
        <v>12</v>
      </c>
      <c r="D1543">
        <v>51</v>
      </c>
      <c r="E1543" t="s">
        <v>25</v>
      </c>
      <c r="F1543" t="s">
        <v>26</v>
      </c>
      <c r="G1543" t="s">
        <v>147</v>
      </c>
      <c r="H1543">
        <v>3.0515425872206978</v>
      </c>
      <c r="I1543">
        <v>2</v>
      </c>
      <c r="J1543" t="s">
        <v>23</v>
      </c>
      <c r="K1543" s="59" t="s">
        <v>17</v>
      </c>
    </row>
    <row r="1544" spans="1:11" x14ac:dyDescent="0.2">
      <c r="A1544" t="s">
        <v>1583</v>
      </c>
      <c r="B1544">
        <v>2023</v>
      </c>
      <c r="C1544" t="s">
        <v>33</v>
      </c>
      <c r="D1544">
        <v>95</v>
      </c>
      <c r="E1544" t="s">
        <v>20</v>
      </c>
      <c r="F1544" t="s">
        <v>21</v>
      </c>
      <c r="G1544" t="s">
        <v>167</v>
      </c>
      <c r="H1544">
        <v>-0.79424663113519478</v>
      </c>
      <c r="I1544">
        <v>3</v>
      </c>
      <c r="J1544" t="s">
        <v>23</v>
      </c>
      <c r="K1544" s="59" t="s">
        <v>4376</v>
      </c>
    </row>
    <row r="1545" spans="1:11" x14ac:dyDescent="0.2">
      <c r="A1545" t="s">
        <v>1584</v>
      </c>
      <c r="B1545">
        <v>2023</v>
      </c>
      <c r="C1545" t="s">
        <v>19</v>
      </c>
      <c r="D1545">
        <v>166</v>
      </c>
      <c r="E1545" t="s">
        <v>25</v>
      </c>
      <c r="F1545" t="s">
        <v>26</v>
      </c>
      <c r="G1545" t="s">
        <v>15</v>
      </c>
      <c r="H1545">
        <v>-0.540693408572259</v>
      </c>
      <c r="I1545">
        <v>2</v>
      </c>
      <c r="J1545" t="s">
        <v>23</v>
      </c>
      <c r="K1545" s="59" t="s">
        <v>17</v>
      </c>
    </row>
    <row r="1546" spans="1:11" x14ac:dyDescent="0.2">
      <c r="A1546" t="s">
        <v>1585</v>
      </c>
      <c r="B1546">
        <v>2025</v>
      </c>
      <c r="C1546" t="s">
        <v>19</v>
      </c>
      <c r="D1546">
        <v>167</v>
      </c>
      <c r="E1546" t="s">
        <v>20</v>
      </c>
      <c r="F1546" t="s">
        <v>21</v>
      </c>
      <c r="G1546" t="s">
        <v>36</v>
      </c>
      <c r="H1546">
        <v>6.0000973987411929E-2</v>
      </c>
      <c r="I1546">
        <v>3</v>
      </c>
      <c r="J1546" t="s">
        <v>23</v>
      </c>
      <c r="K1546" s="59" t="s">
        <v>23</v>
      </c>
    </row>
    <row r="1547" spans="1:11" x14ac:dyDescent="0.2">
      <c r="A1547" t="s">
        <v>1586</v>
      </c>
      <c r="B1547">
        <v>2022</v>
      </c>
      <c r="C1547" t="s">
        <v>33</v>
      </c>
      <c r="D1547">
        <v>352</v>
      </c>
      <c r="E1547" t="s">
        <v>53</v>
      </c>
      <c r="F1547" t="s">
        <v>54</v>
      </c>
      <c r="G1547" t="s">
        <v>36</v>
      </c>
      <c r="H1547">
        <v>5.4377775466296963E-2</v>
      </c>
      <c r="I1547">
        <v>3</v>
      </c>
      <c r="J1547" t="s">
        <v>16</v>
      </c>
      <c r="K1547" s="59" t="s">
        <v>4376</v>
      </c>
    </row>
    <row r="1548" spans="1:11" x14ac:dyDescent="0.2">
      <c r="A1548" t="s">
        <v>1587</v>
      </c>
      <c r="B1548">
        <v>2023</v>
      </c>
      <c r="C1548" t="s">
        <v>19</v>
      </c>
      <c r="D1548">
        <v>182</v>
      </c>
      <c r="E1548" t="s">
        <v>13</v>
      </c>
      <c r="F1548" t="s">
        <v>14</v>
      </c>
      <c r="G1548" t="s">
        <v>15</v>
      </c>
      <c r="H1548">
        <v>-0.47259625736964178</v>
      </c>
      <c r="I1548">
        <v>4</v>
      </c>
      <c r="J1548" t="s">
        <v>23</v>
      </c>
      <c r="K1548" s="59" t="s">
        <v>17</v>
      </c>
    </row>
    <row r="1549" spans="1:11" x14ac:dyDescent="0.2">
      <c r="A1549" t="s">
        <v>1588</v>
      </c>
      <c r="B1549">
        <v>2024</v>
      </c>
      <c r="C1549" t="s">
        <v>33</v>
      </c>
      <c r="D1549">
        <v>196</v>
      </c>
      <c r="E1549" t="s">
        <v>25</v>
      </c>
      <c r="F1549" t="s">
        <v>26</v>
      </c>
      <c r="G1549" t="s">
        <v>15</v>
      </c>
      <c r="H1549">
        <v>0.2221610653711947</v>
      </c>
      <c r="I1549">
        <v>2</v>
      </c>
      <c r="J1549" t="s">
        <v>17</v>
      </c>
      <c r="K1549" s="59" t="s">
        <v>23</v>
      </c>
    </row>
    <row r="1550" spans="1:11" x14ac:dyDescent="0.2">
      <c r="A1550" t="s">
        <v>1589</v>
      </c>
      <c r="B1550">
        <v>2024</v>
      </c>
      <c r="C1550" t="s">
        <v>19</v>
      </c>
      <c r="D1550">
        <v>138</v>
      </c>
      <c r="E1550" t="s">
        <v>25</v>
      </c>
      <c r="F1550" t="s">
        <v>26</v>
      </c>
      <c r="G1550" t="s">
        <v>15</v>
      </c>
      <c r="H1550">
        <v>-1.098377921362319</v>
      </c>
      <c r="I1550">
        <v>2</v>
      </c>
      <c r="J1550" t="s">
        <v>23</v>
      </c>
      <c r="K1550" s="59" t="s">
        <v>17</v>
      </c>
    </row>
    <row r="1551" spans="1:11" x14ac:dyDescent="0.2">
      <c r="A1551" t="s">
        <v>1590</v>
      </c>
      <c r="B1551">
        <v>2025</v>
      </c>
      <c r="C1551" t="s">
        <v>19</v>
      </c>
      <c r="D1551">
        <v>75</v>
      </c>
      <c r="E1551" t="s">
        <v>20</v>
      </c>
      <c r="F1551" t="s">
        <v>21</v>
      </c>
      <c r="G1551" t="s">
        <v>48</v>
      </c>
      <c r="H1551">
        <v>0.5800343732201455</v>
      </c>
      <c r="I1551">
        <v>3</v>
      </c>
      <c r="J1551" t="s">
        <v>23</v>
      </c>
      <c r="K1551" s="59" t="s">
        <v>17</v>
      </c>
    </row>
    <row r="1552" spans="1:11" x14ac:dyDescent="0.2">
      <c r="A1552" t="s">
        <v>1591</v>
      </c>
      <c r="B1552">
        <v>2023</v>
      </c>
      <c r="C1552" t="s">
        <v>12</v>
      </c>
      <c r="D1552">
        <v>393</v>
      </c>
      <c r="E1552" t="s">
        <v>38</v>
      </c>
      <c r="F1552" t="s">
        <v>39</v>
      </c>
      <c r="G1552" t="s">
        <v>15</v>
      </c>
      <c r="H1552">
        <v>-5.0426212774462454E-3</v>
      </c>
      <c r="I1552">
        <v>3</v>
      </c>
      <c r="J1552" t="s">
        <v>16</v>
      </c>
      <c r="K1552" s="59" t="s">
        <v>4376</v>
      </c>
    </row>
    <row r="1553" spans="1:11" x14ac:dyDescent="0.2">
      <c r="A1553" t="s">
        <v>1592</v>
      </c>
      <c r="B1553">
        <v>2017</v>
      </c>
      <c r="C1553" t="s">
        <v>19</v>
      </c>
      <c r="D1553">
        <v>221</v>
      </c>
      <c r="E1553" t="s">
        <v>20</v>
      </c>
      <c r="F1553" t="s">
        <v>21</v>
      </c>
      <c r="G1553" t="s">
        <v>48</v>
      </c>
      <c r="H1553">
        <v>-0.59902752734439313</v>
      </c>
      <c r="I1553">
        <v>3</v>
      </c>
      <c r="J1553" t="s">
        <v>23</v>
      </c>
      <c r="K1553" s="59" t="s">
        <v>23</v>
      </c>
    </row>
    <row r="1554" spans="1:11" x14ac:dyDescent="0.2">
      <c r="A1554" t="s">
        <v>1593</v>
      </c>
      <c r="B1554">
        <v>2016</v>
      </c>
      <c r="C1554" t="s">
        <v>19</v>
      </c>
      <c r="D1554">
        <v>87</v>
      </c>
      <c r="E1554" t="s">
        <v>13</v>
      </c>
      <c r="F1554" t="s">
        <v>14</v>
      </c>
      <c r="G1554" t="s">
        <v>15</v>
      </c>
      <c r="H1554">
        <v>-0.95527721416980116</v>
      </c>
      <c r="I1554">
        <v>4</v>
      </c>
      <c r="J1554" t="s">
        <v>23</v>
      </c>
      <c r="K1554" s="59" t="s">
        <v>23</v>
      </c>
    </row>
    <row r="1555" spans="1:11" x14ac:dyDescent="0.2">
      <c r="A1555" t="s">
        <v>1594</v>
      </c>
      <c r="B1555">
        <v>2018</v>
      </c>
      <c r="C1555" t="s">
        <v>12</v>
      </c>
      <c r="D1555">
        <v>222</v>
      </c>
      <c r="E1555" t="s">
        <v>29</v>
      </c>
      <c r="F1555" t="s">
        <v>30</v>
      </c>
      <c r="G1555" t="s">
        <v>15</v>
      </c>
      <c r="H1555">
        <v>0.54780030737985386</v>
      </c>
      <c r="I1555">
        <v>4</v>
      </c>
      <c r="J1555" t="s">
        <v>23</v>
      </c>
      <c r="K1555" s="59" t="s">
        <v>17</v>
      </c>
    </row>
    <row r="1556" spans="1:11" x14ac:dyDescent="0.2">
      <c r="A1556" t="s">
        <v>1595</v>
      </c>
      <c r="B1556">
        <v>2021</v>
      </c>
      <c r="C1556" t="s">
        <v>33</v>
      </c>
      <c r="D1556">
        <v>398</v>
      </c>
      <c r="E1556" t="s">
        <v>29</v>
      </c>
      <c r="F1556" t="s">
        <v>30</v>
      </c>
      <c r="G1556" t="s">
        <v>15</v>
      </c>
      <c r="H1556">
        <v>0.43743819565275671</v>
      </c>
      <c r="I1556">
        <v>4</v>
      </c>
      <c r="J1556" t="s">
        <v>23</v>
      </c>
      <c r="K1556" s="59" t="s">
        <v>17</v>
      </c>
    </row>
    <row r="1557" spans="1:11" x14ac:dyDescent="0.2">
      <c r="A1557" t="s">
        <v>1596</v>
      </c>
      <c r="B1557">
        <v>2019</v>
      </c>
      <c r="C1557" t="s">
        <v>33</v>
      </c>
      <c r="D1557">
        <v>71</v>
      </c>
      <c r="E1557" t="s">
        <v>38</v>
      </c>
      <c r="F1557" t="s">
        <v>39</v>
      </c>
      <c r="G1557" t="s">
        <v>15</v>
      </c>
      <c r="H1557">
        <v>0.52550401677886149</v>
      </c>
      <c r="I1557">
        <v>3</v>
      </c>
      <c r="J1557" t="s">
        <v>23</v>
      </c>
      <c r="K1557" s="59" t="s">
        <v>16</v>
      </c>
    </row>
    <row r="1558" spans="1:11" x14ac:dyDescent="0.2">
      <c r="A1558" t="s">
        <v>1597</v>
      </c>
      <c r="B1558">
        <v>2023</v>
      </c>
      <c r="C1558" t="s">
        <v>19</v>
      </c>
      <c r="D1558">
        <v>155</v>
      </c>
      <c r="E1558" t="s">
        <v>53</v>
      </c>
      <c r="F1558" t="s">
        <v>54</v>
      </c>
      <c r="G1558" t="s">
        <v>15</v>
      </c>
      <c r="H1558">
        <v>0.87823534340954534</v>
      </c>
      <c r="I1558">
        <v>3</v>
      </c>
      <c r="J1558" t="s">
        <v>23</v>
      </c>
      <c r="K1558" s="59" t="s">
        <v>17</v>
      </c>
    </row>
    <row r="1559" spans="1:11" x14ac:dyDescent="0.2">
      <c r="A1559" t="s">
        <v>1598</v>
      </c>
      <c r="B1559">
        <v>2024</v>
      </c>
      <c r="C1559" t="s">
        <v>33</v>
      </c>
      <c r="D1559">
        <v>182</v>
      </c>
      <c r="E1559" t="s">
        <v>29</v>
      </c>
      <c r="F1559" t="s">
        <v>30</v>
      </c>
      <c r="G1559" t="s">
        <v>15</v>
      </c>
      <c r="H1559">
        <v>0.40997360058970028</v>
      </c>
      <c r="I1559">
        <v>4</v>
      </c>
      <c r="J1559" t="s">
        <v>17</v>
      </c>
      <c r="K1559" s="59" t="s">
        <v>4376</v>
      </c>
    </row>
    <row r="1560" spans="1:11" x14ac:dyDescent="0.2">
      <c r="A1560" t="s">
        <v>1599</v>
      </c>
      <c r="B1560">
        <v>2023</v>
      </c>
      <c r="C1560" t="s">
        <v>19</v>
      </c>
      <c r="D1560">
        <v>63</v>
      </c>
      <c r="E1560" t="s">
        <v>20</v>
      </c>
      <c r="F1560" t="s">
        <v>21</v>
      </c>
      <c r="G1560" t="s">
        <v>48</v>
      </c>
      <c r="H1560">
        <v>-2.525599260292986</v>
      </c>
      <c r="I1560">
        <v>3</v>
      </c>
      <c r="J1560" t="s">
        <v>23</v>
      </c>
      <c r="K1560" s="59" t="s">
        <v>17</v>
      </c>
    </row>
    <row r="1561" spans="1:11" x14ac:dyDescent="0.2">
      <c r="A1561" t="s">
        <v>1600</v>
      </c>
      <c r="B1561">
        <v>2025</v>
      </c>
      <c r="C1561" t="s">
        <v>33</v>
      </c>
      <c r="D1561">
        <v>115</v>
      </c>
      <c r="E1561" t="s">
        <v>20</v>
      </c>
      <c r="F1561" t="s">
        <v>21</v>
      </c>
      <c r="G1561" t="s">
        <v>48</v>
      </c>
      <c r="H1561">
        <v>0.38917812567565119</v>
      </c>
      <c r="I1561">
        <v>3</v>
      </c>
      <c r="J1561" t="s">
        <v>23</v>
      </c>
      <c r="K1561" s="59" t="s">
        <v>17</v>
      </c>
    </row>
    <row r="1562" spans="1:11" x14ac:dyDescent="0.2">
      <c r="A1562" t="s">
        <v>1601</v>
      </c>
      <c r="B1562">
        <v>2022</v>
      </c>
      <c r="C1562" t="s">
        <v>19</v>
      </c>
      <c r="D1562">
        <v>352</v>
      </c>
      <c r="E1562" t="s">
        <v>53</v>
      </c>
      <c r="F1562" t="s">
        <v>54</v>
      </c>
      <c r="G1562" t="s">
        <v>36</v>
      </c>
      <c r="H1562">
        <v>5.4377775466296963E-2</v>
      </c>
      <c r="I1562">
        <v>3</v>
      </c>
      <c r="J1562" t="s">
        <v>16</v>
      </c>
      <c r="K1562" s="59" t="s">
        <v>4376</v>
      </c>
    </row>
    <row r="1563" spans="1:11" x14ac:dyDescent="0.2">
      <c r="A1563" t="s">
        <v>1602</v>
      </c>
      <c r="B1563">
        <v>2024</v>
      </c>
      <c r="C1563" t="s">
        <v>33</v>
      </c>
      <c r="D1563">
        <v>184</v>
      </c>
      <c r="E1563" t="s">
        <v>29</v>
      </c>
      <c r="F1563" t="s">
        <v>30</v>
      </c>
      <c r="G1563" t="s">
        <v>15</v>
      </c>
      <c r="H1563">
        <v>0.41888041479869709</v>
      </c>
      <c r="I1563">
        <v>4</v>
      </c>
      <c r="J1563" t="s">
        <v>17</v>
      </c>
      <c r="K1563" s="59" t="s">
        <v>4376</v>
      </c>
    </row>
    <row r="1564" spans="1:11" x14ac:dyDescent="0.2">
      <c r="A1564" t="s">
        <v>1603</v>
      </c>
      <c r="B1564">
        <v>2023</v>
      </c>
      <c r="C1564" t="s">
        <v>19</v>
      </c>
      <c r="D1564">
        <v>66</v>
      </c>
      <c r="E1564" t="s">
        <v>13</v>
      </c>
      <c r="F1564" t="s">
        <v>14</v>
      </c>
      <c r="G1564" t="s">
        <v>15</v>
      </c>
      <c r="H1564">
        <v>-1.6433169780449379</v>
      </c>
      <c r="I1564">
        <v>4</v>
      </c>
      <c r="J1564" t="s">
        <v>23</v>
      </c>
      <c r="K1564" s="59" t="s">
        <v>17</v>
      </c>
    </row>
    <row r="1565" spans="1:11" x14ac:dyDescent="0.2">
      <c r="A1565" t="s">
        <v>1604</v>
      </c>
      <c r="B1565">
        <v>2021</v>
      </c>
      <c r="C1565" t="s">
        <v>12</v>
      </c>
      <c r="D1565">
        <v>122</v>
      </c>
      <c r="E1565" t="s">
        <v>25</v>
      </c>
      <c r="F1565" t="s">
        <v>26</v>
      </c>
      <c r="G1565" t="s">
        <v>15</v>
      </c>
      <c r="H1565">
        <v>2.025088818914174</v>
      </c>
      <c r="I1565">
        <v>2</v>
      </c>
      <c r="J1565" t="s">
        <v>23</v>
      </c>
      <c r="K1565" s="59" t="s">
        <v>17</v>
      </c>
    </row>
    <row r="1566" spans="1:11" x14ac:dyDescent="0.2">
      <c r="A1566" t="s">
        <v>1605</v>
      </c>
      <c r="B1566">
        <v>2019</v>
      </c>
      <c r="C1566" t="s">
        <v>19</v>
      </c>
      <c r="D1566">
        <v>103</v>
      </c>
      <c r="E1566" t="s">
        <v>20</v>
      </c>
      <c r="F1566" t="s">
        <v>21</v>
      </c>
      <c r="G1566" t="s">
        <v>147</v>
      </c>
      <c r="H1566">
        <v>0.72226303486596899</v>
      </c>
      <c r="I1566">
        <v>3</v>
      </c>
      <c r="J1566" t="s">
        <v>16</v>
      </c>
      <c r="K1566" s="59" t="s">
        <v>23</v>
      </c>
    </row>
    <row r="1567" spans="1:11" x14ac:dyDescent="0.2">
      <c r="A1567" t="s">
        <v>1606</v>
      </c>
      <c r="B1567">
        <v>2024</v>
      </c>
      <c r="C1567" t="s">
        <v>33</v>
      </c>
      <c r="D1567">
        <v>184</v>
      </c>
      <c r="E1567" t="s">
        <v>29</v>
      </c>
      <c r="F1567" t="s">
        <v>30</v>
      </c>
      <c r="G1567" t="s">
        <v>15</v>
      </c>
      <c r="H1567">
        <v>0.41888041479869709</v>
      </c>
      <c r="I1567">
        <v>4</v>
      </c>
      <c r="J1567" t="s">
        <v>17</v>
      </c>
      <c r="K1567" s="59" t="s">
        <v>4376</v>
      </c>
    </row>
    <row r="1568" spans="1:11" x14ac:dyDescent="0.2">
      <c r="A1568" t="s">
        <v>1607</v>
      </c>
      <c r="B1568">
        <v>2021</v>
      </c>
      <c r="C1568" t="s">
        <v>33</v>
      </c>
      <c r="D1568">
        <v>71</v>
      </c>
      <c r="E1568" t="s">
        <v>25</v>
      </c>
      <c r="F1568" t="s">
        <v>26</v>
      </c>
      <c r="G1568" t="s">
        <v>15</v>
      </c>
      <c r="H1568">
        <v>0.51548005419774312</v>
      </c>
      <c r="I1568">
        <v>2</v>
      </c>
      <c r="J1568" t="s">
        <v>16</v>
      </c>
      <c r="K1568" s="59" t="s">
        <v>23</v>
      </c>
    </row>
    <row r="1569" spans="1:11" x14ac:dyDescent="0.2">
      <c r="A1569" t="s">
        <v>1608</v>
      </c>
      <c r="B1569">
        <v>2019</v>
      </c>
      <c r="C1569" t="s">
        <v>19</v>
      </c>
      <c r="D1569">
        <v>54</v>
      </c>
      <c r="E1569" t="s">
        <v>20</v>
      </c>
      <c r="F1569" t="s">
        <v>21</v>
      </c>
      <c r="G1569" t="s">
        <v>15</v>
      </c>
      <c r="H1569">
        <v>0.33616250135773618</v>
      </c>
      <c r="I1569">
        <v>3</v>
      </c>
      <c r="J1569" t="s">
        <v>23</v>
      </c>
      <c r="K1569" s="59" t="s">
        <v>23</v>
      </c>
    </row>
    <row r="1570" spans="1:11" x14ac:dyDescent="0.2">
      <c r="A1570" t="s">
        <v>1609</v>
      </c>
      <c r="B1570">
        <v>2019</v>
      </c>
      <c r="C1570" t="s">
        <v>19</v>
      </c>
      <c r="D1570">
        <v>121</v>
      </c>
      <c r="E1570" t="s">
        <v>20</v>
      </c>
      <c r="F1570" t="s">
        <v>21</v>
      </c>
      <c r="G1570" t="s">
        <v>15</v>
      </c>
      <c r="H1570">
        <v>0.40997360058970028</v>
      </c>
      <c r="I1570">
        <v>3</v>
      </c>
      <c r="J1570" t="s">
        <v>23</v>
      </c>
      <c r="K1570" s="59" t="s">
        <v>17</v>
      </c>
    </row>
    <row r="1571" spans="1:11" x14ac:dyDescent="0.2">
      <c r="A1571" t="s">
        <v>1610</v>
      </c>
      <c r="B1571">
        <v>2017</v>
      </c>
      <c r="C1571" t="s">
        <v>19</v>
      </c>
      <c r="D1571">
        <v>98</v>
      </c>
      <c r="E1571" t="s">
        <v>20</v>
      </c>
      <c r="F1571" t="s">
        <v>21</v>
      </c>
      <c r="G1571" t="s">
        <v>15</v>
      </c>
      <c r="H1571">
        <v>-1.19248042722588</v>
      </c>
      <c r="I1571">
        <v>3</v>
      </c>
      <c r="J1571" t="s">
        <v>23</v>
      </c>
      <c r="K1571" s="59" t="s">
        <v>16</v>
      </c>
    </row>
    <row r="1572" spans="1:11" x14ac:dyDescent="0.2">
      <c r="A1572" t="s">
        <v>1611</v>
      </c>
      <c r="B1572">
        <v>2022</v>
      </c>
      <c r="C1572" t="s">
        <v>33</v>
      </c>
      <c r="D1572">
        <v>208</v>
      </c>
      <c r="E1572" t="s">
        <v>25</v>
      </c>
      <c r="F1572" t="s">
        <v>26</v>
      </c>
      <c r="G1572" t="s">
        <v>34</v>
      </c>
      <c r="H1572">
        <v>-0.25302374368800101</v>
      </c>
      <c r="I1572">
        <v>2</v>
      </c>
      <c r="J1572" t="s">
        <v>23</v>
      </c>
      <c r="K1572" s="59" t="s">
        <v>4376</v>
      </c>
    </row>
    <row r="1573" spans="1:11" x14ac:dyDescent="0.2">
      <c r="A1573" t="s">
        <v>1612</v>
      </c>
      <c r="B1573">
        <v>2021</v>
      </c>
      <c r="C1573" t="s">
        <v>33</v>
      </c>
      <c r="D1573">
        <v>400</v>
      </c>
      <c r="E1573" t="s">
        <v>38</v>
      </c>
      <c r="F1573" t="s">
        <v>39</v>
      </c>
      <c r="G1573" t="s">
        <v>15</v>
      </c>
      <c r="H1573">
        <v>0.20983846740501599</v>
      </c>
      <c r="I1573">
        <v>3</v>
      </c>
      <c r="J1573" t="s">
        <v>23</v>
      </c>
      <c r="K1573" s="59" t="s">
        <v>4376</v>
      </c>
    </row>
    <row r="1574" spans="1:11" x14ac:dyDescent="0.2">
      <c r="A1574" t="s">
        <v>1613</v>
      </c>
      <c r="B1574">
        <v>2023</v>
      </c>
      <c r="C1574" t="s">
        <v>19</v>
      </c>
      <c r="D1574">
        <v>341</v>
      </c>
      <c r="E1574" t="s">
        <v>25</v>
      </c>
      <c r="F1574" t="s">
        <v>26</v>
      </c>
      <c r="G1574" t="s">
        <v>22</v>
      </c>
      <c r="H1574">
        <v>-0.20525188598158969</v>
      </c>
      <c r="I1574">
        <v>2</v>
      </c>
      <c r="J1574" t="s">
        <v>23</v>
      </c>
      <c r="K1574" s="59" t="s">
        <v>4376</v>
      </c>
    </row>
    <row r="1575" spans="1:11" x14ac:dyDescent="0.2">
      <c r="A1575" t="s">
        <v>1614</v>
      </c>
      <c r="B1575">
        <v>2021</v>
      </c>
      <c r="C1575" t="s">
        <v>19</v>
      </c>
      <c r="D1575">
        <v>440</v>
      </c>
      <c r="E1575" t="s">
        <v>38</v>
      </c>
      <c r="F1575" t="s">
        <v>39</v>
      </c>
      <c r="G1575" t="s">
        <v>15</v>
      </c>
      <c r="H1575">
        <v>0.51117068710679503</v>
      </c>
      <c r="I1575">
        <v>3</v>
      </c>
      <c r="J1575" t="s">
        <v>23</v>
      </c>
      <c r="K1575" s="59" t="s">
        <v>23</v>
      </c>
    </row>
    <row r="1576" spans="1:11" x14ac:dyDescent="0.2">
      <c r="A1576" t="s">
        <v>1615</v>
      </c>
      <c r="B1576">
        <v>2023</v>
      </c>
      <c r="C1576" t="s">
        <v>19</v>
      </c>
      <c r="D1576">
        <v>121</v>
      </c>
      <c r="E1576" t="s">
        <v>20</v>
      </c>
      <c r="F1576" t="s">
        <v>21</v>
      </c>
      <c r="G1576" t="s">
        <v>41</v>
      </c>
      <c r="H1576">
        <v>-1.9547107247207189</v>
      </c>
      <c r="I1576">
        <v>3</v>
      </c>
      <c r="J1576" t="s">
        <v>16</v>
      </c>
      <c r="K1576" s="59" t="s">
        <v>16</v>
      </c>
    </row>
    <row r="1577" spans="1:11" x14ac:dyDescent="0.2">
      <c r="A1577" t="s">
        <v>1616</v>
      </c>
      <c r="B1577">
        <v>2022</v>
      </c>
      <c r="C1577" t="s">
        <v>33</v>
      </c>
      <c r="D1577">
        <v>353</v>
      </c>
      <c r="E1577" t="s">
        <v>53</v>
      </c>
      <c r="F1577" t="s">
        <v>54</v>
      </c>
      <c r="G1577" t="s">
        <v>15</v>
      </c>
      <c r="H1577">
        <v>0.46058692577733279</v>
      </c>
      <c r="I1577">
        <v>3</v>
      </c>
      <c r="J1577" t="s">
        <v>16</v>
      </c>
      <c r="K1577" s="59" t="s">
        <v>16</v>
      </c>
    </row>
    <row r="1578" spans="1:11" x14ac:dyDescent="0.2">
      <c r="A1578" t="s">
        <v>1617</v>
      </c>
      <c r="B1578">
        <v>2024</v>
      </c>
      <c r="C1578" t="s">
        <v>33</v>
      </c>
      <c r="D1578">
        <v>184</v>
      </c>
      <c r="E1578" t="s">
        <v>29</v>
      </c>
      <c r="F1578" t="s">
        <v>30</v>
      </c>
      <c r="G1578" t="s">
        <v>15</v>
      </c>
      <c r="H1578">
        <v>0.41888041479869709</v>
      </c>
      <c r="I1578">
        <v>4</v>
      </c>
      <c r="J1578" t="s">
        <v>17</v>
      </c>
      <c r="K1578" s="59" t="s">
        <v>4376</v>
      </c>
    </row>
    <row r="1579" spans="1:11" x14ac:dyDescent="0.2">
      <c r="A1579" t="s">
        <v>1618</v>
      </c>
      <c r="B1579">
        <v>2025</v>
      </c>
      <c r="C1579" t="s">
        <v>19</v>
      </c>
      <c r="D1579">
        <v>106</v>
      </c>
      <c r="E1579" t="s">
        <v>20</v>
      </c>
      <c r="F1579" t="s">
        <v>21</v>
      </c>
      <c r="G1579" t="s">
        <v>41</v>
      </c>
      <c r="H1579">
        <v>1.207133472294913</v>
      </c>
      <c r="I1579">
        <v>3</v>
      </c>
      <c r="J1579" t="s">
        <v>23</v>
      </c>
      <c r="K1579" s="59" t="s">
        <v>17</v>
      </c>
    </row>
    <row r="1580" spans="1:11" x14ac:dyDescent="0.2">
      <c r="A1580" t="s">
        <v>1619</v>
      </c>
      <c r="B1580">
        <v>2025</v>
      </c>
      <c r="C1580" t="s">
        <v>33</v>
      </c>
      <c r="D1580">
        <v>90</v>
      </c>
      <c r="E1580" t="s">
        <v>13</v>
      </c>
      <c r="F1580" t="s">
        <v>14</v>
      </c>
      <c r="G1580" t="s">
        <v>15</v>
      </c>
      <c r="H1580">
        <v>-2.347643397460307</v>
      </c>
      <c r="I1580">
        <v>4</v>
      </c>
      <c r="J1580" t="s">
        <v>23</v>
      </c>
      <c r="K1580" s="59" t="s">
        <v>4376</v>
      </c>
    </row>
    <row r="1581" spans="1:11" x14ac:dyDescent="0.2">
      <c r="A1581" t="s">
        <v>1620</v>
      </c>
      <c r="B1581">
        <v>2025</v>
      </c>
      <c r="C1581" t="s">
        <v>33</v>
      </c>
      <c r="D1581">
        <v>62</v>
      </c>
      <c r="E1581" t="s">
        <v>25</v>
      </c>
      <c r="F1581" t="s">
        <v>26</v>
      </c>
      <c r="G1581" t="s">
        <v>15</v>
      </c>
      <c r="H1581">
        <v>0.38200307877548229</v>
      </c>
      <c r="I1581">
        <v>2</v>
      </c>
      <c r="J1581" t="s">
        <v>23</v>
      </c>
      <c r="K1581" s="59" t="s">
        <v>4376</v>
      </c>
    </row>
    <row r="1582" spans="1:11" x14ac:dyDescent="0.2">
      <c r="A1582" t="s">
        <v>1621</v>
      </c>
      <c r="B1582">
        <v>2025</v>
      </c>
      <c r="C1582" t="s">
        <v>33</v>
      </c>
      <c r="D1582">
        <v>89</v>
      </c>
      <c r="E1582" t="s">
        <v>20</v>
      </c>
      <c r="F1582" t="s">
        <v>21</v>
      </c>
      <c r="G1582" t="s">
        <v>15</v>
      </c>
      <c r="H1582">
        <v>-0.98042152447753039</v>
      </c>
      <c r="I1582">
        <v>3</v>
      </c>
      <c r="J1582" t="s">
        <v>23</v>
      </c>
      <c r="K1582" s="59" t="s">
        <v>4376</v>
      </c>
    </row>
    <row r="1583" spans="1:11" x14ac:dyDescent="0.2">
      <c r="A1583" t="s">
        <v>1622</v>
      </c>
      <c r="B1583">
        <v>2016</v>
      </c>
      <c r="C1583" t="s">
        <v>33</v>
      </c>
      <c r="D1583">
        <v>90</v>
      </c>
      <c r="E1583" t="s">
        <v>13</v>
      </c>
      <c r="F1583" t="s">
        <v>14</v>
      </c>
      <c r="G1583" t="s">
        <v>15</v>
      </c>
      <c r="H1583">
        <v>-0.36061427539200491</v>
      </c>
      <c r="I1583">
        <v>4</v>
      </c>
      <c r="J1583" t="s">
        <v>23</v>
      </c>
      <c r="K1583" s="59" t="s">
        <v>17</v>
      </c>
    </row>
    <row r="1584" spans="1:11" x14ac:dyDescent="0.2">
      <c r="A1584" t="s">
        <v>1623</v>
      </c>
      <c r="B1584">
        <v>2019</v>
      </c>
      <c r="C1584" t="s">
        <v>12</v>
      </c>
      <c r="D1584">
        <v>75</v>
      </c>
      <c r="E1584" t="s">
        <v>20</v>
      </c>
      <c r="F1584" t="s">
        <v>21</v>
      </c>
      <c r="G1584" t="s">
        <v>48</v>
      </c>
      <c r="H1584">
        <v>-1.301262924004156</v>
      </c>
      <c r="I1584">
        <v>3</v>
      </c>
      <c r="J1584" t="s">
        <v>23</v>
      </c>
      <c r="K1584" s="59" t="s">
        <v>17</v>
      </c>
    </row>
    <row r="1585" spans="1:11" x14ac:dyDescent="0.2">
      <c r="A1585" t="s">
        <v>1624</v>
      </c>
      <c r="B1585">
        <v>2019</v>
      </c>
      <c r="C1585" t="s">
        <v>33</v>
      </c>
      <c r="D1585">
        <v>309</v>
      </c>
      <c r="E1585" t="s">
        <v>38</v>
      </c>
      <c r="F1585" t="s">
        <v>39</v>
      </c>
      <c r="G1585" t="s">
        <v>15</v>
      </c>
      <c r="H1585">
        <v>1.668235751026359</v>
      </c>
      <c r="I1585">
        <v>3</v>
      </c>
      <c r="J1585" t="s">
        <v>16</v>
      </c>
      <c r="K1585" s="59" t="s">
        <v>23</v>
      </c>
    </row>
    <row r="1586" spans="1:11" x14ac:dyDescent="0.2">
      <c r="A1586" t="s">
        <v>1625</v>
      </c>
      <c r="B1586">
        <v>2025</v>
      </c>
      <c r="C1586" t="s">
        <v>33</v>
      </c>
      <c r="D1586">
        <v>574</v>
      </c>
      <c r="E1586" t="s">
        <v>20</v>
      </c>
      <c r="F1586" t="s">
        <v>21</v>
      </c>
      <c r="G1586" t="s">
        <v>15</v>
      </c>
      <c r="H1586">
        <v>0.25698332218162928</v>
      </c>
      <c r="I1586">
        <v>3</v>
      </c>
      <c r="J1586" t="s">
        <v>23</v>
      </c>
      <c r="K1586" s="59" t="s">
        <v>17</v>
      </c>
    </row>
    <row r="1587" spans="1:11" x14ac:dyDescent="0.2">
      <c r="A1587" t="s">
        <v>1626</v>
      </c>
      <c r="B1587">
        <v>2024</v>
      </c>
      <c r="C1587" t="s">
        <v>33</v>
      </c>
      <c r="D1587">
        <v>211</v>
      </c>
      <c r="E1587" t="s">
        <v>29</v>
      </c>
      <c r="F1587" t="s">
        <v>30</v>
      </c>
      <c r="G1587" t="s">
        <v>15</v>
      </c>
      <c r="H1587">
        <v>0.29388235713748501</v>
      </c>
      <c r="I1587">
        <v>4</v>
      </c>
      <c r="J1587" t="s">
        <v>17</v>
      </c>
      <c r="K1587" s="59" t="s">
        <v>4376</v>
      </c>
    </row>
    <row r="1588" spans="1:11" x14ac:dyDescent="0.2">
      <c r="A1588" t="s">
        <v>1627</v>
      </c>
      <c r="B1588">
        <v>2021</v>
      </c>
      <c r="C1588" t="s">
        <v>33</v>
      </c>
      <c r="D1588">
        <v>241</v>
      </c>
      <c r="E1588" t="s">
        <v>13</v>
      </c>
      <c r="F1588" t="s">
        <v>14</v>
      </c>
      <c r="G1588" t="s">
        <v>15</v>
      </c>
      <c r="H1588">
        <v>0.59632266150780178</v>
      </c>
      <c r="I1588">
        <v>4</v>
      </c>
      <c r="J1588" t="s">
        <v>23</v>
      </c>
      <c r="K1588" s="59" t="s">
        <v>4376</v>
      </c>
    </row>
    <row r="1589" spans="1:11" x14ac:dyDescent="0.2">
      <c r="A1589" t="s">
        <v>1628</v>
      </c>
      <c r="B1589">
        <v>2017</v>
      </c>
      <c r="C1589" t="s">
        <v>19</v>
      </c>
      <c r="D1589">
        <v>89</v>
      </c>
      <c r="E1589" t="s">
        <v>25</v>
      </c>
      <c r="F1589" t="s">
        <v>26</v>
      </c>
      <c r="G1589" t="s">
        <v>15</v>
      </c>
      <c r="H1589">
        <v>-0.37822941862444209</v>
      </c>
      <c r="I1589">
        <v>2</v>
      </c>
      <c r="J1589" t="s">
        <v>23</v>
      </c>
      <c r="K1589" s="59" t="s">
        <v>17</v>
      </c>
    </row>
    <row r="1590" spans="1:11" x14ac:dyDescent="0.2">
      <c r="A1590" t="s">
        <v>1629</v>
      </c>
      <c r="B1590">
        <v>2021</v>
      </c>
      <c r="C1590" t="s">
        <v>19</v>
      </c>
      <c r="D1590">
        <v>398</v>
      </c>
      <c r="E1590" t="s">
        <v>29</v>
      </c>
      <c r="F1590" t="s">
        <v>30</v>
      </c>
      <c r="G1590" t="s">
        <v>15</v>
      </c>
      <c r="H1590">
        <v>0.43743819565275671</v>
      </c>
      <c r="I1590">
        <v>4</v>
      </c>
      <c r="J1590" t="s">
        <v>23</v>
      </c>
      <c r="K1590" s="59" t="s">
        <v>17</v>
      </c>
    </row>
    <row r="1591" spans="1:11" x14ac:dyDescent="0.2">
      <c r="A1591" t="s">
        <v>1630</v>
      </c>
      <c r="B1591">
        <v>2017</v>
      </c>
      <c r="C1591" t="s">
        <v>19</v>
      </c>
      <c r="D1591">
        <v>123</v>
      </c>
      <c r="E1591" t="s">
        <v>38</v>
      </c>
      <c r="F1591" t="s">
        <v>39</v>
      </c>
      <c r="G1591" t="s">
        <v>15</v>
      </c>
      <c r="H1591">
        <v>0.43610998982593668</v>
      </c>
      <c r="I1591">
        <v>3</v>
      </c>
      <c r="J1591" t="s">
        <v>23</v>
      </c>
      <c r="K1591" s="59" t="s">
        <v>23</v>
      </c>
    </row>
    <row r="1592" spans="1:11" x14ac:dyDescent="0.2">
      <c r="A1592" t="s">
        <v>1631</v>
      </c>
      <c r="B1592">
        <v>2024</v>
      </c>
      <c r="C1592" t="s">
        <v>19</v>
      </c>
      <c r="D1592">
        <v>131</v>
      </c>
      <c r="E1592" t="s">
        <v>25</v>
      </c>
      <c r="F1592" t="s">
        <v>26</v>
      </c>
      <c r="G1592" t="s">
        <v>15</v>
      </c>
      <c r="H1592">
        <v>0.242365627564502</v>
      </c>
      <c r="I1592">
        <v>2</v>
      </c>
      <c r="J1592" t="s">
        <v>23</v>
      </c>
      <c r="K1592" s="59" t="s">
        <v>4376</v>
      </c>
    </row>
    <row r="1593" spans="1:11" x14ac:dyDescent="0.2">
      <c r="A1593" t="s">
        <v>1632</v>
      </c>
      <c r="B1593">
        <v>2023</v>
      </c>
      <c r="C1593" t="s">
        <v>12</v>
      </c>
      <c r="D1593">
        <v>393</v>
      </c>
      <c r="E1593" t="s">
        <v>38</v>
      </c>
      <c r="F1593" t="s">
        <v>39</v>
      </c>
      <c r="G1593" t="s">
        <v>15</v>
      </c>
      <c r="H1593">
        <v>-5.0426212774462454E-3</v>
      </c>
      <c r="I1593">
        <v>3</v>
      </c>
      <c r="J1593" t="s">
        <v>16</v>
      </c>
      <c r="K1593" s="59" t="s">
        <v>4376</v>
      </c>
    </row>
    <row r="1594" spans="1:11" x14ac:dyDescent="0.2">
      <c r="A1594" t="s">
        <v>1633</v>
      </c>
      <c r="B1594">
        <v>2023</v>
      </c>
      <c r="C1594" t="s">
        <v>12</v>
      </c>
      <c r="D1594">
        <v>89</v>
      </c>
      <c r="E1594" t="s">
        <v>20</v>
      </c>
      <c r="F1594" t="s">
        <v>21</v>
      </c>
      <c r="G1594" t="s">
        <v>15</v>
      </c>
      <c r="H1594">
        <v>1.207133472294913</v>
      </c>
      <c r="I1594">
        <v>3</v>
      </c>
      <c r="J1594" t="s">
        <v>17</v>
      </c>
      <c r="K1594" s="59" t="s">
        <v>23</v>
      </c>
    </row>
    <row r="1595" spans="1:11" x14ac:dyDescent="0.2">
      <c r="A1595" t="s">
        <v>1634</v>
      </c>
      <c r="B1595">
        <v>2023</v>
      </c>
      <c r="C1595" t="s">
        <v>12</v>
      </c>
      <c r="D1595">
        <v>53</v>
      </c>
      <c r="E1595" t="s">
        <v>13</v>
      </c>
      <c r="F1595" t="s">
        <v>14</v>
      </c>
      <c r="G1595" t="s">
        <v>48</v>
      </c>
      <c r="H1595">
        <v>0.31972908681175177</v>
      </c>
      <c r="I1595">
        <v>4</v>
      </c>
      <c r="J1595" t="s">
        <v>23</v>
      </c>
      <c r="K1595" s="59" t="s">
        <v>4376</v>
      </c>
    </row>
    <row r="1596" spans="1:11" x14ac:dyDescent="0.2">
      <c r="A1596" t="s">
        <v>1635</v>
      </c>
      <c r="B1596">
        <v>2024</v>
      </c>
      <c r="C1596" t="s">
        <v>33</v>
      </c>
      <c r="D1596">
        <v>184</v>
      </c>
      <c r="E1596" t="s">
        <v>29</v>
      </c>
      <c r="F1596" t="s">
        <v>30</v>
      </c>
      <c r="G1596" t="s">
        <v>15</v>
      </c>
      <c r="H1596">
        <v>0.41888041479869709</v>
      </c>
      <c r="I1596">
        <v>4</v>
      </c>
      <c r="J1596" t="s">
        <v>17</v>
      </c>
      <c r="K1596" s="59" t="s">
        <v>4376</v>
      </c>
    </row>
    <row r="1597" spans="1:11" x14ac:dyDescent="0.2">
      <c r="A1597" t="s">
        <v>1636</v>
      </c>
      <c r="B1597">
        <v>2024</v>
      </c>
      <c r="C1597" t="s">
        <v>19</v>
      </c>
      <c r="D1597">
        <v>146</v>
      </c>
      <c r="E1597" t="s">
        <v>25</v>
      </c>
      <c r="F1597" t="s">
        <v>26</v>
      </c>
      <c r="G1597" t="s">
        <v>15</v>
      </c>
      <c r="H1597">
        <v>-0.47259625736964178</v>
      </c>
      <c r="I1597">
        <v>2</v>
      </c>
      <c r="J1597" t="s">
        <v>16</v>
      </c>
      <c r="K1597" s="59" t="s">
        <v>17</v>
      </c>
    </row>
    <row r="1598" spans="1:11" x14ac:dyDescent="0.2">
      <c r="A1598" t="s">
        <v>1637</v>
      </c>
      <c r="B1598">
        <v>2024</v>
      </c>
      <c r="C1598" t="s">
        <v>12</v>
      </c>
      <c r="D1598">
        <v>97</v>
      </c>
      <c r="E1598" t="s">
        <v>25</v>
      </c>
      <c r="F1598" t="s">
        <v>26</v>
      </c>
      <c r="G1598" t="s">
        <v>15</v>
      </c>
      <c r="H1598">
        <v>-0.24747783999191811</v>
      </c>
      <c r="I1598">
        <v>2</v>
      </c>
      <c r="J1598" t="s">
        <v>23</v>
      </c>
      <c r="K1598" s="59" t="s">
        <v>4376</v>
      </c>
    </row>
    <row r="1599" spans="1:11" x14ac:dyDescent="0.2">
      <c r="A1599" t="s">
        <v>1638</v>
      </c>
      <c r="B1599">
        <v>2025</v>
      </c>
      <c r="C1599" t="s">
        <v>19</v>
      </c>
      <c r="D1599">
        <v>46</v>
      </c>
      <c r="E1599" t="s">
        <v>20</v>
      </c>
      <c r="F1599" t="s">
        <v>21</v>
      </c>
      <c r="G1599" t="s">
        <v>15</v>
      </c>
      <c r="H1599">
        <v>1.207133472294913</v>
      </c>
      <c r="I1599">
        <v>3</v>
      </c>
      <c r="J1599" t="s">
        <v>23</v>
      </c>
      <c r="K1599" s="59" t="s">
        <v>16</v>
      </c>
    </row>
    <row r="1600" spans="1:11" x14ac:dyDescent="0.2">
      <c r="A1600" t="s">
        <v>1639</v>
      </c>
      <c r="B1600">
        <v>2019</v>
      </c>
      <c r="C1600" t="s">
        <v>12</v>
      </c>
      <c r="D1600">
        <v>250</v>
      </c>
      <c r="E1600" t="s">
        <v>20</v>
      </c>
      <c r="F1600" t="s">
        <v>21</v>
      </c>
      <c r="G1600" t="s">
        <v>147</v>
      </c>
      <c r="H1600">
        <v>1.3372370198207979</v>
      </c>
      <c r="I1600">
        <v>3</v>
      </c>
      <c r="J1600" t="s">
        <v>16</v>
      </c>
      <c r="K1600" s="59" t="s">
        <v>16</v>
      </c>
    </row>
    <row r="1601" spans="1:11" x14ac:dyDescent="0.2">
      <c r="A1601" t="s">
        <v>1640</v>
      </c>
      <c r="B1601">
        <v>2022</v>
      </c>
      <c r="C1601" t="s">
        <v>19</v>
      </c>
      <c r="D1601">
        <v>213</v>
      </c>
      <c r="E1601" t="s">
        <v>25</v>
      </c>
      <c r="F1601" t="s">
        <v>26</v>
      </c>
      <c r="G1601" t="s">
        <v>15</v>
      </c>
      <c r="H1601">
        <v>-0.33686052163917302</v>
      </c>
      <c r="I1601">
        <v>2</v>
      </c>
      <c r="J1601" t="s">
        <v>23</v>
      </c>
      <c r="K1601" s="59" t="s">
        <v>17</v>
      </c>
    </row>
    <row r="1602" spans="1:11" x14ac:dyDescent="0.2">
      <c r="A1602" t="s">
        <v>1641</v>
      </c>
      <c r="B1602">
        <v>2017</v>
      </c>
      <c r="C1602" t="s">
        <v>19</v>
      </c>
      <c r="D1602">
        <v>75</v>
      </c>
      <c r="E1602" t="s">
        <v>20</v>
      </c>
      <c r="F1602" t="s">
        <v>21</v>
      </c>
      <c r="G1602" t="s">
        <v>15</v>
      </c>
      <c r="H1602">
        <v>1.834232571369679</v>
      </c>
      <c r="I1602">
        <v>3</v>
      </c>
      <c r="J1602" t="s">
        <v>23</v>
      </c>
      <c r="K1602" s="59" t="s">
        <v>17</v>
      </c>
    </row>
    <row r="1603" spans="1:11" x14ac:dyDescent="0.2">
      <c r="A1603" t="s">
        <v>1642</v>
      </c>
      <c r="B1603">
        <v>2019</v>
      </c>
      <c r="C1603" t="s">
        <v>12</v>
      </c>
      <c r="D1603">
        <v>158</v>
      </c>
      <c r="E1603" t="s">
        <v>20</v>
      </c>
      <c r="F1603" t="s">
        <v>21</v>
      </c>
      <c r="G1603" t="s">
        <v>41</v>
      </c>
      <c r="H1603">
        <v>2.166979032103229</v>
      </c>
      <c r="I1603">
        <v>3</v>
      </c>
      <c r="J1603" t="s">
        <v>16</v>
      </c>
      <c r="K1603" s="59" t="s">
        <v>17</v>
      </c>
    </row>
    <row r="1604" spans="1:11" x14ac:dyDescent="0.2">
      <c r="A1604" t="s">
        <v>1643</v>
      </c>
      <c r="B1604">
        <v>2016</v>
      </c>
      <c r="C1604" t="s">
        <v>33</v>
      </c>
      <c r="D1604">
        <v>87</v>
      </c>
      <c r="E1604" t="s">
        <v>13</v>
      </c>
      <c r="F1604" t="s">
        <v>14</v>
      </c>
      <c r="G1604" t="s">
        <v>15</v>
      </c>
      <c r="H1604">
        <v>-0.95527721416980116</v>
      </c>
      <c r="I1604">
        <v>4</v>
      </c>
      <c r="J1604" t="s">
        <v>23</v>
      </c>
      <c r="K1604" s="59" t="s">
        <v>16</v>
      </c>
    </row>
    <row r="1605" spans="1:11" x14ac:dyDescent="0.2">
      <c r="A1605" t="s">
        <v>1644</v>
      </c>
      <c r="B1605">
        <v>2017</v>
      </c>
      <c r="C1605" t="s">
        <v>33</v>
      </c>
      <c r="D1605">
        <v>305</v>
      </c>
      <c r="E1605" t="s">
        <v>20</v>
      </c>
      <c r="F1605" t="s">
        <v>21</v>
      </c>
      <c r="G1605" t="s">
        <v>48</v>
      </c>
      <c r="H1605">
        <v>-2.2304529512046409</v>
      </c>
      <c r="I1605">
        <v>3</v>
      </c>
      <c r="J1605" t="s">
        <v>23</v>
      </c>
      <c r="K1605" s="59" t="s">
        <v>23</v>
      </c>
    </row>
    <row r="1606" spans="1:11" x14ac:dyDescent="0.2">
      <c r="A1606" t="s">
        <v>1645</v>
      </c>
      <c r="B1606">
        <v>2024</v>
      </c>
      <c r="C1606" t="s">
        <v>33</v>
      </c>
      <c r="D1606">
        <v>184</v>
      </c>
      <c r="E1606" t="s">
        <v>29</v>
      </c>
      <c r="F1606" t="s">
        <v>30</v>
      </c>
      <c r="G1606" t="s">
        <v>15</v>
      </c>
      <c r="H1606">
        <v>0.41888041479869709</v>
      </c>
      <c r="I1606">
        <v>4</v>
      </c>
      <c r="J1606" t="s">
        <v>17</v>
      </c>
      <c r="K1606" s="59" t="s">
        <v>4376</v>
      </c>
    </row>
    <row r="1607" spans="1:11" x14ac:dyDescent="0.2">
      <c r="A1607" t="s">
        <v>1646</v>
      </c>
      <c r="B1607">
        <v>2017</v>
      </c>
      <c r="C1607" t="s">
        <v>19</v>
      </c>
      <c r="D1607">
        <v>241</v>
      </c>
      <c r="E1607" t="s">
        <v>20</v>
      </c>
      <c r="F1607" t="s">
        <v>21</v>
      </c>
      <c r="G1607" t="s">
        <v>15</v>
      </c>
      <c r="H1607">
        <v>-1.184346142820724</v>
      </c>
      <c r="I1607">
        <v>3</v>
      </c>
      <c r="J1607" t="s">
        <v>23</v>
      </c>
      <c r="K1607" s="59" t="s">
        <v>16</v>
      </c>
    </row>
    <row r="1608" spans="1:11" x14ac:dyDescent="0.2">
      <c r="A1608" t="s">
        <v>1647</v>
      </c>
      <c r="B1608">
        <v>2025</v>
      </c>
      <c r="C1608" t="s">
        <v>19</v>
      </c>
      <c r="D1608">
        <v>273</v>
      </c>
      <c r="E1608" t="s">
        <v>20</v>
      </c>
      <c r="F1608" t="s">
        <v>21</v>
      </c>
      <c r="G1608" t="s">
        <v>15</v>
      </c>
      <c r="H1608">
        <v>0.79456827553519749</v>
      </c>
      <c r="I1608">
        <v>3</v>
      </c>
      <c r="J1608" t="s">
        <v>16</v>
      </c>
      <c r="K1608" s="59" t="s">
        <v>23</v>
      </c>
    </row>
    <row r="1609" spans="1:11" x14ac:dyDescent="0.2">
      <c r="A1609" t="s">
        <v>1648</v>
      </c>
      <c r="B1609">
        <v>2019</v>
      </c>
      <c r="C1609" t="s">
        <v>33</v>
      </c>
      <c r="D1609">
        <v>169</v>
      </c>
      <c r="E1609" t="s">
        <v>20</v>
      </c>
      <c r="F1609" t="s">
        <v>21</v>
      </c>
      <c r="G1609" t="s">
        <v>15</v>
      </c>
      <c r="H1609">
        <v>0.89147956336466072</v>
      </c>
      <c r="I1609">
        <v>3</v>
      </c>
      <c r="J1609" t="s">
        <v>23</v>
      </c>
      <c r="K1609" s="59" t="s">
        <v>4376</v>
      </c>
    </row>
    <row r="1610" spans="1:11" x14ac:dyDescent="0.2">
      <c r="A1610" t="s">
        <v>1649</v>
      </c>
      <c r="B1610">
        <v>2024</v>
      </c>
      <c r="C1610" t="s">
        <v>33</v>
      </c>
      <c r="D1610">
        <v>184</v>
      </c>
      <c r="E1610" t="s">
        <v>29</v>
      </c>
      <c r="F1610" t="s">
        <v>30</v>
      </c>
      <c r="G1610" t="s">
        <v>15</v>
      </c>
      <c r="H1610">
        <v>0.41888041479869709</v>
      </c>
      <c r="I1610">
        <v>4</v>
      </c>
      <c r="J1610" t="s">
        <v>17</v>
      </c>
      <c r="K1610" s="59" t="s">
        <v>4376</v>
      </c>
    </row>
    <row r="1611" spans="1:11" x14ac:dyDescent="0.2">
      <c r="A1611" t="s">
        <v>1650</v>
      </c>
      <c r="B1611">
        <v>2022</v>
      </c>
      <c r="C1611" t="s">
        <v>33</v>
      </c>
      <c r="D1611">
        <v>352</v>
      </c>
      <c r="E1611" t="s">
        <v>53</v>
      </c>
      <c r="F1611" t="s">
        <v>54</v>
      </c>
      <c r="G1611" t="s">
        <v>36</v>
      </c>
      <c r="H1611">
        <v>5.4377775466296963E-2</v>
      </c>
      <c r="I1611">
        <v>3</v>
      </c>
      <c r="J1611" t="s">
        <v>16</v>
      </c>
      <c r="K1611" s="59" t="s">
        <v>17</v>
      </c>
    </row>
    <row r="1612" spans="1:11" x14ac:dyDescent="0.2">
      <c r="A1612" t="s">
        <v>1651</v>
      </c>
      <c r="B1612">
        <v>2025</v>
      </c>
      <c r="C1612" t="s">
        <v>33</v>
      </c>
      <c r="D1612">
        <v>202</v>
      </c>
      <c r="E1612" t="s">
        <v>20</v>
      </c>
      <c r="F1612" t="s">
        <v>21</v>
      </c>
      <c r="G1612" t="s">
        <v>15</v>
      </c>
      <c r="H1612">
        <v>-1.0207185902075491</v>
      </c>
      <c r="I1612">
        <v>3</v>
      </c>
      <c r="J1612" t="s">
        <v>16</v>
      </c>
      <c r="K1612" s="59" t="s">
        <v>23</v>
      </c>
    </row>
    <row r="1613" spans="1:11" x14ac:dyDescent="0.2">
      <c r="A1613" t="s">
        <v>1652</v>
      </c>
      <c r="B1613">
        <v>2025</v>
      </c>
      <c r="C1613" t="s">
        <v>33</v>
      </c>
      <c r="D1613">
        <v>148</v>
      </c>
      <c r="E1613" t="s">
        <v>20</v>
      </c>
      <c r="F1613" t="s">
        <v>21</v>
      </c>
      <c r="G1613" t="s">
        <v>15</v>
      </c>
      <c r="H1613">
        <v>0.22043908563881059</v>
      </c>
      <c r="I1613">
        <v>3</v>
      </c>
      <c r="J1613" t="s">
        <v>23</v>
      </c>
      <c r="K1613" s="59" t="s">
        <v>4376</v>
      </c>
    </row>
    <row r="1614" spans="1:11" x14ac:dyDescent="0.2">
      <c r="A1614" t="s">
        <v>1653</v>
      </c>
      <c r="B1614">
        <v>2021</v>
      </c>
      <c r="C1614" t="s">
        <v>33</v>
      </c>
      <c r="D1614">
        <v>238</v>
      </c>
      <c r="E1614" t="s">
        <v>13</v>
      </c>
      <c r="F1614" t="s">
        <v>14</v>
      </c>
      <c r="G1614" t="s">
        <v>15</v>
      </c>
      <c r="H1614">
        <v>0.79456827553519749</v>
      </c>
      <c r="I1614">
        <v>4</v>
      </c>
      <c r="J1614" t="s">
        <v>23</v>
      </c>
      <c r="K1614" s="59" t="s">
        <v>4376</v>
      </c>
    </row>
    <row r="1615" spans="1:11" x14ac:dyDescent="0.2">
      <c r="A1615" t="s">
        <v>1654</v>
      </c>
      <c r="B1615">
        <v>2022</v>
      </c>
      <c r="C1615" t="s">
        <v>19</v>
      </c>
      <c r="D1615">
        <v>496</v>
      </c>
      <c r="E1615" t="s">
        <v>20</v>
      </c>
      <c r="F1615" t="s">
        <v>21</v>
      </c>
      <c r="G1615" t="s">
        <v>15</v>
      </c>
      <c r="H1615">
        <v>0.43862967440916872</v>
      </c>
      <c r="I1615">
        <v>3</v>
      </c>
      <c r="J1615" t="s">
        <v>23</v>
      </c>
      <c r="K1615" s="59" t="s">
        <v>16</v>
      </c>
    </row>
    <row r="1616" spans="1:11" x14ac:dyDescent="0.2">
      <c r="A1616" t="s">
        <v>1655</v>
      </c>
      <c r="B1616">
        <v>2017</v>
      </c>
      <c r="C1616" t="s">
        <v>19</v>
      </c>
      <c r="D1616">
        <v>122</v>
      </c>
      <c r="E1616" t="s">
        <v>38</v>
      </c>
      <c r="F1616" t="s">
        <v>39</v>
      </c>
      <c r="G1616" t="s">
        <v>15</v>
      </c>
      <c r="H1616">
        <v>0.42973789492949888</v>
      </c>
      <c r="I1616">
        <v>3</v>
      </c>
      <c r="J1616" t="s">
        <v>23</v>
      </c>
      <c r="K1616" s="59" t="s">
        <v>17</v>
      </c>
    </row>
    <row r="1617" spans="1:11" x14ac:dyDescent="0.2">
      <c r="A1617" t="s">
        <v>1656</v>
      </c>
      <c r="B1617">
        <v>2016</v>
      </c>
      <c r="C1617" t="s">
        <v>33</v>
      </c>
      <c r="D1617">
        <v>89</v>
      </c>
      <c r="E1617" t="s">
        <v>13</v>
      </c>
      <c r="F1617" t="s">
        <v>14</v>
      </c>
      <c r="G1617" t="s">
        <v>15</v>
      </c>
      <c r="H1617">
        <v>-0.37822941862444209</v>
      </c>
      <c r="I1617">
        <v>4</v>
      </c>
      <c r="J1617" t="s">
        <v>23</v>
      </c>
      <c r="K1617" s="59" t="s">
        <v>4376</v>
      </c>
    </row>
    <row r="1618" spans="1:11" x14ac:dyDescent="0.2">
      <c r="A1618" t="s">
        <v>1657</v>
      </c>
      <c r="B1618">
        <v>2019</v>
      </c>
      <c r="C1618" t="s">
        <v>19</v>
      </c>
      <c r="D1618">
        <v>312</v>
      </c>
      <c r="E1618" t="s">
        <v>13</v>
      </c>
      <c r="F1618" t="s">
        <v>14</v>
      </c>
      <c r="G1618" t="s">
        <v>15</v>
      </c>
      <c r="H1618">
        <v>0.68801170153765512</v>
      </c>
      <c r="I1618">
        <v>4</v>
      </c>
      <c r="J1618" t="s">
        <v>23</v>
      </c>
      <c r="K1618" s="59" t="s">
        <v>16</v>
      </c>
    </row>
    <row r="1619" spans="1:11" x14ac:dyDescent="0.2">
      <c r="A1619" t="s">
        <v>1658</v>
      </c>
      <c r="B1619">
        <v>2025</v>
      </c>
      <c r="C1619" t="s">
        <v>33</v>
      </c>
      <c r="D1619">
        <v>68</v>
      </c>
      <c r="E1619" t="s">
        <v>20</v>
      </c>
      <c r="F1619" t="s">
        <v>21</v>
      </c>
      <c r="G1619" t="s">
        <v>15</v>
      </c>
      <c r="H1619">
        <v>-2.3559295906298998</v>
      </c>
      <c r="I1619">
        <v>3</v>
      </c>
      <c r="J1619" t="s">
        <v>23</v>
      </c>
      <c r="K1619" s="59" t="s">
        <v>4376</v>
      </c>
    </row>
    <row r="1620" spans="1:11" x14ac:dyDescent="0.2">
      <c r="A1620" t="s">
        <v>1659</v>
      </c>
      <c r="B1620">
        <v>2022</v>
      </c>
      <c r="C1620" t="s">
        <v>19</v>
      </c>
      <c r="D1620">
        <v>352</v>
      </c>
      <c r="E1620" t="s">
        <v>53</v>
      </c>
      <c r="F1620" t="s">
        <v>54</v>
      </c>
      <c r="G1620" t="s">
        <v>36</v>
      </c>
      <c r="H1620">
        <v>5.4377775466296963E-2</v>
      </c>
      <c r="I1620">
        <v>3</v>
      </c>
      <c r="J1620" t="s">
        <v>16</v>
      </c>
      <c r="K1620" s="59" t="s">
        <v>4376</v>
      </c>
    </row>
    <row r="1621" spans="1:11" x14ac:dyDescent="0.2">
      <c r="A1621" t="s">
        <v>1660</v>
      </c>
      <c r="B1621">
        <v>2024</v>
      </c>
      <c r="C1621" t="s">
        <v>33</v>
      </c>
      <c r="D1621">
        <v>184</v>
      </c>
      <c r="E1621" t="s">
        <v>29</v>
      </c>
      <c r="F1621" t="s">
        <v>30</v>
      </c>
      <c r="G1621" t="s">
        <v>15</v>
      </c>
      <c r="H1621">
        <v>0.41888041479869709</v>
      </c>
      <c r="I1621">
        <v>4</v>
      </c>
      <c r="J1621" t="s">
        <v>17</v>
      </c>
      <c r="K1621" s="59" t="s">
        <v>4376</v>
      </c>
    </row>
    <row r="1622" spans="1:11" x14ac:dyDescent="0.2">
      <c r="A1622" t="s">
        <v>1661</v>
      </c>
      <c r="B1622">
        <v>2024</v>
      </c>
      <c r="C1622" t="s">
        <v>33</v>
      </c>
      <c r="D1622">
        <v>184</v>
      </c>
      <c r="E1622" t="s">
        <v>29</v>
      </c>
      <c r="F1622" t="s">
        <v>30</v>
      </c>
      <c r="G1622" t="s">
        <v>15</v>
      </c>
      <c r="H1622">
        <v>0.41888041479869709</v>
      </c>
      <c r="I1622">
        <v>4</v>
      </c>
      <c r="J1622" t="s">
        <v>17</v>
      </c>
      <c r="K1622" s="59" t="s">
        <v>4376</v>
      </c>
    </row>
    <row r="1623" spans="1:11" x14ac:dyDescent="0.2">
      <c r="A1623" t="s">
        <v>1662</v>
      </c>
      <c r="B1623">
        <v>2021</v>
      </c>
      <c r="C1623" t="s">
        <v>12</v>
      </c>
      <c r="D1623">
        <v>312</v>
      </c>
      <c r="E1623" t="s">
        <v>38</v>
      </c>
      <c r="F1623" t="s">
        <v>39</v>
      </c>
      <c r="G1623" t="s">
        <v>15</v>
      </c>
      <c r="H1623">
        <v>0.60415356933840592</v>
      </c>
      <c r="I1623">
        <v>3</v>
      </c>
      <c r="J1623" t="s">
        <v>23</v>
      </c>
      <c r="K1623" s="59" t="s">
        <v>17</v>
      </c>
    </row>
    <row r="1624" spans="1:11" x14ac:dyDescent="0.2">
      <c r="A1624" t="s">
        <v>1663</v>
      </c>
      <c r="B1624">
        <v>2024</v>
      </c>
      <c r="C1624" t="s">
        <v>19</v>
      </c>
      <c r="D1624">
        <v>180</v>
      </c>
      <c r="E1624" t="s">
        <v>25</v>
      </c>
      <c r="F1624" t="s">
        <v>26</v>
      </c>
      <c r="G1624" t="s">
        <v>15</v>
      </c>
      <c r="H1624">
        <v>0.25435859801004562</v>
      </c>
      <c r="I1624">
        <v>2</v>
      </c>
      <c r="J1624" t="s">
        <v>23</v>
      </c>
      <c r="K1624" s="59" t="s">
        <v>17</v>
      </c>
    </row>
    <row r="1625" spans="1:11" x14ac:dyDescent="0.2">
      <c r="A1625" t="s">
        <v>1664</v>
      </c>
      <c r="B1625">
        <v>2021</v>
      </c>
      <c r="C1625" t="s">
        <v>33</v>
      </c>
      <c r="D1625">
        <v>311</v>
      </c>
      <c r="E1625" t="s">
        <v>38</v>
      </c>
      <c r="F1625" t="s">
        <v>39</v>
      </c>
      <c r="G1625" t="s">
        <v>15</v>
      </c>
      <c r="H1625">
        <v>0.60221472720671299</v>
      </c>
      <c r="I1625">
        <v>3</v>
      </c>
      <c r="J1625" t="s">
        <v>23</v>
      </c>
      <c r="K1625" s="59" t="s">
        <v>4376</v>
      </c>
    </row>
    <row r="1626" spans="1:11" x14ac:dyDescent="0.2">
      <c r="A1626" t="s">
        <v>1665</v>
      </c>
      <c r="B1626">
        <v>2023</v>
      </c>
      <c r="C1626" t="s">
        <v>19</v>
      </c>
      <c r="D1626">
        <v>166</v>
      </c>
      <c r="E1626" t="s">
        <v>25</v>
      </c>
      <c r="F1626" t="s">
        <v>26</v>
      </c>
      <c r="G1626" t="s">
        <v>15</v>
      </c>
      <c r="H1626">
        <v>-0.540693408572259</v>
      </c>
      <c r="I1626">
        <v>2</v>
      </c>
      <c r="J1626" t="s">
        <v>23</v>
      </c>
      <c r="K1626" s="59" t="s">
        <v>17</v>
      </c>
    </row>
    <row r="1627" spans="1:11" x14ac:dyDescent="0.2">
      <c r="A1627" t="s">
        <v>1666</v>
      </c>
      <c r="B1627">
        <v>2025</v>
      </c>
      <c r="C1627" t="s">
        <v>33</v>
      </c>
      <c r="D1627">
        <v>73</v>
      </c>
      <c r="E1627" t="s">
        <v>25</v>
      </c>
      <c r="F1627" t="s">
        <v>26</v>
      </c>
      <c r="G1627" t="s">
        <v>167</v>
      </c>
      <c r="H1627">
        <v>0.49452085970995008</v>
      </c>
      <c r="I1627">
        <v>2</v>
      </c>
      <c r="J1627" t="s">
        <v>23</v>
      </c>
      <c r="K1627" s="59" t="s">
        <v>17</v>
      </c>
    </row>
    <row r="1628" spans="1:11" x14ac:dyDescent="0.2">
      <c r="A1628" t="s">
        <v>1667</v>
      </c>
      <c r="B1628">
        <v>2024</v>
      </c>
      <c r="C1628" t="s">
        <v>33</v>
      </c>
      <c r="D1628">
        <v>199</v>
      </c>
      <c r="E1628" t="s">
        <v>29</v>
      </c>
      <c r="F1628" t="s">
        <v>30</v>
      </c>
      <c r="G1628" t="s">
        <v>15</v>
      </c>
      <c r="H1628">
        <v>0.47605939306267131</v>
      </c>
      <c r="I1628">
        <v>4</v>
      </c>
      <c r="J1628" t="s">
        <v>17</v>
      </c>
      <c r="K1628" s="59" t="s">
        <v>4376</v>
      </c>
    </row>
    <row r="1629" spans="1:11" x14ac:dyDescent="0.2">
      <c r="A1629" t="s">
        <v>1668</v>
      </c>
      <c r="B1629">
        <v>2023</v>
      </c>
      <c r="C1629" t="s">
        <v>12</v>
      </c>
      <c r="D1629">
        <v>393</v>
      </c>
      <c r="E1629" t="s">
        <v>38</v>
      </c>
      <c r="F1629" t="s">
        <v>39</v>
      </c>
      <c r="G1629" t="s">
        <v>15</v>
      </c>
      <c r="H1629">
        <v>-5.0426212774462454E-3</v>
      </c>
      <c r="I1629">
        <v>3</v>
      </c>
      <c r="J1629" t="s">
        <v>16</v>
      </c>
      <c r="K1629" s="59" t="s">
        <v>4376</v>
      </c>
    </row>
    <row r="1630" spans="1:11" x14ac:dyDescent="0.2">
      <c r="A1630" t="s">
        <v>1669</v>
      </c>
      <c r="B1630">
        <v>2021</v>
      </c>
      <c r="C1630" t="s">
        <v>33</v>
      </c>
      <c r="D1630">
        <v>399</v>
      </c>
      <c r="E1630" t="s">
        <v>29</v>
      </c>
      <c r="F1630" t="s">
        <v>30</v>
      </c>
      <c r="G1630" t="s">
        <v>15</v>
      </c>
      <c r="H1630">
        <v>0.20729434749458239</v>
      </c>
      <c r="I1630">
        <v>4</v>
      </c>
      <c r="J1630" t="s">
        <v>23</v>
      </c>
      <c r="K1630" s="59" t="s">
        <v>4376</v>
      </c>
    </row>
    <row r="1631" spans="1:11" x14ac:dyDescent="0.2">
      <c r="A1631" t="s">
        <v>1670</v>
      </c>
      <c r="B1631">
        <v>2021</v>
      </c>
      <c r="C1631" t="s">
        <v>19</v>
      </c>
      <c r="D1631">
        <v>398</v>
      </c>
      <c r="E1631" t="s">
        <v>29</v>
      </c>
      <c r="F1631" t="s">
        <v>30</v>
      </c>
      <c r="G1631" t="s">
        <v>15</v>
      </c>
      <c r="H1631">
        <v>0.43743819565275671</v>
      </c>
      <c r="I1631">
        <v>4</v>
      </c>
      <c r="J1631" t="s">
        <v>23</v>
      </c>
      <c r="K1631" s="59" t="s">
        <v>17</v>
      </c>
    </row>
    <row r="1632" spans="1:11" x14ac:dyDescent="0.2">
      <c r="A1632" t="s">
        <v>1671</v>
      </c>
      <c r="B1632">
        <v>2023</v>
      </c>
      <c r="C1632" t="s">
        <v>33</v>
      </c>
      <c r="D1632">
        <v>161</v>
      </c>
      <c r="E1632" t="s">
        <v>25</v>
      </c>
      <c r="F1632" t="s">
        <v>26</v>
      </c>
      <c r="G1632" t="s">
        <v>15</v>
      </c>
      <c r="H1632">
        <v>-0.45106126083548093</v>
      </c>
      <c r="I1632">
        <v>2</v>
      </c>
      <c r="J1632" t="s">
        <v>16</v>
      </c>
      <c r="K1632" s="59" t="s">
        <v>17</v>
      </c>
    </row>
    <row r="1633" spans="1:11" x14ac:dyDescent="0.2">
      <c r="A1633" t="s">
        <v>1672</v>
      </c>
      <c r="B1633">
        <v>2021</v>
      </c>
      <c r="C1633" t="s">
        <v>33</v>
      </c>
      <c r="D1633">
        <v>36</v>
      </c>
      <c r="E1633" t="s">
        <v>20</v>
      </c>
      <c r="F1633" t="s">
        <v>21</v>
      </c>
      <c r="G1633" t="s">
        <v>15</v>
      </c>
      <c r="H1633">
        <v>-1.4804340951683741</v>
      </c>
      <c r="I1633">
        <v>3</v>
      </c>
      <c r="J1633" t="s">
        <v>16</v>
      </c>
      <c r="K1633" s="59" t="s">
        <v>4376</v>
      </c>
    </row>
    <row r="1634" spans="1:11" x14ac:dyDescent="0.2">
      <c r="A1634" t="s">
        <v>1673</v>
      </c>
      <c r="B1634">
        <v>2017</v>
      </c>
      <c r="C1634" t="s">
        <v>33</v>
      </c>
      <c r="D1634">
        <v>125</v>
      </c>
      <c r="E1634" t="s">
        <v>38</v>
      </c>
      <c r="F1634" t="s">
        <v>39</v>
      </c>
      <c r="G1634" t="s">
        <v>15</v>
      </c>
      <c r="H1634">
        <v>0.4485458524464041</v>
      </c>
      <c r="I1634">
        <v>3</v>
      </c>
      <c r="J1634" t="s">
        <v>23</v>
      </c>
      <c r="K1634" s="59" t="s">
        <v>23</v>
      </c>
    </row>
    <row r="1635" spans="1:11" x14ac:dyDescent="0.2">
      <c r="A1635" t="s">
        <v>1674</v>
      </c>
      <c r="B1635">
        <v>2021</v>
      </c>
      <c r="C1635" t="s">
        <v>33</v>
      </c>
      <c r="D1635">
        <v>236</v>
      </c>
      <c r="E1635" t="s">
        <v>13</v>
      </c>
      <c r="F1635" t="s">
        <v>14</v>
      </c>
      <c r="G1635" t="s">
        <v>15</v>
      </c>
      <c r="H1635">
        <v>0.79091725609484598</v>
      </c>
      <c r="I1635">
        <v>4</v>
      </c>
      <c r="J1635" t="s">
        <v>23</v>
      </c>
      <c r="K1635" s="59" t="s">
        <v>4376</v>
      </c>
    </row>
    <row r="1636" spans="1:11" x14ac:dyDescent="0.2">
      <c r="A1636" t="s">
        <v>1675</v>
      </c>
      <c r="B1636">
        <v>2023</v>
      </c>
      <c r="C1636" t="s">
        <v>33</v>
      </c>
      <c r="D1636">
        <v>60</v>
      </c>
      <c r="E1636" t="s">
        <v>20</v>
      </c>
      <c r="F1636" t="s">
        <v>21</v>
      </c>
      <c r="G1636" t="s">
        <v>15</v>
      </c>
      <c r="H1636">
        <v>-0.41467454255362268</v>
      </c>
      <c r="I1636">
        <v>3</v>
      </c>
      <c r="J1636" t="s">
        <v>23</v>
      </c>
      <c r="K1636" s="59" t="s">
        <v>4376</v>
      </c>
    </row>
    <row r="1637" spans="1:11" x14ac:dyDescent="0.2">
      <c r="A1637" t="s">
        <v>1676</v>
      </c>
      <c r="B1637">
        <v>2022</v>
      </c>
      <c r="C1637" t="s">
        <v>19</v>
      </c>
      <c r="D1637">
        <v>352</v>
      </c>
      <c r="E1637" t="s">
        <v>53</v>
      </c>
      <c r="F1637" t="s">
        <v>54</v>
      </c>
      <c r="G1637" t="s">
        <v>36</v>
      </c>
      <c r="H1637">
        <v>5.4377775466296963E-2</v>
      </c>
      <c r="I1637">
        <v>3</v>
      </c>
      <c r="J1637" t="s">
        <v>16</v>
      </c>
      <c r="K1637" s="59" t="s">
        <v>4376</v>
      </c>
    </row>
    <row r="1638" spans="1:11" x14ac:dyDescent="0.2">
      <c r="A1638" t="s">
        <v>1677</v>
      </c>
      <c r="B1638">
        <v>2023</v>
      </c>
      <c r="C1638" t="s">
        <v>19</v>
      </c>
      <c r="D1638">
        <v>227</v>
      </c>
      <c r="E1638" t="s">
        <v>20</v>
      </c>
      <c r="F1638" t="s">
        <v>21</v>
      </c>
      <c r="G1638" t="s">
        <v>22</v>
      </c>
      <c r="H1638">
        <v>0.32389530458397309</v>
      </c>
      <c r="I1638">
        <v>3</v>
      </c>
      <c r="J1638" t="s">
        <v>23</v>
      </c>
      <c r="K1638" s="59" t="s">
        <v>17</v>
      </c>
    </row>
    <row r="1639" spans="1:11" x14ac:dyDescent="0.2">
      <c r="A1639" t="s">
        <v>1678</v>
      </c>
      <c r="B1639">
        <v>2023</v>
      </c>
      <c r="C1639" t="s">
        <v>19</v>
      </c>
      <c r="D1639">
        <v>71</v>
      </c>
      <c r="E1639" t="s">
        <v>20</v>
      </c>
      <c r="F1639" t="s">
        <v>21</v>
      </c>
      <c r="G1639" t="s">
        <v>15</v>
      </c>
      <c r="H1639">
        <v>-0.13665031143673101</v>
      </c>
      <c r="I1639">
        <v>3</v>
      </c>
      <c r="J1639" t="s">
        <v>16</v>
      </c>
      <c r="K1639" s="59" t="s">
        <v>17</v>
      </c>
    </row>
    <row r="1640" spans="1:11" x14ac:dyDescent="0.2">
      <c r="A1640" t="s">
        <v>1679</v>
      </c>
      <c r="B1640">
        <v>2025</v>
      </c>
      <c r="C1640" t="s">
        <v>12</v>
      </c>
      <c r="D1640">
        <v>295</v>
      </c>
      <c r="E1640" t="s">
        <v>20</v>
      </c>
      <c r="F1640" t="s">
        <v>21</v>
      </c>
      <c r="G1640" t="s">
        <v>48</v>
      </c>
      <c r="H1640">
        <v>-0.25249374106876921</v>
      </c>
      <c r="I1640">
        <v>3</v>
      </c>
      <c r="J1640" t="s">
        <v>16</v>
      </c>
      <c r="K1640" s="59" t="s">
        <v>17</v>
      </c>
    </row>
    <row r="1641" spans="1:11" x14ac:dyDescent="0.2">
      <c r="A1641" t="s">
        <v>1680</v>
      </c>
      <c r="B1641">
        <v>2024</v>
      </c>
      <c r="C1641" t="s">
        <v>33</v>
      </c>
      <c r="D1641">
        <v>184</v>
      </c>
      <c r="E1641" t="s">
        <v>29</v>
      </c>
      <c r="F1641" t="s">
        <v>30</v>
      </c>
      <c r="G1641" t="s">
        <v>15</v>
      </c>
      <c r="H1641">
        <v>0.41888041479869709</v>
      </c>
      <c r="I1641">
        <v>4</v>
      </c>
      <c r="J1641" t="s">
        <v>17</v>
      </c>
      <c r="K1641" s="59" t="s">
        <v>4376</v>
      </c>
    </row>
    <row r="1642" spans="1:11" x14ac:dyDescent="0.2">
      <c r="A1642" t="s">
        <v>1681</v>
      </c>
      <c r="B1642">
        <v>2022</v>
      </c>
      <c r="C1642" t="s">
        <v>33</v>
      </c>
      <c r="D1642">
        <v>352</v>
      </c>
      <c r="E1642" t="s">
        <v>53</v>
      </c>
      <c r="F1642" t="s">
        <v>54</v>
      </c>
      <c r="G1642" t="s">
        <v>36</v>
      </c>
      <c r="H1642">
        <v>5.4377775466296963E-2</v>
      </c>
      <c r="I1642">
        <v>3</v>
      </c>
      <c r="J1642" t="s">
        <v>16</v>
      </c>
      <c r="K1642" s="59" t="s">
        <v>4376</v>
      </c>
    </row>
    <row r="1643" spans="1:11" x14ac:dyDescent="0.2">
      <c r="A1643" t="s">
        <v>1682</v>
      </c>
      <c r="B1643">
        <v>2022</v>
      </c>
      <c r="C1643" t="s">
        <v>33</v>
      </c>
      <c r="D1643">
        <v>353</v>
      </c>
      <c r="E1643" t="s">
        <v>53</v>
      </c>
      <c r="F1643" t="s">
        <v>54</v>
      </c>
      <c r="G1643" t="s">
        <v>15</v>
      </c>
      <c r="H1643">
        <v>0.46058692577733279</v>
      </c>
      <c r="I1643">
        <v>3</v>
      </c>
      <c r="J1643" t="s">
        <v>16</v>
      </c>
      <c r="K1643" s="59" t="s">
        <v>17</v>
      </c>
    </row>
    <row r="1644" spans="1:11" x14ac:dyDescent="0.2">
      <c r="A1644" t="s">
        <v>1683</v>
      </c>
      <c r="B1644">
        <v>2022</v>
      </c>
      <c r="C1644" t="s">
        <v>33</v>
      </c>
      <c r="D1644">
        <v>1328</v>
      </c>
      <c r="E1644" t="s">
        <v>20</v>
      </c>
      <c r="F1644" t="s">
        <v>21</v>
      </c>
      <c r="G1644" t="s">
        <v>167</v>
      </c>
      <c r="H1644">
        <v>0.50724608493468171</v>
      </c>
      <c r="I1644">
        <v>3</v>
      </c>
      <c r="J1644" t="s">
        <v>17</v>
      </c>
      <c r="K1644" s="59" t="s">
        <v>4376</v>
      </c>
    </row>
    <row r="1645" spans="1:11" x14ac:dyDescent="0.2">
      <c r="A1645" t="s">
        <v>1684</v>
      </c>
      <c r="B1645">
        <v>2025</v>
      </c>
      <c r="C1645" t="s">
        <v>33</v>
      </c>
      <c r="D1645">
        <v>365</v>
      </c>
      <c r="E1645" t="s">
        <v>20</v>
      </c>
      <c r="F1645" t="s">
        <v>21</v>
      </c>
      <c r="G1645" t="s">
        <v>15</v>
      </c>
      <c r="H1645">
        <v>0.66497286790750598</v>
      </c>
      <c r="I1645">
        <v>3</v>
      </c>
      <c r="J1645" t="s">
        <v>17</v>
      </c>
      <c r="K1645" s="59" t="s">
        <v>4376</v>
      </c>
    </row>
    <row r="1646" spans="1:11" x14ac:dyDescent="0.2">
      <c r="A1646" t="s">
        <v>1685</v>
      </c>
      <c r="B1646">
        <v>2024</v>
      </c>
      <c r="C1646" t="s">
        <v>33</v>
      </c>
      <c r="D1646">
        <v>176</v>
      </c>
      <c r="E1646" t="s">
        <v>29</v>
      </c>
      <c r="F1646" t="s">
        <v>30</v>
      </c>
      <c r="G1646" t="s">
        <v>15</v>
      </c>
      <c r="H1646">
        <v>0.38200307877548229</v>
      </c>
      <c r="I1646">
        <v>4</v>
      </c>
      <c r="J1646" t="s">
        <v>17</v>
      </c>
      <c r="K1646" s="59" t="s">
        <v>4376</v>
      </c>
    </row>
    <row r="1647" spans="1:11" x14ac:dyDescent="0.2">
      <c r="A1647" t="s">
        <v>1686</v>
      </c>
      <c r="B1647">
        <v>2025</v>
      </c>
      <c r="C1647" t="s">
        <v>19</v>
      </c>
      <c r="D1647">
        <v>41</v>
      </c>
      <c r="E1647" t="s">
        <v>20</v>
      </c>
      <c r="F1647" t="s">
        <v>21</v>
      </c>
      <c r="G1647" t="s">
        <v>15</v>
      </c>
      <c r="H1647">
        <v>1.207133472294913</v>
      </c>
      <c r="I1647">
        <v>3</v>
      </c>
      <c r="J1647" t="s">
        <v>23</v>
      </c>
      <c r="K1647" s="59" t="s">
        <v>16</v>
      </c>
    </row>
    <row r="1648" spans="1:11" x14ac:dyDescent="0.2">
      <c r="A1648" t="s">
        <v>1687</v>
      </c>
      <c r="B1648">
        <v>2023</v>
      </c>
      <c r="C1648" t="s">
        <v>12</v>
      </c>
      <c r="D1648">
        <v>393</v>
      </c>
      <c r="E1648" t="s">
        <v>38</v>
      </c>
      <c r="F1648" t="s">
        <v>39</v>
      </c>
      <c r="G1648" t="s">
        <v>15</v>
      </c>
      <c r="H1648">
        <v>-5.0426212774462454E-3</v>
      </c>
      <c r="I1648">
        <v>3</v>
      </c>
      <c r="J1648" t="s">
        <v>16</v>
      </c>
      <c r="K1648" s="59" t="s">
        <v>4376</v>
      </c>
    </row>
    <row r="1649" spans="1:11" x14ac:dyDescent="0.2">
      <c r="A1649" t="s">
        <v>1688</v>
      </c>
      <c r="B1649">
        <v>2025</v>
      </c>
      <c r="C1649" t="s">
        <v>33</v>
      </c>
      <c r="D1649">
        <v>171</v>
      </c>
      <c r="E1649" t="s">
        <v>20</v>
      </c>
      <c r="F1649" t="s">
        <v>21</v>
      </c>
      <c r="G1649" t="s">
        <v>48</v>
      </c>
      <c r="H1649">
        <v>0.26270711826664911</v>
      </c>
      <c r="I1649">
        <v>3</v>
      </c>
      <c r="J1649" t="s">
        <v>23</v>
      </c>
      <c r="K1649" s="59" t="s">
        <v>16</v>
      </c>
    </row>
    <row r="1650" spans="1:11" x14ac:dyDescent="0.2">
      <c r="A1650" t="s">
        <v>1689</v>
      </c>
      <c r="B1650">
        <v>2025</v>
      </c>
      <c r="C1650" t="s">
        <v>33</v>
      </c>
      <c r="D1650">
        <v>190</v>
      </c>
      <c r="E1650" t="s">
        <v>25</v>
      </c>
      <c r="F1650" t="s">
        <v>26</v>
      </c>
      <c r="G1650" t="s">
        <v>15</v>
      </c>
      <c r="H1650">
        <v>0.52747404410694254</v>
      </c>
      <c r="I1650">
        <v>2</v>
      </c>
      <c r="J1650" t="s">
        <v>23</v>
      </c>
      <c r="K1650" s="59" t="s">
        <v>4376</v>
      </c>
    </row>
    <row r="1651" spans="1:11" x14ac:dyDescent="0.2">
      <c r="A1651" t="s">
        <v>1690</v>
      </c>
      <c r="B1651">
        <v>2017</v>
      </c>
      <c r="C1651" t="s">
        <v>19</v>
      </c>
      <c r="D1651">
        <v>123</v>
      </c>
      <c r="E1651" t="s">
        <v>38</v>
      </c>
      <c r="F1651" t="s">
        <v>39</v>
      </c>
      <c r="G1651" t="s">
        <v>15</v>
      </c>
      <c r="H1651">
        <v>0.43610998982593668</v>
      </c>
      <c r="I1651">
        <v>3</v>
      </c>
      <c r="J1651" t="s">
        <v>23</v>
      </c>
      <c r="K1651" s="59" t="s">
        <v>17</v>
      </c>
    </row>
    <row r="1652" spans="1:11" x14ac:dyDescent="0.2">
      <c r="A1652" t="s">
        <v>1691</v>
      </c>
      <c r="B1652">
        <v>2017</v>
      </c>
      <c r="C1652" t="s">
        <v>19</v>
      </c>
      <c r="D1652">
        <v>123</v>
      </c>
      <c r="E1652" t="s">
        <v>38</v>
      </c>
      <c r="F1652" t="s">
        <v>39</v>
      </c>
      <c r="G1652" t="s">
        <v>15</v>
      </c>
      <c r="H1652">
        <v>0.43610998982593668</v>
      </c>
      <c r="I1652">
        <v>3</v>
      </c>
      <c r="J1652" t="s">
        <v>23</v>
      </c>
      <c r="K1652" s="59" t="s">
        <v>17</v>
      </c>
    </row>
    <row r="1653" spans="1:11" x14ac:dyDescent="0.2">
      <c r="A1653" t="s">
        <v>1692</v>
      </c>
      <c r="B1653">
        <v>2018</v>
      </c>
      <c r="C1653" t="s">
        <v>19</v>
      </c>
      <c r="D1653">
        <v>419</v>
      </c>
      <c r="E1653" t="s">
        <v>25</v>
      </c>
      <c r="F1653" t="s">
        <v>26</v>
      </c>
      <c r="G1653" t="s">
        <v>48</v>
      </c>
      <c r="H1653">
        <v>0.82288157335204071</v>
      </c>
      <c r="I1653">
        <v>2</v>
      </c>
      <c r="J1653" t="s">
        <v>16</v>
      </c>
      <c r="K1653" s="59" t="s">
        <v>17</v>
      </c>
    </row>
    <row r="1654" spans="1:11" x14ac:dyDescent="0.2">
      <c r="A1654" t="s">
        <v>1693</v>
      </c>
      <c r="B1654">
        <v>2024</v>
      </c>
      <c r="C1654" t="s">
        <v>33</v>
      </c>
      <c r="D1654">
        <v>177</v>
      </c>
      <c r="E1654" t="s">
        <v>29</v>
      </c>
      <c r="F1654" t="s">
        <v>30</v>
      </c>
      <c r="G1654" t="s">
        <v>15</v>
      </c>
      <c r="H1654">
        <v>0.38680034850524653</v>
      </c>
      <c r="I1654">
        <v>4</v>
      </c>
      <c r="J1654" t="s">
        <v>17</v>
      </c>
      <c r="K1654" s="59" t="s">
        <v>4376</v>
      </c>
    </row>
    <row r="1655" spans="1:11" x14ac:dyDescent="0.2">
      <c r="A1655" t="s">
        <v>1694</v>
      </c>
      <c r="B1655">
        <v>2021</v>
      </c>
      <c r="C1655" t="s">
        <v>19</v>
      </c>
      <c r="D1655">
        <v>398</v>
      </c>
      <c r="E1655" t="s">
        <v>29</v>
      </c>
      <c r="F1655" t="s">
        <v>30</v>
      </c>
      <c r="G1655" t="s">
        <v>15</v>
      </c>
      <c r="H1655">
        <v>0.43743819565275671</v>
      </c>
      <c r="I1655">
        <v>4</v>
      </c>
      <c r="J1655" t="s">
        <v>23</v>
      </c>
      <c r="K1655" s="59" t="s">
        <v>17</v>
      </c>
    </row>
    <row r="1656" spans="1:11" x14ac:dyDescent="0.2">
      <c r="A1656" t="s">
        <v>1695</v>
      </c>
      <c r="B1656">
        <v>2023</v>
      </c>
      <c r="C1656" t="s">
        <v>12</v>
      </c>
      <c r="D1656">
        <v>393</v>
      </c>
      <c r="E1656" t="s">
        <v>38</v>
      </c>
      <c r="F1656" t="s">
        <v>39</v>
      </c>
      <c r="G1656" t="s">
        <v>15</v>
      </c>
      <c r="H1656">
        <v>-5.0426212774462454E-3</v>
      </c>
      <c r="I1656">
        <v>3</v>
      </c>
      <c r="J1656" t="s">
        <v>16</v>
      </c>
      <c r="K1656" s="59" t="s">
        <v>4376</v>
      </c>
    </row>
    <row r="1657" spans="1:11" x14ac:dyDescent="0.2">
      <c r="A1657" t="s">
        <v>1696</v>
      </c>
      <c r="B1657">
        <v>2019</v>
      </c>
      <c r="C1657" t="s">
        <v>19</v>
      </c>
      <c r="D1657">
        <v>131</v>
      </c>
      <c r="E1657" t="s">
        <v>20</v>
      </c>
      <c r="F1657" t="s">
        <v>21</v>
      </c>
      <c r="G1657" t="s">
        <v>15</v>
      </c>
      <c r="H1657">
        <v>-0.99751179788981514</v>
      </c>
      <c r="I1657">
        <v>3</v>
      </c>
      <c r="J1657" t="s">
        <v>23</v>
      </c>
      <c r="K1657" s="59" t="s">
        <v>16</v>
      </c>
    </row>
    <row r="1658" spans="1:11" x14ac:dyDescent="0.2">
      <c r="A1658" t="s">
        <v>1697</v>
      </c>
      <c r="B1658">
        <v>2021</v>
      </c>
      <c r="C1658" t="s">
        <v>33</v>
      </c>
      <c r="D1658">
        <v>178</v>
      </c>
      <c r="E1658" t="s">
        <v>25</v>
      </c>
      <c r="F1658" t="s">
        <v>26</v>
      </c>
      <c r="G1658" t="s">
        <v>15</v>
      </c>
      <c r="H1658">
        <v>-0.78653418372313266</v>
      </c>
      <c r="I1658">
        <v>2</v>
      </c>
      <c r="J1658" t="s">
        <v>23</v>
      </c>
      <c r="K1658" s="59" t="s">
        <v>4376</v>
      </c>
    </row>
    <row r="1659" spans="1:11" x14ac:dyDescent="0.2">
      <c r="A1659" t="s">
        <v>1698</v>
      </c>
      <c r="B1659">
        <v>2022</v>
      </c>
      <c r="C1659" t="s">
        <v>33</v>
      </c>
      <c r="D1659">
        <v>353</v>
      </c>
      <c r="E1659" t="s">
        <v>53</v>
      </c>
      <c r="F1659" t="s">
        <v>54</v>
      </c>
      <c r="G1659" t="s">
        <v>15</v>
      </c>
      <c r="H1659">
        <v>0.46058692577733279</v>
      </c>
      <c r="I1659">
        <v>3</v>
      </c>
      <c r="J1659" t="s">
        <v>16</v>
      </c>
      <c r="K1659" s="59" t="s">
        <v>17</v>
      </c>
    </row>
    <row r="1660" spans="1:11" x14ac:dyDescent="0.2">
      <c r="A1660" t="s">
        <v>1699</v>
      </c>
      <c r="B1660">
        <v>2024</v>
      </c>
      <c r="C1660" t="s">
        <v>19</v>
      </c>
      <c r="D1660">
        <v>91</v>
      </c>
      <c r="E1660" t="s">
        <v>13</v>
      </c>
      <c r="F1660" t="s">
        <v>14</v>
      </c>
      <c r="G1660" t="s">
        <v>15</v>
      </c>
      <c r="H1660">
        <v>-0.37822941862444209</v>
      </c>
      <c r="I1660">
        <v>4</v>
      </c>
      <c r="J1660" t="s">
        <v>23</v>
      </c>
      <c r="K1660" s="59" t="s">
        <v>17</v>
      </c>
    </row>
    <row r="1661" spans="1:11" x14ac:dyDescent="0.2">
      <c r="A1661" t="s">
        <v>1700</v>
      </c>
      <c r="B1661">
        <v>2022</v>
      </c>
      <c r="C1661" t="s">
        <v>33</v>
      </c>
      <c r="D1661">
        <v>352</v>
      </c>
      <c r="E1661" t="s">
        <v>53</v>
      </c>
      <c r="F1661" t="s">
        <v>54</v>
      </c>
      <c r="G1661" t="s">
        <v>36</v>
      </c>
      <c r="H1661">
        <v>5.4377775466296963E-2</v>
      </c>
      <c r="I1661">
        <v>3</v>
      </c>
      <c r="J1661" t="s">
        <v>16</v>
      </c>
      <c r="K1661" s="59" t="s">
        <v>4376</v>
      </c>
    </row>
    <row r="1662" spans="1:11" x14ac:dyDescent="0.2">
      <c r="A1662" t="s">
        <v>1701</v>
      </c>
      <c r="B1662">
        <v>2019</v>
      </c>
      <c r="C1662" t="s">
        <v>19</v>
      </c>
      <c r="D1662">
        <v>71</v>
      </c>
      <c r="E1662" t="s">
        <v>13</v>
      </c>
      <c r="F1662" t="s">
        <v>14</v>
      </c>
      <c r="G1662" t="s">
        <v>48</v>
      </c>
      <c r="H1662">
        <v>-0.80854220330255278</v>
      </c>
      <c r="I1662">
        <v>4</v>
      </c>
      <c r="J1662" t="s">
        <v>16</v>
      </c>
      <c r="K1662" s="59" t="s">
        <v>4376</v>
      </c>
    </row>
    <row r="1663" spans="1:11" x14ac:dyDescent="0.2">
      <c r="A1663" t="s">
        <v>1702</v>
      </c>
      <c r="B1663">
        <v>2024</v>
      </c>
      <c r="C1663" t="s">
        <v>33</v>
      </c>
      <c r="D1663">
        <v>176</v>
      </c>
      <c r="E1663" t="s">
        <v>29</v>
      </c>
      <c r="F1663" t="s">
        <v>30</v>
      </c>
      <c r="G1663" t="s">
        <v>15</v>
      </c>
      <c r="H1663">
        <v>0.38200307877548229</v>
      </c>
      <c r="I1663">
        <v>4</v>
      </c>
      <c r="J1663" t="s">
        <v>17</v>
      </c>
      <c r="K1663" s="59" t="s">
        <v>4376</v>
      </c>
    </row>
    <row r="1664" spans="1:11" x14ac:dyDescent="0.2">
      <c r="A1664" t="s">
        <v>1703</v>
      </c>
      <c r="B1664">
        <v>2024</v>
      </c>
      <c r="C1664" t="s">
        <v>33</v>
      </c>
      <c r="D1664">
        <v>176</v>
      </c>
      <c r="E1664" t="s">
        <v>29</v>
      </c>
      <c r="F1664" t="s">
        <v>30</v>
      </c>
      <c r="G1664" t="s">
        <v>15</v>
      </c>
      <c r="H1664">
        <v>0.38200307877548229</v>
      </c>
      <c r="I1664">
        <v>4</v>
      </c>
      <c r="J1664" t="s">
        <v>17</v>
      </c>
      <c r="K1664" s="59" t="s">
        <v>4376</v>
      </c>
    </row>
    <row r="1665" spans="1:11" x14ac:dyDescent="0.2">
      <c r="A1665" t="s">
        <v>1704</v>
      </c>
      <c r="B1665">
        <v>2025</v>
      </c>
      <c r="C1665" t="s">
        <v>33</v>
      </c>
      <c r="D1665">
        <v>206</v>
      </c>
      <c r="E1665" t="s">
        <v>20</v>
      </c>
      <c r="F1665" t="s">
        <v>21</v>
      </c>
      <c r="G1665" t="s">
        <v>36</v>
      </c>
      <c r="H1665">
        <v>-2.0723388570501711</v>
      </c>
      <c r="I1665">
        <v>3</v>
      </c>
      <c r="J1665" t="s">
        <v>23</v>
      </c>
      <c r="K1665" s="59" t="s">
        <v>4376</v>
      </c>
    </row>
    <row r="1666" spans="1:11" x14ac:dyDescent="0.2">
      <c r="A1666" t="s">
        <v>1705</v>
      </c>
      <c r="B1666">
        <v>2021</v>
      </c>
      <c r="C1666" t="s">
        <v>33</v>
      </c>
      <c r="D1666">
        <v>398</v>
      </c>
      <c r="E1666" t="s">
        <v>29</v>
      </c>
      <c r="F1666" t="s">
        <v>30</v>
      </c>
      <c r="G1666" t="s">
        <v>15</v>
      </c>
      <c r="H1666">
        <v>0.43743819565275671</v>
      </c>
      <c r="I1666">
        <v>4</v>
      </c>
      <c r="J1666" t="s">
        <v>23</v>
      </c>
      <c r="K1666" s="59" t="s">
        <v>4376</v>
      </c>
    </row>
    <row r="1667" spans="1:11" x14ac:dyDescent="0.2">
      <c r="A1667" t="s">
        <v>1706</v>
      </c>
      <c r="B1667">
        <v>2018</v>
      </c>
      <c r="C1667" t="s">
        <v>19</v>
      </c>
      <c r="D1667">
        <v>73</v>
      </c>
      <c r="E1667" t="s">
        <v>20</v>
      </c>
      <c r="F1667" t="s">
        <v>21</v>
      </c>
      <c r="G1667" t="s">
        <v>15</v>
      </c>
      <c r="H1667">
        <v>-9.9322984110851928E-2</v>
      </c>
      <c r="I1667">
        <v>3</v>
      </c>
      <c r="J1667" t="s">
        <v>16</v>
      </c>
      <c r="K1667" s="59" t="s">
        <v>17</v>
      </c>
    </row>
    <row r="1668" spans="1:11" x14ac:dyDescent="0.2">
      <c r="A1668" t="s">
        <v>1707</v>
      </c>
      <c r="B1668">
        <v>2017</v>
      </c>
      <c r="C1668" t="s">
        <v>19</v>
      </c>
      <c r="D1668">
        <v>64</v>
      </c>
      <c r="E1668" t="s">
        <v>20</v>
      </c>
      <c r="F1668" t="s">
        <v>21</v>
      </c>
      <c r="G1668" t="s">
        <v>48</v>
      </c>
      <c r="H1668">
        <v>-0.75255121231373412</v>
      </c>
      <c r="I1668">
        <v>3</v>
      </c>
      <c r="J1668" t="s">
        <v>23</v>
      </c>
      <c r="K1668" s="59" t="s">
        <v>23</v>
      </c>
    </row>
    <row r="1669" spans="1:11" x14ac:dyDescent="0.2">
      <c r="A1669" t="s">
        <v>1708</v>
      </c>
      <c r="B1669">
        <v>2024</v>
      </c>
      <c r="C1669" t="s">
        <v>33</v>
      </c>
      <c r="D1669">
        <v>177</v>
      </c>
      <c r="E1669" t="s">
        <v>29</v>
      </c>
      <c r="F1669" t="s">
        <v>30</v>
      </c>
      <c r="G1669" t="s">
        <v>15</v>
      </c>
      <c r="H1669">
        <v>0.38680034850524653</v>
      </c>
      <c r="I1669">
        <v>4</v>
      </c>
      <c r="J1669" t="s">
        <v>17</v>
      </c>
      <c r="K1669" s="59" t="s">
        <v>4376</v>
      </c>
    </row>
    <row r="1670" spans="1:11" x14ac:dyDescent="0.2">
      <c r="A1670" t="s">
        <v>1709</v>
      </c>
      <c r="B1670">
        <v>2018</v>
      </c>
      <c r="C1670" t="s">
        <v>19</v>
      </c>
      <c r="D1670">
        <v>67</v>
      </c>
      <c r="E1670" t="s">
        <v>13</v>
      </c>
      <c r="F1670" t="s">
        <v>14</v>
      </c>
      <c r="G1670" t="s">
        <v>15</v>
      </c>
      <c r="H1670">
        <v>0.50515686885300926</v>
      </c>
      <c r="I1670">
        <v>4</v>
      </c>
      <c r="J1670" t="s">
        <v>23</v>
      </c>
      <c r="K1670" s="59" t="s">
        <v>17</v>
      </c>
    </row>
    <row r="1671" spans="1:11" x14ac:dyDescent="0.2">
      <c r="A1671" t="s">
        <v>1710</v>
      </c>
      <c r="B1671">
        <v>2017</v>
      </c>
      <c r="C1671" t="s">
        <v>19</v>
      </c>
      <c r="D1671">
        <v>198</v>
      </c>
      <c r="E1671" t="s">
        <v>13</v>
      </c>
      <c r="F1671" t="s">
        <v>14</v>
      </c>
      <c r="G1671" t="s">
        <v>147</v>
      </c>
      <c r="H1671">
        <v>0.49090353680342741</v>
      </c>
      <c r="I1671">
        <v>4</v>
      </c>
      <c r="J1671" t="s">
        <v>23</v>
      </c>
      <c r="K1671" s="59" t="s">
        <v>23</v>
      </c>
    </row>
    <row r="1672" spans="1:11" x14ac:dyDescent="0.2">
      <c r="A1672" t="s">
        <v>1711</v>
      </c>
      <c r="B1672">
        <v>2023</v>
      </c>
      <c r="C1672" t="s">
        <v>19</v>
      </c>
      <c r="D1672">
        <v>84</v>
      </c>
      <c r="E1672" t="s">
        <v>25</v>
      </c>
      <c r="F1672" t="s">
        <v>26</v>
      </c>
      <c r="G1672" t="s">
        <v>15</v>
      </c>
      <c r="H1672">
        <v>1.6438980380798041E-2</v>
      </c>
      <c r="I1672">
        <v>2</v>
      </c>
      <c r="J1672" t="s">
        <v>23</v>
      </c>
      <c r="K1672" s="59" t="s">
        <v>17</v>
      </c>
    </row>
    <row r="1673" spans="1:11" x14ac:dyDescent="0.2">
      <c r="A1673" t="s">
        <v>1712</v>
      </c>
      <c r="B1673">
        <v>2024</v>
      </c>
      <c r="C1673" t="s">
        <v>33</v>
      </c>
      <c r="D1673">
        <v>400</v>
      </c>
      <c r="E1673" t="s">
        <v>53</v>
      </c>
      <c r="F1673" t="s">
        <v>54</v>
      </c>
      <c r="G1673" t="s">
        <v>15</v>
      </c>
      <c r="H1673">
        <v>0.54528745744027707</v>
      </c>
      <c r="I1673">
        <v>3</v>
      </c>
      <c r="J1673" t="s">
        <v>16</v>
      </c>
      <c r="K1673" s="59" t="s">
        <v>16</v>
      </c>
    </row>
    <row r="1674" spans="1:11" x14ac:dyDescent="0.2">
      <c r="A1674" t="s">
        <v>1713</v>
      </c>
      <c r="B1674">
        <v>2018</v>
      </c>
      <c r="C1674" t="s">
        <v>19</v>
      </c>
      <c r="D1674">
        <v>61</v>
      </c>
      <c r="E1674" t="s">
        <v>20</v>
      </c>
      <c r="F1674" t="s">
        <v>21</v>
      </c>
      <c r="G1674" t="s">
        <v>167</v>
      </c>
      <c r="H1674">
        <v>-0.33491349264303921</v>
      </c>
      <c r="I1674">
        <v>3</v>
      </c>
      <c r="J1674" t="s">
        <v>16</v>
      </c>
      <c r="K1674" s="59" t="s">
        <v>16</v>
      </c>
    </row>
    <row r="1675" spans="1:11" x14ac:dyDescent="0.2">
      <c r="A1675" t="s">
        <v>1714</v>
      </c>
      <c r="B1675">
        <v>2016</v>
      </c>
      <c r="C1675" t="s">
        <v>19</v>
      </c>
      <c r="D1675">
        <v>87</v>
      </c>
      <c r="E1675" t="s">
        <v>13</v>
      </c>
      <c r="F1675" t="s">
        <v>14</v>
      </c>
      <c r="G1675" t="s">
        <v>15</v>
      </c>
      <c r="H1675">
        <v>-0.95527721416980116</v>
      </c>
      <c r="I1675">
        <v>4</v>
      </c>
      <c r="J1675" t="s">
        <v>23</v>
      </c>
      <c r="K1675" s="59" t="s">
        <v>23</v>
      </c>
    </row>
    <row r="1676" spans="1:11" x14ac:dyDescent="0.2">
      <c r="A1676" t="s">
        <v>1715</v>
      </c>
      <c r="B1676">
        <v>2024</v>
      </c>
      <c r="C1676" t="s">
        <v>33</v>
      </c>
      <c r="D1676">
        <v>37</v>
      </c>
      <c r="E1676" t="s">
        <v>20</v>
      </c>
      <c r="F1676" t="s">
        <v>21</v>
      </c>
      <c r="G1676" t="s">
        <v>15</v>
      </c>
      <c r="H1676">
        <v>-1.405779440516616</v>
      </c>
      <c r="I1676">
        <v>3</v>
      </c>
      <c r="J1676" t="s">
        <v>23</v>
      </c>
      <c r="K1676" s="59" t="s">
        <v>4376</v>
      </c>
    </row>
    <row r="1677" spans="1:11" x14ac:dyDescent="0.2">
      <c r="A1677" t="s">
        <v>1716</v>
      </c>
      <c r="B1677">
        <v>2021</v>
      </c>
      <c r="C1677" t="s">
        <v>19</v>
      </c>
      <c r="D1677">
        <v>276</v>
      </c>
      <c r="E1677" t="s">
        <v>29</v>
      </c>
      <c r="F1677" t="s">
        <v>30</v>
      </c>
      <c r="G1677" t="s">
        <v>15</v>
      </c>
      <c r="H1677">
        <v>0.86998341902890874</v>
      </c>
      <c r="I1677">
        <v>4</v>
      </c>
      <c r="J1677" t="s">
        <v>23</v>
      </c>
      <c r="K1677" s="59" t="s">
        <v>17</v>
      </c>
    </row>
    <row r="1678" spans="1:11" x14ac:dyDescent="0.2">
      <c r="A1678" t="s">
        <v>1717</v>
      </c>
      <c r="B1678">
        <v>2024</v>
      </c>
      <c r="C1678" t="s">
        <v>12</v>
      </c>
      <c r="D1678">
        <v>39</v>
      </c>
      <c r="E1678" t="s">
        <v>13</v>
      </c>
      <c r="F1678" t="s">
        <v>14</v>
      </c>
      <c r="G1678" t="s">
        <v>15</v>
      </c>
      <c r="H1678">
        <v>-1.2047861395311139</v>
      </c>
      <c r="I1678">
        <v>4</v>
      </c>
      <c r="J1678" t="s">
        <v>23</v>
      </c>
      <c r="K1678" s="59" t="s">
        <v>17</v>
      </c>
    </row>
    <row r="1679" spans="1:11" x14ac:dyDescent="0.2">
      <c r="A1679" t="s">
        <v>1718</v>
      </c>
      <c r="B1679">
        <v>2021</v>
      </c>
      <c r="C1679" t="s">
        <v>19</v>
      </c>
      <c r="D1679">
        <v>70</v>
      </c>
      <c r="E1679" t="s">
        <v>53</v>
      </c>
      <c r="F1679" t="s">
        <v>54</v>
      </c>
      <c r="G1679" t="s">
        <v>15</v>
      </c>
      <c r="H1679">
        <v>0.51548005419774312</v>
      </c>
      <c r="I1679">
        <v>3</v>
      </c>
      <c r="J1679" t="s">
        <v>16</v>
      </c>
      <c r="K1679" s="59" t="s">
        <v>17</v>
      </c>
    </row>
    <row r="1680" spans="1:11" x14ac:dyDescent="0.2">
      <c r="A1680" t="s">
        <v>1719</v>
      </c>
      <c r="B1680">
        <v>2024</v>
      </c>
      <c r="C1680" t="s">
        <v>33</v>
      </c>
      <c r="D1680">
        <v>176</v>
      </c>
      <c r="E1680" t="s">
        <v>29</v>
      </c>
      <c r="F1680" t="s">
        <v>30</v>
      </c>
      <c r="G1680" t="s">
        <v>15</v>
      </c>
      <c r="H1680">
        <v>0.38200307877548229</v>
      </c>
      <c r="I1680">
        <v>4</v>
      </c>
      <c r="J1680" t="s">
        <v>17</v>
      </c>
      <c r="K1680" s="59" t="s">
        <v>4376</v>
      </c>
    </row>
    <row r="1681" spans="1:11" x14ac:dyDescent="0.2">
      <c r="A1681" t="s">
        <v>1720</v>
      </c>
      <c r="B1681">
        <v>2025</v>
      </c>
      <c r="C1681" t="s">
        <v>33</v>
      </c>
      <c r="D1681">
        <v>43</v>
      </c>
      <c r="E1681" t="s">
        <v>20</v>
      </c>
      <c r="F1681" t="s">
        <v>21</v>
      </c>
      <c r="G1681" t="s">
        <v>41</v>
      </c>
      <c r="H1681">
        <v>1.207133472294913</v>
      </c>
      <c r="I1681">
        <v>3</v>
      </c>
      <c r="J1681" t="s">
        <v>23</v>
      </c>
      <c r="K1681" s="59" t="s">
        <v>4376</v>
      </c>
    </row>
    <row r="1682" spans="1:11" x14ac:dyDescent="0.2">
      <c r="A1682" t="s">
        <v>1721</v>
      </c>
      <c r="B1682">
        <v>2021</v>
      </c>
      <c r="C1682" t="s">
        <v>33</v>
      </c>
      <c r="D1682">
        <v>120</v>
      </c>
      <c r="E1682" t="s">
        <v>13</v>
      </c>
      <c r="F1682" t="s">
        <v>14</v>
      </c>
      <c r="G1682" t="s">
        <v>80</v>
      </c>
      <c r="H1682">
        <v>0.40997360058970028</v>
      </c>
      <c r="I1682">
        <v>4</v>
      </c>
      <c r="J1682" t="s">
        <v>23</v>
      </c>
      <c r="K1682" s="59" t="s">
        <v>4376</v>
      </c>
    </row>
    <row r="1683" spans="1:11" x14ac:dyDescent="0.2">
      <c r="A1683" t="s">
        <v>1722</v>
      </c>
      <c r="B1683">
        <v>2025</v>
      </c>
      <c r="C1683" t="s">
        <v>19</v>
      </c>
      <c r="D1683">
        <v>61</v>
      </c>
      <c r="E1683" t="s">
        <v>25</v>
      </c>
      <c r="F1683" t="s">
        <v>26</v>
      </c>
      <c r="G1683" t="s">
        <v>48</v>
      </c>
      <c r="H1683">
        <v>-1.1444881492354639</v>
      </c>
      <c r="I1683">
        <v>2</v>
      </c>
      <c r="J1683" t="s">
        <v>17</v>
      </c>
      <c r="K1683" s="59" t="s">
        <v>17</v>
      </c>
    </row>
    <row r="1684" spans="1:11" x14ac:dyDescent="0.2">
      <c r="A1684" t="s">
        <v>1723</v>
      </c>
      <c r="B1684">
        <v>2024</v>
      </c>
      <c r="C1684" t="s">
        <v>33</v>
      </c>
      <c r="D1684">
        <v>44</v>
      </c>
      <c r="E1684" t="s">
        <v>20</v>
      </c>
      <c r="F1684" t="s">
        <v>21</v>
      </c>
      <c r="G1684" t="s">
        <v>15</v>
      </c>
      <c r="H1684">
        <v>-1.087131524320089</v>
      </c>
      <c r="I1684">
        <v>3</v>
      </c>
      <c r="J1684" t="s">
        <v>23</v>
      </c>
      <c r="K1684" s="59" t="s">
        <v>4376</v>
      </c>
    </row>
    <row r="1685" spans="1:11" x14ac:dyDescent="0.2">
      <c r="A1685" t="s">
        <v>1724</v>
      </c>
      <c r="B1685">
        <v>2021</v>
      </c>
      <c r="C1685" t="s">
        <v>19</v>
      </c>
      <c r="D1685">
        <v>382</v>
      </c>
      <c r="E1685" t="s">
        <v>29</v>
      </c>
      <c r="F1685" t="s">
        <v>30</v>
      </c>
      <c r="G1685" t="s">
        <v>15</v>
      </c>
      <c r="H1685">
        <v>-0.1911280323988247</v>
      </c>
      <c r="I1685">
        <v>4</v>
      </c>
      <c r="J1685" t="s">
        <v>17</v>
      </c>
      <c r="K1685" s="59" t="s">
        <v>16</v>
      </c>
    </row>
    <row r="1686" spans="1:11" x14ac:dyDescent="0.2">
      <c r="A1686" t="s">
        <v>1725</v>
      </c>
      <c r="B1686">
        <v>2019</v>
      </c>
      <c r="C1686" t="s">
        <v>19</v>
      </c>
      <c r="D1686">
        <v>102</v>
      </c>
      <c r="E1686" t="s">
        <v>20</v>
      </c>
      <c r="F1686" t="s">
        <v>21</v>
      </c>
      <c r="G1686" t="s">
        <v>15</v>
      </c>
      <c r="H1686">
        <v>0.25698332218162923</v>
      </c>
      <c r="I1686">
        <v>3</v>
      </c>
      <c r="J1686" t="s">
        <v>23</v>
      </c>
      <c r="K1686" s="59" t="s">
        <v>17</v>
      </c>
    </row>
    <row r="1687" spans="1:11" x14ac:dyDescent="0.2">
      <c r="A1687" t="s">
        <v>1726</v>
      </c>
      <c r="B1687">
        <v>2019</v>
      </c>
      <c r="C1687" t="s">
        <v>19</v>
      </c>
      <c r="D1687">
        <v>127</v>
      </c>
      <c r="E1687" t="s">
        <v>20</v>
      </c>
      <c r="F1687" t="s">
        <v>21</v>
      </c>
      <c r="G1687" t="s">
        <v>15</v>
      </c>
      <c r="H1687">
        <v>0.82783966237065831</v>
      </c>
      <c r="I1687">
        <v>3</v>
      </c>
      <c r="J1687" t="s">
        <v>23</v>
      </c>
      <c r="K1687" s="59" t="s">
        <v>4376</v>
      </c>
    </row>
    <row r="1688" spans="1:11" x14ac:dyDescent="0.2">
      <c r="A1688" t="s">
        <v>1727</v>
      </c>
      <c r="B1688">
        <v>2019</v>
      </c>
      <c r="C1688" t="s">
        <v>19</v>
      </c>
      <c r="D1688">
        <v>48</v>
      </c>
      <c r="E1688" t="s">
        <v>20</v>
      </c>
      <c r="F1688" t="s">
        <v>21</v>
      </c>
      <c r="G1688" t="s">
        <v>15</v>
      </c>
      <c r="H1688">
        <v>-1.794936682850248</v>
      </c>
      <c r="I1688">
        <v>3</v>
      </c>
      <c r="J1688" t="s">
        <v>17</v>
      </c>
      <c r="K1688" s="59" t="s">
        <v>17</v>
      </c>
    </row>
    <row r="1689" spans="1:11" x14ac:dyDescent="0.2">
      <c r="A1689" t="s">
        <v>1728</v>
      </c>
      <c r="B1689">
        <v>2021</v>
      </c>
      <c r="C1689" t="s">
        <v>12</v>
      </c>
      <c r="D1689">
        <v>398</v>
      </c>
      <c r="E1689" t="s">
        <v>29</v>
      </c>
      <c r="F1689" t="s">
        <v>30</v>
      </c>
      <c r="G1689" t="s">
        <v>15</v>
      </c>
      <c r="H1689">
        <v>0.43743819565275671</v>
      </c>
      <c r="I1689">
        <v>4</v>
      </c>
      <c r="J1689" t="s">
        <v>23</v>
      </c>
      <c r="K1689" s="59" t="s">
        <v>17</v>
      </c>
    </row>
    <row r="1690" spans="1:11" x14ac:dyDescent="0.2">
      <c r="A1690" t="s">
        <v>1729</v>
      </c>
      <c r="B1690">
        <v>2023</v>
      </c>
      <c r="C1690" t="s">
        <v>33</v>
      </c>
      <c r="D1690">
        <v>169</v>
      </c>
      <c r="E1690" t="s">
        <v>20</v>
      </c>
      <c r="F1690" t="s">
        <v>21</v>
      </c>
      <c r="G1690" t="s">
        <v>167</v>
      </c>
      <c r="H1690">
        <v>-1.0732268879769671</v>
      </c>
      <c r="I1690">
        <v>3</v>
      </c>
      <c r="J1690" t="s">
        <v>17</v>
      </c>
      <c r="K1690" s="59" t="s">
        <v>17</v>
      </c>
    </row>
    <row r="1691" spans="1:11" x14ac:dyDescent="0.2">
      <c r="A1691" t="s">
        <v>1730</v>
      </c>
      <c r="B1691">
        <v>2019</v>
      </c>
      <c r="C1691" t="s">
        <v>19</v>
      </c>
      <c r="D1691">
        <v>267</v>
      </c>
      <c r="E1691" t="s">
        <v>13</v>
      </c>
      <c r="F1691" t="s">
        <v>14</v>
      </c>
      <c r="G1691" t="s">
        <v>15</v>
      </c>
      <c r="H1691">
        <v>0.78666472770455165</v>
      </c>
      <c r="I1691">
        <v>4</v>
      </c>
      <c r="J1691" t="s">
        <v>23</v>
      </c>
      <c r="K1691" s="59" t="s">
        <v>23</v>
      </c>
    </row>
    <row r="1692" spans="1:11" x14ac:dyDescent="0.2">
      <c r="A1692" t="s">
        <v>1731</v>
      </c>
      <c r="B1692">
        <v>2017</v>
      </c>
      <c r="C1692" t="s">
        <v>19</v>
      </c>
      <c r="D1692">
        <v>120</v>
      </c>
      <c r="E1692" t="s">
        <v>25</v>
      </c>
      <c r="F1692" t="s">
        <v>26</v>
      </c>
      <c r="G1692" t="s">
        <v>48</v>
      </c>
      <c r="H1692">
        <v>0.29261395281087749</v>
      </c>
      <c r="I1692">
        <v>2</v>
      </c>
      <c r="J1692" t="s">
        <v>23</v>
      </c>
      <c r="K1692" s="59" t="s">
        <v>23</v>
      </c>
    </row>
    <row r="1693" spans="1:11" x14ac:dyDescent="0.2">
      <c r="A1693" t="s">
        <v>1732</v>
      </c>
      <c r="B1693">
        <v>2021</v>
      </c>
      <c r="C1693" t="s">
        <v>33</v>
      </c>
      <c r="D1693">
        <v>398</v>
      </c>
      <c r="E1693" t="s">
        <v>29</v>
      </c>
      <c r="F1693" t="s">
        <v>30</v>
      </c>
      <c r="G1693" t="s">
        <v>15</v>
      </c>
      <c r="H1693">
        <v>0.43743819565275671</v>
      </c>
      <c r="I1693">
        <v>4</v>
      </c>
      <c r="J1693" t="s">
        <v>23</v>
      </c>
      <c r="K1693" s="59" t="s">
        <v>4376</v>
      </c>
    </row>
    <row r="1694" spans="1:11" x14ac:dyDescent="0.2">
      <c r="A1694" t="s">
        <v>1733</v>
      </c>
      <c r="B1694">
        <v>2016</v>
      </c>
      <c r="C1694" t="s">
        <v>19</v>
      </c>
      <c r="D1694">
        <v>87</v>
      </c>
      <c r="E1694" t="s">
        <v>13</v>
      </c>
      <c r="F1694" t="s">
        <v>14</v>
      </c>
      <c r="G1694" t="s">
        <v>15</v>
      </c>
      <c r="H1694">
        <v>-0.95527721416980116</v>
      </c>
      <c r="I1694">
        <v>4</v>
      </c>
      <c r="J1694" t="s">
        <v>23</v>
      </c>
      <c r="K1694" s="59" t="s">
        <v>17</v>
      </c>
    </row>
    <row r="1695" spans="1:11" x14ac:dyDescent="0.2">
      <c r="A1695" t="s">
        <v>1734</v>
      </c>
      <c r="B1695">
        <v>2023</v>
      </c>
      <c r="C1695" t="s">
        <v>19</v>
      </c>
      <c r="D1695">
        <v>146</v>
      </c>
      <c r="E1695" t="s">
        <v>25</v>
      </c>
      <c r="F1695" t="s">
        <v>26</v>
      </c>
      <c r="G1695" t="s">
        <v>48</v>
      </c>
      <c r="H1695">
        <v>-0.2281285502353638</v>
      </c>
      <c r="I1695">
        <v>2</v>
      </c>
      <c r="J1695" t="s">
        <v>23</v>
      </c>
      <c r="K1695" s="59" t="s">
        <v>16</v>
      </c>
    </row>
    <row r="1696" spans="1:11" x14ac:dyDescent="0.2">
      <c r="A1696" t="s">
        <v>1735</v>
      </c>
      <c r="B1696">
        <v>2019</v>
      </c>
      <c r="C1696" t="s">
        <v>33</v>
      </c>
      <c r="D1696">
        <v>76</v>
      </c>
      <c r="E1696" t="s">
        <v>29</v>
      </c>
      <c r="F1696" t="s">
        <v>30</v>
      </c>
      <c r="G1696" t="s">
        <v>36</v>
      </c>
      <c r="H1696">
        <v>-0.72570621663416368</v>
      </c>
      <c r="I1696">
        <v>4</v>
      </c>
      <c r="J1696" t="s">
        <v>23</v>
      </c>
      <c r="K1696" s="59" t="s">
        <v>4376</v>
      </c>
    </row>
    <row r="1697" spans="1:11" x14ac:dyDescent="0.2">
      <c r="A1697" t="s">
        <v>1736</v>
      </c>
      <c r="B1697">
        <v>2017</v>
      </c>
      <c r="C1697" t="s">
        <v>33</v>
      </c>
      <c r="D1697">
        <v>124</v>
      </c>
      <c r="E1697" t="s">
        <v>25</v>
      </c>
      <c r="F1697" t="s">
        <v>26</v>
      </c>
      <c r="G1697" t="s">
        <v>22</v>
      </c>
      <c r="H1697">
        <v>3.1322661529724391E-2</v>
      </c>
      <c r="I1697">
        <v>2</v>
      </c>
      <c r="J1697" t="s">
        <v>23</v>
      </c>
      <c r="K1697" s="59" t="s">
        <v>4376</v>
      </c>
    </row>
    <row r="1698" spans="1:11" x14ac:dyDescent="0.2">
      <c r="A1698" t="s">
        <v>1737</v>
      </c>
      <c r="B1698">
        <v>2019</v>
      </c>
      <c r="C1698" t="s">
        <v>33</v>
      </c>
      <c r="D1698">
        <v>93</v>
      </c>
      <c r="E1698" t="s">
        <v>25</v>
      </c>
      <c r="F1698" t="s">
        <v>26</v>
      </c>
      <c r="G1698" t="s">
        <v>15</v>
      </c>
      <c r="H1698">
        <v>1.207133472294913</v>
      </c>
      <c r="I1698">
        <v>2</v>
      </c>
      <c r="J1698" t="s">
        <v>23</v>
      </c>
      <c r="K1698" s="59" t="s">
        <v>4376</v>
      </c>
    </row>
    <row r="1699" spans="1:11" x14ac:dyDescent="0.2">
      <c r="A1699" t="s">
        <v>1738</v>
      </c>
      <c r="B1699">
        <v>2024</v>
      </c>
      <c r="C1699" t="s">
        <v>33</v>
      </c>
      <c r="D1699">
        <v>178</v>
      </c>
      <c r="E1699" t="s">
        <v>29</v>
      </c>
      <c r="F1699" t="s">
        <v>30</v>
      </c>
      <c r="G1699" t="s">
        <v>15</v>
      </c>
      <c r="H1699">
        <v>0.39154215846934859</v>
      </c>
      <c r="I1699">
        <v>4</v>
      </c>
      <c r="J1699" t="s">
        <v>17</v>
      </c>
      <c r="K1699" s="59" t="s">
        <v>4376</v>
      </c>
    </row>
    <row r="1700" spans="1:11" x14ac:dyDescent="0.2">
      <c r="A1700" t="s">
        <v>1739</v>
      </c>
      <c r="B1700">
        <v>2017</v>
      </c>
      <c r="C1700" t="s">
        <v>33</v>
      </c>
      <c r="D1700">
        <v>294</v>
      </c>
      <c r="E1700" t="s">
        <v>25</v>
      </c>
      <c r="F1700" t="s">
        <v>26</v>
      </c>
      <c r="G1700" t="s">
        <v>48</v>
      </c>
      <c r="H1700">
        <v>-1.1610359829192739E-2</v>
      </c>
      <c r="I1700">
        <v>2</v>
      </c>
      <c r="J1700" t="s">
        <v>23</v>
      </c>
      <c r="K1700" s="59" t="s">
        <v>17</v>
      </c>
    </row>
    <row r="1701" spans="1:11" x14ac:dyDescent="0.2">
      <c r="A1701" t="s">
        <v>1740</v>
      </c>
      <c r="B1701">
        <v>2025</v>
      </c>
      <c r="C1701" t="s">
        <v>33</v>
      </c>
      <c r="D1701">
        <v>434</v>
      </c>
      <c r="E1701" t="s">
        <v>13</v>
      </c>
      <c r="F1701" t="s">
        <v>14</v>
      </c>
      <c r="G1701" t="s">
        <v>48</v>
      </c>
      <c r="H1701">
        <v>-1.356245546434881</v>
      </c>
      <c r="I1701">
        <v>4</v>
      </c>
      <c r="J1701" t="s">
        <v>16</v>
      </c>
      <c r="K1701" s="59" t="s">
        <v>23</v>
      </c>
    </row>
    <row r="1702" spans="1:11" x14ac:dyDescent="0.2">
      <c r="A1702" t="s">
        <v>1741</v>
      </c>
      <c r="B1702">
        <v>2024</v>
      </c>
      <c r="C1702" t="s">
        <v>33</v>
      </c>
      <c r="D1702">
        <v>176</v>
      </c>
      <c r="E1702" t="s">
        <v>29</v>
      </c>
      <c r="F1702" t="s">
        <v>30</v>
      </c>
      <c r="G1702" t="s">
        <v>15</v>
      </c>
      <c r="H1702">
        <v>0.38200307877548229</v>
      </c>
      <c r="I1702">
        <v>4</v>
      </c>
      <c r="J1702" t="s">
        <v>17</v>
      </c>
      <c r="K1702" s="59" t="s">
        <v>4376</v>
      </c>
    </row>
    <row r="1703" spans="1:11" x14ac:dyDescent="0.2">
      <c r="A1703" t="s">
        <v>1742</v>
      </c>
      <c r="B1703">
        <v>2024</v>
      </c>
      <c r="C1703" t="s">
        <v>33</v>
      </c>
      <c r="D1703">
        <v>176</v>
      </c>
      <c r="E1703" t="s">
        <v>29</v>
      </c>
      <c r="F1703" t="s">
        <v>30</v>
      </c>
      <c r="G1703" t="s">
        <v>15</v>
      </c>
      <c r="H1703">
        <v>0.38200307877548229</v>
      </c>
      <c r="I1703">
        <v>4</v>
      </c>
      <c r="J1703" t="s">
        <v>17</v>
      </c>
      <c r="K1703" s="59" t="s">
        <v>4376</v>
      </c>
    </row>
    <row r="1704" spans="1:11" x14ac:dyDescent="0.2">
      <c r="A1704" t="s">
        <v>1743</v>
      </c>
      <c r="B1704">
        <v>2022</v>
      </c>
      <c r="C1704" t="s">
        <v>33</v>
      </c>
      <c r="D1704">
        <v>353</v>
      </c>
      <c r="E1704" t="s">
        <v>53</v>
      </c>
      <c r="F1704" t="s">
        <v>54</v>
      </c>
      <c r="G1704" t="s">
        <v>15</v>
      </c>
      <c r="H1704">
        <v>0.46058692577733279</v>
      </c>
      <c r="I1704">
        <v>3</v>
      </c>
      <c r="J1704" t="s">
        <v>16</v>
      </c>
      <c r="K1704" s="59" t="s">
        <v>16</v>
      </c>
    </row>
    <row r="1705" spans="1:11" x14ac:dyDescent="0.2">
      <c r="A1705" t="s">
        <v>1744</v>
      </c>
      <c r="B1705">
        <v>2019</v>
      </c>
      <c r="C1705" t="s">
        <v>19</v>
      </c>
      <c r="D1705">
        <v>53</v>
      </c>
      <c r="E1705" t="s">
        <v>20</v>
      </c>
      <c r="F1705" t="s">
        <v>21</v>
      </c>
      <c r="G1705" t="s">
        <v>15</v>
      </c>
      <c r="H1705">
        <v>-0.63727564263087266</v>
      </c>
      <c r="I1705">
        <v>3</v>
      </c>
      <c r="J1705" t="s">
        <v>23</v>
      </c>
      <c r="K1705" s="59" t="s">
        <v>16</v>
      </c>
    </row>
    <row r="1706" spans="1:11" x14ac:dyDescent="0.2">
      <c r="A1706" t="s">
        <v>1745</v>
      </c>
      <c r="B1706">
        <v>2017</v>
      </c>
      <c r="C1706" t="s">
        <v>33</v>
      </c>
      <c r="D1706">
        <v>633</v>
      </c>
      <c r="E1706" t="s">
        <v>20</v>
      </c>
      <c r="F1706" t="s">
        <v>21</v>
      </c>
      <c r="G1706" t="s">
        <v>15</v>
      </c>
      <c r="H1706">
        <v>-3.2605414563465618</v>
      </c>
      <c r="I1706">
        <v>3</v>
      </c>
      <c r="J1706" t="s">
        <v>23</v>
      </c>
      <c r="K1706" s="59" t="s">
        <v>4376</v>
      </c>
    </row>
    <row r="1707" spans="1:11" x14ac:dyDescent="0.2">
      <c r="A1707" t="s">
        <v>1746</v>
      </c>
      <c r="B1707">
        <v>2021</v>
      </c>
      <c r="C1707" t="s">
        <v>19</v>
      </c>
      <c r="D1707">
        <v>382</v>
      </c>
      <c r="E1707" t="s">
        <v>29</v>
      </c>
      <c r="F1707" t="s">
        <v>30</v>
      </c>
      <c r="G1707" t="s">
        <v>15</v>
      </c>
      <c r="H1707">
        <v>-0.1911280323988247</v>
      </c>
      <c r="I1707">
        <v>4</v>
      </c>
      <c r="J1707" t="s">
        <v>23</v>
      </c>
      <c r="K1707" s="59" t="s">
        <v>17</v>
      </c>
    </row>
    <row r="1708" spans="1:11" x14ac:dyDescent="0.2">
      <c r="A1708" t="s">
        <v>1747</v>
      </c>
      <c r="B1708">
        <v>2025</v>
      </c>
      <c r="C1708" t="s">
        <v>33</v>
      </c>
      <c r="D1708">
        <v>250</v>
      </c>
      <c r="E1708" t="s">
        <v>13</v>
      </c>
      <c r="F1708" t="s">
        <v>14</v>
      </c>
      <c r="G1708" t="s">
        <v>48</v>
      </c>
      <c r="H1708">
        <v>-1.954168570365949</v>
      </c>
      <c r="I1708">
        <v>4</v>
      </c>
      <c r="J1708" t="s">
        <v>23</v>
      </c>
      <c r="K1708" s="59" t="s">
        <v>4376</v>
      </c>
    </row>
    <row r="1709" spans="1:11" x14ac:dyDescent="0.2">
      <c r="A1709" t="s">
        <v>1748</v>
      </c>
      <c r="B1709">
        <v>2019</v>
      </c>
      <c r="C1709" t="s">
        <v>19</v>
      </c>
      <c r="D1709">
        <v>277</v>
      </c>
      <c r="E1709" t="s">
        <v>20</v>
      </c>
      <c r="F1709" t="s">
        <v>21</v>
      </c>
      <c r="G1709" t="s">
        <v>15</v>
      </c>
      <c r="H1709">
        <v>0.33292469105685452</v>
      </c>
      <c r="I1709">
        <v>3</v>
      </c>
      <c r="J1709" t="s">
        <v>23</v>
      </c>
      <c r="K1709" s="59" t="s">
        <v>4376</v>
      </c>
    </row>
    <row r="1710" spans="1:11" x14ac:dyDescent="0.2">
      <c r="A1710" t="s">
        <v>1749</v>
      </c>
      <c r="B1710">
        <v>2019</v>
      </c>
      <c r="C1710" t="s">
        <v>19</v>
      </c>
      <c r="D1710">
        <v>67</v>
      </c>
      <c r="E1710" t="s">
        <v>20</v>
      </c>
      <c r="F1710" t="s">
        <v>21</v>
      </c>
      <c r="G1710" t="s">
        <v>15</v>
      </c>
      <c r="H1710">
        <v>-3.068542203214863</v>
      </c>
      <c r="I1710">
        <v>3</v>
      </c>
      <c r="J1710" t="s">
        <v>23</v>
      </c>
      <c r="K1710" s="59" t="s">
        <v>17</v>
      </c>
    </row>
    <row r="1711" spans="1:11" x14ac:dyDescent="0.2">
      <c r="A1711" t="s">
        <v>1750</v>
      </c>
      <c r="B1711">
        <v>2021</v>
      </c>
      <c r="C1711" t="s">
        <v>19</v>
      </c>
      <c r="D1711">
        <v>109</v>
      </c>
      <c r="E1711" t="s">
        <v>20</v>
      </c>
      <c r="F1711" t="s">
        <v>21</v>
      </c>
      <c r="G1711" t="s">
        <v>15</v>
      </c>
      <c r="H1711">
        <v>-1.256470131213101</v>
      </c>
      <c r="I1711">
        <v>3</v>
      </c>
      <c r="J1711" t="s">
        <v>23</v>
      </c>
      <c r="K1711" s="59" t="s">
        <v>4376</v>
      </c>
    </row>
    <row r="1712" spans="1:11" x14ac:dyDescent="0.2">
      <c r="A1712" t="s">
        <v>1751</v>
      </c>
      <c r="B1712">
        <v>2023</v>
      </c>
      <c r="C1712" t="s">
        <v>12</v>
      </c>
      <c r="D1712">
        <v>335</v>
      </c>
      <c r="E1712" t="s">
        <v>20</v>
      </c>
      <c r="F1712" t="s">
        <v>21</v>
      </c>
      <c r="G1712" t="s">
        <v>15</v>
      </c>
      <c r="H1712">
        <v>7.039794527116576E-2</v>
      </c>
      <c r="I1712">
        <v>3</v>
      </c>
      <c r="J1712" t="s">
        <v>23</v>
      </c>
      <c r="K1712" s="59" t="s">
        <v>16</v>
      </c>
    </row>
    <row r="1713" spans="1:11" x14ac:dyDescent="0.2">
      <c r="A1713" t="s">
        <v>1752</v>
      </c>
      <c r="B1713">
        <v>2024</v>
      </c>
      <c r="C1713" t="s">
        <v>19</v>
      </c>
      <c r="D1713">
        <v>149</v>
      </c>
      <c r="E1713" t="s">
        <v>20</v>
      </c>
      <c r="F1713" t="s">
        <v>21</v>
      </c>
      <c r="G1713" t="s">
        <v>15</v>
      </c>
      <c r="H1713">
        <v>1.8695620980781169</v>
      </c>
      <c r="I1713">
        <v>3</v>
      </c>
      <c r="J1713" t="s">
        <v>16</v>
      </c>
      <c r="K1713" s="59" t="s">
        <v>17</v>
      </c>
    </row>
    <row r="1714" spans="1:11" x14ac:dyDescent="0.2">
      <c r="A1714" t="s">
        <v>1753</v>
      </c>
      <c r="B1714">
        <v>2017</v>
      </c>
      <c r="C1714" t="s">
        <v>19</v>
      </c>
      <c r="D1714">
        <v>276</v>
      </c>
      <c r="E1714" t="s">
        <v>25</v>
      </c>
      <c r="F1714" t="s">
        <v>26</v>
      </c>
      <c r="G1714" t="s">
        <v>15</v>
      </c>
      <c r="H1714">
        <v>0.16196830717030089</v>
      </c>
      <c r="I1714">
        <v>2</v>
      </c>
      <c r="J1714" t="s">
        <v>23</v>
      </c>
      <c r="K1714" s="59" t="s">
        <v>16</v>
      </c>
    </row>
    <row r="1715" spans="1:11" x14ac:dyDescent="0.2">
      <c r="A1715" t="s">
        <v>1754</v>
      </c>
      <c r="B1715">
        <v>2016</v>
      </c>
      <c r="C1715" t="s">
        <v>19</v>
      </c>
      <c r="D1715">
        <v>87</v>
      </c>
      <c r="E1715" t="s">
        <v>13</v>
      </c>
      <c r="F1715" t="s">
        <v>14</v>
      </c>
      <c r="G1715" t="s">
        <v>15</v>
      </c>
      <c r="H1715">
        <v>-0.95527721416980116</v>
      </c>
      <c r="I1715">
        <v>4</v>
      </c>
      <c r="J1715" t="s">
        <v>23</v>
      </c>
      <c r="K1715" s="59" t="s">
        <v>23</v>
      </c>
    </row>
    <row r="1716" spans="1:11" x14ac:dyDescent="0.2">
      <c r="A1716" t="s">
        <v>1755</v>
      </c>
      <c r="B1716">
        <v>2025</v>
      </c>
      <c r="C1716" t="s">
        <v>33</v>
      </c>
      <c r="D1716">
        <v>276</v>
      </c>
      <c r="E1716" t="s">
        <v>20</v>
      </c>
      <c r="F1716" t="s">
        <v>21</v>
      </c>
      <c r="G1716" t="s">
        <v>15</v>
      </c>
      <c r="H1716">
        <v>-0.86954731288738452</v>
      </c>
      <c r="I1716">
        <v>3</v>
      </c>
      <c r="J1716" t="s">
        <v>23</v>
      </c>
      <c r="K1716" s="59" t="s">
        <v>16</v>
      </c>
    </row>
    <row r="1717" spans="1:11" x14ac:dyDescent="0.2">
      <c r="A1717" t="s">
        <v>1756</v>
      </c>
      <c r="B1717">
        <v>2019</v>
      </c>
      <c r="C1717" t="s">
        <v>19</v>
      </c>
      <c r="D1717">
        <v>53</v>
      </c>
      <c r="E1717" t="s">
        <v>20</v>
      </c>
      <c r="F1717" t="s">
        <v>21</v>
      </c>
      <c r="G1717" t="s">
        <v>15</v>
      </c>
      <c r="H1717">
        <v>-1.559480200093766</v>
      </c>
      <c r="I1717">
        <v>3</v>
      </c>
      <c r="J1717" t="s">
        <v>23</v>
      </c>
      <c r="K1717" s="59" t="s">
        <v>17</v>
      </c>
    </row>
    <row r="1718" spans="1:11" x14ac:dyDescent="0.2">
      <c r="A1718" t="s">
        <v>1757</v>
      </c>
      <c r="B1718">
        <v>2021</v>
      </c>
      <c r="C1718" t="s">
        <v>33</v>
      </c>
      <c r="D1718">
        <v>382</v>
      </c>
      <c r="E1718" t="s">
        <v>29</v>
      </c>
      <c r="F1718" t="s">
        <v>30</v>
      </c>
      <c r="G1718" t="s">
        <v>15</v>
      </c>
      <c r="H1718">
        <v>-0.1911280323988247</v>
      </c>
      <c r="I1718">
        <v>4</v>
      </c>
      <c r="J1718" t="s">
        <v>17</v>
      </c>
      <c r="K1718" s="59" t="s">
        <v>17</v>
      </c>
    </row>
    <row r="1719" spans="1:11" x14ac:dyDescent="0.2">
      <c r="A1719" t="s">
        <v>1758</v>
      </c>
      <c r="B1719">
        <v>2021</v>
      </c>
      <c r="C1719" t="s">
        <v>19</v>
      </c>
      <c r="D1719">
        <v>304</v>
      </c>
      <c r="E1719" t="s">
        <v>29</v>
      </c>
      <c r="F1719" t="s">
        <v>30</v>
      </c>
      <c r="G1719" t="s">
        <v>15</v>
      </c>
      <c r="H1719">
        <v>0.51773299692770136</v>
      </c>
      <c r="I1719">
        <v>4</v>
      </c>
      <c r="J1719" t="s">
        <v>23</v>
      </c>
      <c r="K1719" s="59" t="s">
        <v>17</v>
      </c>
    </row>
    <row r="1720" spans="1:11" x14ac:dyDescent="0.2">
      <c r="A1720" t="s">
        <v>1759</v>
      </c>
      <c r="B1720">
        <v>2024</v>
      </c>
      <c r="C1720" t="s">
        <v>33</v>
      </c>
      <c r="D1720">
        <v>179</v>
      </c>
      <c r="E1720" t="s">
        <v>29</v>
      </c>
      <c r="F1720" t="s">
        <v>30</v>
      </c>
      <c r="G1720" t="s">
        <v>15</v>
      </c>
      <c r="H1720">
        <v>0.39622946487064492</v>
      </c>
      <c r="I1720">
        <v>4</v>
      </c>
      <c r="J1720" t="s">
        <v>17</v>
      </c>
      <c r="K1720" s="59" t="s">
        <v>4376</v>
      </c>
    </row>
    <row r="1721" spans="1:11" x14ac:dyDescent="0.2">
      <c r="A1721" t="s">
        <v>1760</v>
      </c>
      <c r="B1721">
        <v>2025</v>
      </c>
      <c r="C1721" t="s">
        <v>33</v>
      </c>
      <c r="D1721">
        <v>81</v>
      </c>
      <c r="E1721" t="s">
        <v>20</v>
      </c>
      <c r="F1721" t="s">
        <v>21</v>
      </c>
      <c r="G1721" t="s">
        <v>15</v>
      </c>
      <c r="H1721">
        <v>1.8179442830820229</v>
      </c>
      <c r="I1721">
        <v>3</v>
      </c>
      <c r="J1721" t="s">
        <v>23</v>
      </c>
      <c r="K1721" s="59" t="s">
        <v>4376</v>
      </c>
    </row>
    <row r="1722" spans="1:11" x14ac:dyDescent="0.2">
      <c r="A1722" t="s">
        <v>1761</v>
      </c>
      <c r="B1722">
        <v>2024</v>
      </c>
      <c r="C1722" t="s">
        <v>19</v>
      </c>
      <c r="D1722">
        <v>89</v>
      </c>
      <c r="E1722" t="s">
        <v>25</v>
      </c>
      <c r="F1722" t="s">
        <v>26</v>
      </c>
      <c r="G1722" t="s">
        <v>15</v>
      </c>
      <c r="H1722">
        <v>-1.435138012570679</v>
      </c>
      <c r="I1722">
        <v>2</v>
      </c>
      <c r="J1722" t="s">
        <v>23</v>
      </c>
      <c r="K1722" s="59" t="s">
        <v>17</v>
      </c>
    </row>
    <row r="1723" spans="1:11" x14ac:dyDescent="0.2">
      <c r="A1723" t="s">
        <v>1762</v>
      </c>
      <c r="B1723">
        <v>2025</v>
      </c>
      <c r="C1723" t="s">
        <v>33</v>
      </c>
      <c r="D1723">
        <v>692</v>
      </c>
      <c r="E1723" t="s">
        <v>20</v>
      </c>
      <c r="F1723" t="s">
        <v>21</v>
      </c>
      <c r="G1723" t="s">
        <v>48</v>
      </c>
      <c r="H1723">
        <v>-0.22021895470362421</v>
      </c>
      <c r="I1723">
        <v>3</v>
      </c>
      <c r="J1723" t="s">
        <v>16</v>
      </c>
      <c r="K1723" s="59" t="s">
        <v>23</v>
      </c>
    </row>
    <row r="1724" spans="1:11" x14ac:dyDescent="0.2">
      <c r="A1724" t="s">
        <v>1763</v>
      </c>
      <c r="B1724">
        <v>2025</v>
      </c>
      <c r="C1724" t="s">
        <v>33</v>
      </c>
      <c r="D1724">
        <v>1303</v>
      </c>
      <c r="E1724" t="s">
        <v>20</v>
      </c>
      <c r="F1724" t="s">
        <v>21</v>
      </c>
      <c r="G1724" t="s">
        <v>48</v>
      </c>
      <c r="H1724">
        <v>-0.46175929137180599</v>
      </c>
      <c r="I1724">
        <v>3</v>
      </c>
      <c r="J1724" t="s">
        <v>16</v>
      </c>
      <c r="K1724" s="59" t="s">
        <v>4376</v>
      </c>
    </row>
    <row r="1725" spans="1:11" x14ac:dyDescent="0.2">
      <c r="A1725" t="s">
        <v>1764</v>
      </c>
      <c r="B1725">
        <v>2025</v>
      </c>
      <c r="C1725" t="s">
        <v>33</v>
      </c>
      <c r="D1725">
        <v>110</v>
      </c>
      <c r="E1725" t="s">
        <v>20</v>
      </c>
      <c r="F1725" t="s">
        <v>21</v>
      </c>
      <c r="G1725" t="s">
        <v>48</v>
      </c>
      <c r="H1725">
        <v>-8.7337145061257906E-2</v>
      </c>
      <c r="I1725">
        <v>3</v>
      </c>
      <c r="J1725" t="s">
        <v>23</v>
      </c>
      <c r="K1725" s="59" t="s">
        <v>23</v>
      </c>
    </row>
    <row r="1726" spans="1:11" x14ac:dyDescent="0.2">
      <c r="A1726" t="s">
        <v>1765</v>
      </c>
      <c r="B1726">
        <v>2021</v>
      </c>
      <c r="C1726" t="s">
        <v>33</v>
      </c>
      <c r="D1726">
        <v>319</v>
      </c>
      <c r="E1726" t="s">
        <v>38</v>
      </c>
      <c r="F1726" t="s">
        <v>39</v>
      </c>
      <c r="G1726" t="s">
        <v>15</v>
      </c>
      <c r="H1726">
        <v>0.6155305486394721</v>
      </c>
      <c r="I1726">
        <v>3</v>
      </c>
      <c r="J1726" t="s">
        <v>16</v>
      </c>
      <c r="K1726" s="59" t="s">
        <v>17</v>
      </c>
    </row>
    <row r="1727" spans="1:11" x14ac:dyDescent="0.2">
      <c r="A1727" t="s">
        <v>1766</v>
      </c>
      <c r="B1727">
        <v>2021</v>
      </c>
      <c r="C1727" t="s">
        <v>33</v>
      </c>
      <c r="D1727">
        <v>321</v>
      </c>
      <c r="E1727" t="s">
        <v>38</v>
      </c>
      <c r="F1727" t="s">
        <v>39</v>
      </c>
      <c r="G1727" t="s">
        <v>15</v>
      </c>
      <c r="H1727">
        <v>0.61738510325908169</v>
      </c>
      <c r="I1727">
        <v>3</v>
      </c>
      <c r="J1727" t="s">
        <v>16</v>
      </c>
      <c r="K1727" s="59" t="s">
        <v>4376</v>
      </c>
    </row>
    <row r="1728" spans="1:11" x14ac:dyDescent="0.2">
      <c r="A1728" t="s">
        <v>1767</v>
      </c>
      <c r="B1728">
        <v>2017</v>
      </c>
      <c r="C1728" t="s">
        <v>33</v>
      </c>
      <c r="D1728">
        <v>63</v>
      </c>
      <c r="E1728" t="s">
        <v>20</v>
      </c>
      <c r="F1728" t="s">
        <v>21</v>
      </c>
      <c r="G1728" t="s">
        <v>15</v>
      </c>
      <c r="H1728">
        <v>-1.779052713775406</v>
      </c>
      <c r="I1728">
        <v>3</v>
      </c>
      <c r="J1728" t="s">
        <v>23</v>
      </c>
      <c r="K1728" s="59" t="s">
        <v>16</v>
      </c>
    </row>
    <row r="1729" spans="1:11" x14ac:dyDescent="0.2">
      <c r="A1729" t="s">
        <v>1768</v>
      </c>
      <c r="B1729">
        <v>2024</v>
      </c>
      <c r="C1729" t="s">
        <v>33</v>
      </c>
      <c r="D1729">
        <v>178</v>
      </c>
      <c r="E1729" t="s">
        <v>29</v>
      </c>
      <c r="F1729" t="s">
        <v>30</v>
      </c>
      <c r="G1729" t="s">
        <v>15</v>
      </c>
      <c r="H1729">
        <v>0.39154215846934859</v>
      </c>
      <c r="I1729">
        <v>4</v>
      </c>
      <c r="J1729" t="s">
        <v>17</v>
      </c>
      <c r="K1729" s="59" t="s">
        <v>4376</v>
      </c>
    </row>
    <row r="1730" spans="1:11" x14ac:dyDescent="0.2">
      <c r="A1730" t="s">
        <v>1769</v>
      </c>
      <c r="B1730">
        <v>2017</v>
      </c>
      <c r="C1730" t="s">
        <v>33</v>
      </c>
      <c r="D1730">
        <v>67</v>
      </c>
      <c r="E1730" t="s">
        <v>25</v>
      </c>
      <c r="F1730" t="s">
        <v>26</v>
      </c>
      <c r="G1730" t="s">
        <v>15</v>
      </c>
      <c r="H1730">
        <v>0.49452085970995008</v>
      </c>
      <c r="I1730">
        <v>2</v>
      </c>
      <c r="J1730" t="s">
        <v>23</v>
      </c>
      <c r="K1730" s="59" t="s">
        <v>4376</v>
      </c>
    </row>
    <row r="1731" spans="1:11" x14ac:dyDescent="0.2">
      <c r="A1731" t="s">
        <v>1770</v>
      </c>
      <c r="B1731">
        <v>2021</v>
      </c>
      <c r="C1731" t="s">
        <v>33</v>
      </c>
      <c r="D1731">
        <v>398</v>
      </c>
      <c r="E1731" t="s">
        <v>29</v>
      </c>
      <c r="F1731" t="s">
        <v>30</v>
      </c>
      <c r="G1731" t="s">
        <v>15</v>
      </c>
      <c r="H1731">
        <v>0.43743819565275671</v>
      </c>
      <c r="I1731">
        <v>4</v>
      </c>
      <c r="J1731" t="s">
        <v>23</v>
      </c>
      <c r="K1731" s="59" t="s">
        <v>4376</v>
      </c>
    </row>
    <row r="1732" spans="1:11" x14ac:dyDescent="0.2">
      <c r="A1732" t="s">
        <v>1771</v>
      </c>
      <c r="B1732">
        <v>2017</v>
      </c>
      <c r="C1732" t="s">
        <v>19</v>
      </c>
      <c r="D1732">
        <v>114</v>
      </c>
      <c r="E1732" t="s">
        <v>25</v>
      </c>
      <c r="F1732" t="s">
        <v>26</v>
      </c>
      <c r="G1732" t="s">
        <v>15</v>
      </c>
      <c r="H1732">
        <v>2.0395659046950461</v>
      </c>
      <c r="I1732">
        <v>2</v>
      </c>
      <c r="J1732" t="s">
        <v>23</v>
      </c>
      <c r="K1732" s="59" t="s">
        <v>16</v>
      </c>
    </row>
    <row r="1733" spans="1:11" x14ac:dyDescent="0.2">
      <c r="A1733" t="s">
        <v>1772</v>
      </c>
      <c r="B1733">
        <v>2021</v>
      </c>
      <c r="C1733" t="s">
        <v>19</v>
      </c>
      <c r="D1733">
        <v>107</v>
      </c>
      <c r="E1733" t="s">
        <v>20</v>
      </c>
      <c r="F1733" t="s">
        <v>21</v>
      </c>
      <c r="G1733" t="s">
        <v>22</v>
      </c>
      <c r="H1733">
        <v>-0.39105597923058583</v>
      </c>
      <c r="I1733">
        <v>3</v>
      </c>
      <c r="J1733" t="s">
        <v>23</v>
      </c>
      <c r="K1733" s="59" t="s">
        <v>17</v>
      </c>
    </row>
    <row r="1734" spans="1:11" x14ac:dyDescent="0.2">
      <c r="A1734" t="s">
        <v>1773</v>
      </c>
      <c r="B1734">
        <v>2019</v>
      </c>
      <c r="C1734" t="s">
        <v>33</v>
      </c>
      <c r="D1734">
        <v>74</v>
      </c>
      <c r="E1734" t="s">
        <v>29</v>
      </c>
      <c r="F1734" t="s">
        <v>30</v>
      </c>
      <c r="G1734" t="s">
        <v>15</v>
      </c>
      <c r="H1734">
        <v>0.55390524409203035</v>
      </c>
      <c r="I1734">
        <v>4</v>
      </c>
      <c r="J1734" t="s">
        <v>23</v>
      </c>
      <c r="K1734" s="59" t="s">
        <v>17</v>
      </c>
    </row>
    <row r="1735" spans="1:11" x14ac:dyDescent="0.2">
      <c r="A1735" t="s">
        <v>1774</v>
      </c>
      <c r="B1735">
        <v>2017</v>
      </c>
      <c r="C1735" t="s">
        <v>19</v>
      </c>
      <c r="D1735">
        <v>144</v>
      </c>
      <c r="E1735" t="s">
        <v>13</v>
      </c>
      <c r="F1735" t="s">
        <v>14</v>
      </c>
      <c r="G1735" t="s">
        <v>80</v>
      </c>
      <c r="H1735">
        <v>-1.079165326415175</v>
      </c>
      <c r="I1735">
        <v>4</v>
      </c>
      <c r="J1735" t="s">
        <v>23</v>
      </c>
      <c r="K1735" s="59" t="s">
        <v>16</v>
      </c>
    </row>
    <row r="1736" spans="1:11" x14ac:dyDescent="0.2">
      <c r="A1736" t="s">
        <v>1775</v>
      </c>
      <c r="B1736">
        <v>2019</v>
      </c>
      <c r="C1736" t="s">
        <v>33</v>
      </c>
      <c r="D1736">
        <v>66</v>
      </c>
      <c r="E1736" t="s">
        <v>29</v>
      </c>
      <c r="F1736" t="s">
        <v>30</v>
      </c>
      <c r="G1736" t="s">
        <v>15</v>
      </c>
      <c r="H1736">
        <v>0.47225171556667001</v>
      </c>
      <c r="I1736">
        <v>4</v>
      </c>
      <c r="J1736" t="s">
        <v>23</v>
      </c>
      <c r="K1736" s="59" t="s">
        <v>16</v>
      </c>
    </row>
    <row r="1737" spans="1:11" x14ac:dyDescent="0.2">
      <c r="A1737" t="s">
        <v>1776</v>
      </c>
      <c r="B1737">
        <v>2017</v>
      </c>
      <c r="C1737" t="s">
        <v>19</v>
      </c>
      <c r="D1737">
        <v>191</v>
      </c>
      <c r="E1737" t="s">
        <v>20</v>
      </c>
      <c r="F1737" t="s">
        <v>21</v>
      </c>
      <c r="G1737" t="s">
        <v>48</v>
      </c>
      <c r="H1737">
        <v>0.96594151111230986</v>
      </c>
      <c r="I1737">
        <v>3</v>
      </c>
      <c r="J1737" t="s">
        <v>23</v>
      </c>
      <c r="K1737" s="59" t="s">
        <v>23</v>
      </c>
    </row>
    <row r="1738" spans="1:11" x14ac:dyDescent="0.2">
      <c r="A1738" t="s">
        <v>1777</v>
      </c>
      <c r="B1738">
        <v>2019</v>
      </c>
      <c r="C1738" t="s">
        <v>19</v>
      </c>
      <c r="D1738">
        <v>264</v>
      </c>
      <c r="E1738" t="s">
        <v>25</v>
      </c>
      <c r="F1738" t="s">
        <v>26</v>
      </c>
      <c r="G1738" t="s">
        <v>34</v>
      </c>
      <c r="H1738">
        <v>4.8098172448553377E-2</v>
      </c>
      <c r="I1738">
        <v>2</v>
      </c>
      <c r="J1738" t="s">
        <v>16</v>
      </c>
      <c r="K1738" s="59" t="s">
        <v>4376</v>
      </c>
    </row>
    <row r="1739" spans="1:11" x14ac:dyDescent="0.2">
      <c r="A1739" t="s">
        <v>1778</v>
      </c>
      <c r="B1739">
        <v>2021</v>
      </c>
      <c r="C1739" t="s">
        <v>33</v>
      </c>
      <c r="D1739">
        <v>94</v>
      </c>
      <c r="E1739" t="s">
        <v>13</v>
      </c>
      <c r="F1739" t="s">
        <v>14</v>
      </c>
      <c r="G1739" t="s">
        <v>57</v>
      </c>
      <c r="H1739">
        <v>-2.7956267345653019</v>
      </c>
      <c r="I1739">
        <v>4</v>
      </c>
      <c r="J1739" t="s">
        <v>17</v>
      </c>
      <c r="K1739" s="59" t="s">
        <v>4376</v>
      </c>
    </row>
    <row r="1740" spans="1:11" x14ac:dyDescent="0.2">
      <c r="A1740" t="s">
        <v>1779</v>
      </c>
      <c r="B1740">
        <v>2025</v>
      </c>
      <c r="C1740" t="s">
        <v>33</v>
      </c>
      <c r="D1740">
        <v>66</v>
      </c>
      <c r="E1740" t="s">
        <v>25</v>
      </c>
      <c r="F1740" t="s">
        <v>26</v>
      </c>
      <c r="G1740" t="s">
        <v>48</v>
      </c>
      <c r="H1740">
        <v>1.5634397785873939</v>
      </c>
      <c r="I1740">
        <v>2</v>
      </c>
      <c r="J1740" t="s">
        <v>23</v>
      </c>
      <c r="K1740" s="59" t="s">
        <v>17</v>
      </c>
    </row>
    <row r="1741" spans="1:11" x14ac:dyDescent="0.2">
      <c r="A1741" t="s">
        <v>1780</v>
      </c>
      <c r="B1741">
        <v>2017</v>
      </c>
      <c r="C1741" t="s">
        <v>33</v>
      </c>
      <c r="D1741">
        <v>64</v>
      </c>
      <c r="E1741" t="s">
        <v>25</v>
      </c>
      <c r="F1741" t="s">
        <v>26</v>
      </c>
      <c r="G1741" t="s">
        <v>22</v>
      </c>
      <c r="H1741">
        <v>-0.31004176740210432</v>
      </c>
      <c r="I1741">
        <v>2</v>
      </c>
      <c r="J1741" t="s">
        <v>23</v>
      </c>
      <c r="K1741" s="59" t="s">
        <v>4376</v>
      </c>
    </row>
    <row r="1742" spans="1:11" x14ac:dyDescent="0.2">
      <c r="A1742" t="s">
        <v>1781</v>
      </c>
      <c r="B1742">
        <v>2022</v>
      </c>
      <c r="C1742" t="s">
        <v>33</v>
      </c>
      <c r="D1742">
        <v>504</v>
      </c>
      <c r="E1742" t="s">
        <v>20</v>
      </c>
      <c r="F1742" t="s">
        <v>21</v>
      </c>
      <c r="G1742" t="s">
        <v>15</v>
      </c>
      <c r="H1742">
        <v>0.45179462169629059</v>
      </c>
      <c r="I1742">
        <v>3</v>
      </c>
      <c r="J1742" t="s">
        <v>17</v>
      </c>
      <c r="K1742" s="59" t="s">
        <v>17</v>
      </c>
    </row>
    <row r="1743" spans="1:11" x14ac:dyDescent="0.2">
      <c r="A1743" t="s">
        <v>1782</v>
      </c>
      <c r="B1743">
        <v>2023</v>
      </c>
      <c r="C1743" t="s">
        <v>19</v>
      </c>
      <c r="D1743">
        <v>474</v>
      </c>
      <c r="E1743" t="s">
        <v>29</v>
      </c>
      <c r="F1743" t="s">
        <v>30</v>
      </c>
      <c r="G1743" t="s">
        <v>80</v>
      </c>
      <c r="H1743">
        <v>1.17305199951911</v>
      </c>
      <c r="I1743">
        <v>4</v>
      </c>
      <c r="J1743" t="s">
        <v>23</v>
      </c>
      <c r="K1743" s="59" t="s">
        <v>17</v>
      </c>
    </row>
    <row r="1744" spans="1:11" x14ac:dyDescent="0.2">
      <c r="A1744" t="s">
        <v>1783</v>
      </c>
      <c r="B1744">
        <v>2023</v>
      </c>
      <c r="C1744" t="s">
        <v>12</v>
      </c>
      <c r="D1744">
        <v>393</v>
      </c>
      <c r="E1744" t="s">
        <v>38</v>
      </c>
      <c r="F1744" t="s">
        <v>39</v>
      </c>
      <c r="G1744" t="s">
        <v>15</v>
      </c>
      <c r="H1744">
        <v>-5.0426212774462454E-3</v>
      </c>
      <c r="I1744">
        <v>3</v>
      </c>
      <c r="J1744" t="s">
        <v>16</v>
      </c>
      <c r="K1744" s="59" t="s">
        <v>4376</v>
      </c>
    </row>
    <row r="1745" spans="1:11" x14ac:dyDescent="0.2">
      <c r="A1745" t="s">
        <v>1784</v>
      </c>
      <c r="B1745">
        <v>2019</v>
      </c>
      <c r="C1745" t="s">
        <v>33</v>
      </c>
      <c r="D1745">
        <v>76</v>
      </c>
      <c r="E1745" t="s">
        <v>38</v>
      </c>
      <c r="F1745" t="s">
        <v>39</v>
      </c>
      <c r="G1745" t="s">
        <v>15</v>
      </c>
      <c r="H1745">
        <v>0.55390524409203035</v>
      </c>
      <c r="I1745">
        <v>3</v>
      </c>
      <c r="J1745" t="s">
        <v>23</v>
      </c>
      <c r="K1745" s="59" t="s">
        <v>16</v>
      </c>
    </row>
    <row r="1746" spans="1:11" x14ac:dyDescent="0.2">
      <c r="A1746" t="s">
        <v>1785</v>
      </c>
      <c r="B1746">
        <v>2019</v>
      </c>
      <c r="C1746" t="s">
        <v>33</v>
      </c>
      <c r="D1746">
        <v>145</v>
      </c>
      <c r="E1746" t="s">
        <v>20</v>
      </c>
      <c r="F1746" t="s">
        <v>21</v>
      </c>
      <c r="G1746" t="s">
        <v>15</v>
      </c>
      <c r="H1746">
        <v>0.2064434205798589</v>
      </c>
      <c r="I1746">
        <v>3</v>
      </c>
      <c r="J1746" t="s">
        <v>16</v>
      </c>
      <c r="K1746" s="59" t="s">
        <v>4376</v>
      </c>
    </row>
    <row r="1747" spans="1:11" x14ac:dyDescent="0.2">
      <c r="A1747" t="s">
        <v>1786</v>
      </c>
      <c r="B1747">
        <v>2017</v>
      </c>
      <c r="C1747" t="s">
        <v>19</v>
      </c>
      <c r="D1747">
        <v>92</v>
      </c>
      <c r="E1747" t="s">
        <v>25</v>
      </c>
      <c r="F1747" t="s">
        <v>26</v>
      </c>
      <c r="G1747" t="s">
        <v>48</v>
      </c>
      <c r="H1747">
        <v>-1.519384349769292</v>
      </c>
      <c r="I1747">
        <v>2</v>
      </c>
      <c r="J1747" t="s">
        <v>23</v>
      </c>
      <c r="K1747" s="59" t="s">
        <v>17</v>
      </c>
    </row>
    <row r="1748" spans="1:11" x14ac:dyDescent="0.2">
      <c r="A1748" t="s">
        <v>1787</v>
      </c>
      <c r="B1748">
        <v>2017</v>
      </c>
      <c r="C1748" t="s">
        <v>19</v>
      </c>
      <c r="D1748">
        <v>79</v>
      </c>
      <c r="E1748" t="s">
        <v>29</v>
      </c>
      <c r="F1748" t="s">
        <v>30</v>
      </c>
      <c r="G1748" t="s">
        <v>15</v>
      </c>
      <c r="H1748">
        <v>1.6438980380798041E-2</v>
      </c>
      <c r="I1748">
        <v>4</v>
      </c>
      <c r="J1748" t="s">
        <v>23</v>
      </c>
      <c r="K1748" s="59" t="s">
        <v>16</v>
      </c>
    </row>
    <row r="1749" spans="1:11" x14ac:dyDescent="0.2">
      <c r="A1749" t="s">
        <v>1788</v>
      </c>
      <c r="B1749">
        <v>2023</v>
      </c>
      <c r="C1749" t="s">
        <v>33</v>
      </c>
      <c r="D1749">
        <v>71</v>
      </c>
      <c r="E1749" t="s">
        <v>53</v>
      </c>
      <c r="F1749" t="s">
        <v>54</v>
      </c>
      <c r="G1749" t="s">
        <v>15</v>
      </c>
      <c r="H1749">
        <v>-1.0325061672578271</v>
      </c>
      <c r="I1749">
        <v>3</v>
      </c>
      <c r="J1749" t="s">
        <v>16</v>
      </c>
      <c r="K1749" s="59" t="s">
        <v>4376</v>
      </c>
    </row>
    <row r="1750" spans="1:11" x14ac:dyDescent="0.2">
      <c r="A1750" t="s">
        <v>1789</v>
      </c>
      <c r="B1750">
        <v>2023</v>
      </c>
      <c r="C1750" t="s">
        <v>33</v>
      </c>
      <c r="D1750">
        <v>70</v>
      </c>
      <c r="E1750" t="s">
        <v>53</v>
      </c>
      <c r="F1750" t="s">
        <v>54</v>
      </c>
      <c r="G1750" t="s">
        <v>15</v>
      </c>
      <c r="H1750">
        <v>-1.068629387250613</v>
      </c>
      <c r="I1750">
        <v>3</v>
      </c>
      <c r="J1750" t="s">
        <v>16</v>
      </c>
      <c r="K1750" s="59" t="s">
        <v>17</v>
      </c>
    </row>
    <row r="1751" spans="1:11" x14ac:dyDescent="0.2">
      <c r="A1751" t="s">
        <v>1790</v>
      </c>
      <c r="B1751">
        <v>2017</v>
      </c>
      <c r="C1751" t="s">
        <v>19</v>
      </c>
      <c r="D1751">
        <v>49</v>
      </c>
      <c r="E1751" t="s">
        <v>25</v>
      </c>
      <c r="F1751" t="s">
        <v>26</v>
      </c>
      <c r="G1751" t="s">
        <v>15</v>
      </c>
      <c r="H1751">
        <v>-0.71255764732172089</v>
      </c>
      <c r="I1751">
        <v>2</v>
      </c>
      <c r="J1751" t="s">
        <v>23</v>
      </c>
      <c r="K1751" s="59" t="s">
        <v>16</v>
      </c>
    </row>
    <row r="1752" spans="1:11" x14ac:dyDescent="0.2">
      <c r="A1752" t="s">
        <v>1791</v>
      </c>
      <c r="B1752">
        <v>2023</v>
      </c>
      <c r="C1752" t="s">
        <v>33</v>
      </c>
      <c r="D1752">
        <v>393</v>
      </c>
      <c r="E1752" t="s">
        <v>38</v>
      </c>
      <c r="F1752" t="s">
        <v>39</v>
      </c>
      <c r="G1752" t="s">
        <v>15</v>
      </c>
      <c r="H1752">
        <v>-5.0426212774462454E-3</v>
      </c>
      <c r="I1752">
        <v>3</v>
      </c>
      <c r="J1752" t="s">
        <v>16</v>
      </c>
      <c r="K1752" s="59" t="s">
        <v>4376</v>
      </c>
    </row>
    <row r="1753" spans="1:11" x14ac:dyDescent="0.2">
      <c r="A1753" t="s">
        <v>1792</v>
      </c>
      <c r="B1753">
        <v>2017</v>
      </c>
      <c r="C1753" t="s">
        <v>19</v>
      </c>
      <c r="D1753">
        <v>92</v>
      </c>
      <c r="E1753" t="s">
        <v>20</v>
      </c>
      <c r="F1753" t="s">
        <v>21</v>
      </c>
      <c r="G1753" t="s">
        <v>15</v>
      </c>
      <c r="H1753">
        <v>1.207133472294913</v>
      </c>
      <c r="I1753">
        <v>3</v>
      </c>
      <c r="J1753" t="s">
        <v>23</v>
      </c>
      <c r="K1753" s="59" t="s">
        <v>16</v>
      </c>
    </row>
    <row r="1754" spans="1:11" x14ac:dyDescent="0.2">
      <c r="A1754" t="s">
        <v>1793</v>
      </c>
      <c r="B1754">
        <v>2021</v>
      </c>
      <c r="C1754" t="s">
        <v>19</v>
      </c>
      <c r="D1754">
        <v>398</v>
      </c>
      <c r="E1754" t="s">
        <v>29</v>
      </c>
      <c r="F1754" t="s">
        <v>30</v>
      </c>
      <c r="G1754" t="s">
        <v>15</v>
      </c>
      <c r="H1754">
        <v>0.43743819565275671</v>
      </c>
      <c r="I1754">
        <v>4</v>
      </c>
      <c r="J1754" t="s">
        <v>23</v>
      </c>
      <c r="K1754" s="59" t="s">
        <v>16</v>
      </c>
    </row>
    <row r="1755" spans="1:11" x14ac:dyDescent="0.2">
      <c r="A1755" t="s">
        <v>1794</v>
      </c>
      <c r="B1755">
        <v>2021</v>
      </c>
      <c r="C1755" t="s">
        <v>33</v>
      </c>
      <c r="D1755">
        <v>320</v>
      </c>
      <c r="E1755" t="s">
        <v>38</v>
      </c>
      <c r="F1755" t="s">
        <v>39</v>
      </c>
      <c r="G1755" t="s">
        <v>15</v>
      </c>
      <c r="H1755">
        <v>0.6155305486394721</v>
      </c>
      <c r="I1755">
        <v>3</v>
      </c>
      <c r="J1755" t="s">
        <v>16</v>
      </c>
      <c r="K1755" s="59" t="s">
        <v>4376</v>
      </c>
    </row>
    <row r="1756" spans="1:11" x14ac:dyDescent="0.2">
      <c r="A1756" t="s">
        <v>1795</v>
      </c>
      <c r="B1756">
        <v>2018</v>
      </c>
      <c r="C1756" t="s">
        <v>33</v>
      </c>
      <c r="D1756">
        <v>84</v>
      </c>
      <c r="E1756" t="s">
        <v>25</v>
      </c>
      <c r="F1756" t="s">
        <v>26</v>
      </c>
      <c r="G1756" t="s">
        <v>15</v>
      </c>
      <c r="H1756">
        <v>1.207133472294913</v>
      </c>
      <c r="I1756">
        <v>2</v>
      </c>
      <c r="J1756" t="s">
        <v>23</v>
      </c>
      <c r="K1756" s="59" t="s">
        <v>4376</v>
      </c>
    </row>
    <row r="1757" spans="1:11" x14ac:dyDescent="0.2">
      <c r="A1757" t="s">
        <v>1796</v>
      </c>
      <c r="B1757">
        <v>2023</v>
      </c>
      <c r="C1757" t="s">
        <v>33</v>
      </c>
      <c r="D1757">
        <v>72</v>
      </c>
      <c r="E1757" t="s">
        <v>53</v>
      </c>
      <c r="F1757" t="s">
        <v>54</v>
      </c>
      <c r="G1757" t="s">
        <v>15</v>
      </c>
      <c r="H1757">
        <v>-0.99751179788981514</v>
      </c>
      <c r="I1757">
        <v>3</v>
      </c>
      <c r="J1757" t="s">
        <v>16</v>
      </c>
      <c r="K1757" s="59" t="s">
        <v>16</v>
      </c>
    </row>
    <row r="1758" spans="1:11" x14ac:dyDescent="0.2">
      <c r="A1758" t="s">
        <v>1797</v>
      </c>
      <c r="B1758">
        <v>2023</v>
      </c>
      <c r="C1758" t="s">
        <v>33</v>
      </c>
      <c r="D1758">
        <v>70</v>
      </c>
      <c r="E1758" t="s">
        <v>53</v>
      </c>
      <c r="F1758" t="s">
        <v>54</v>
      </c>
      <c r="G1758" t="s">
        <v>15</v>
      </c>
      <c r="H1758">
        <v>-1.068629387250613</v>
      </c>
      <c r="I1758">
        <v>3</v>
      </c>
      <c r="J1758" t="s">
        <v>16</v>
      </c>
      <c r="K1758" s="59" t="s">
        <v>4376</v>
      </c>
    </row>
    <row r="1759" spans="1:11" x14ac:dyDescent="0.2">
      <c r="A1759" t="s">
        <v>1798</v>
      </c>
      <c r="B1759">
        <v>2023</v>
      </c>
      <c r="C1759" t="s">
        <v>19</v>
      </c>
      <c r="D1759">
        <v>110</v>
      </c>
      <c r="E1759" t="s">
        <v>20</v>
      </c>
      <c r="F1759" t="s">
        <v>21</v>
      </c>
      <c r="G1759" t="s">
        <v>15</v>
      </c>
      <c r="H1759">
        <v>-1.7858395005619301</v>
      </c>
      <c r="I1759">
        <v>3</v>
      </c>
      <c r="J1759" t="s">
        <v>23</v>
      </c>
      <c r="K1759" s="59" t="s">
        <v>16</v>
      </c>
    </row>
    <row r="1760" spans="1:11" x14ac:dyDescent="0.2">
      <c r="A1760" t="s">
        <v>1799</v>
      </c>
      <c r="B1760">
        <v>2023</v>
      </c>
      <c r="C1760" t="s">
        <v>33</v>
      </c>
      <c r="D1760">
        <v>71</v>
      </c>
      <c r="E1760" t="s">
        <v>53</v>
      </c>
      <c r="F1760" t="s">
        <v>54</v>
      </c>
      <c r="G1760" t="s">
        <v>15</v>
      </c>
      <c r="H1760">
        <v>-1.0325061672578271</v>
      </c>
      <c r="I1760">
        <v>3</v>
      </c>
      <c r="J1760" t="s">
        <v>16</v>
      </c>
      <c r="K1760" s="59" t="s">
        <v>4376</v>
      </c>
    </row>
    <row r="1761" spans="1:11" x14ac:dyDescent="0.2">
      <c r="A1761" t="s">
        <v>1800</v>
      </c>
      <c r="B1761">
        <v>2023</v>
      </c>
      <c r="C1761" t="s">
        <v>19</v>
      </c>
      <c r="D1761">
        <v>67</v>
      </c>
      <c r="E1761" t="s">
        <v>25</v>
      </c>
      <c r="F1761" t="s">
        <v>26</v>
      </c>
      <c r="G1761" t="s">
        <v>15</v>
      </c>
      <c r="H1761">
        <v>1.207133472294913</v>
      </c>
      <c r="I1761">
        <v>2</v>
      </c>
      <c r="J1761" t="s">
        <v>17</v>
      </c>
      <c r="K1761" s="59" t="s">
        <v>17</v>
      </c>
    </row>
    <row r="1762" spans="1:11" x14ac:dyDescent="0.2">
      <c r="A1762" t="s">
        <v>1801</v>
      </c>
      <c r="B1762">
        <v>2021</v>
      </c>
      <c r="C1762" t="s">
        <v>19</v>
      </c>
      <c r="D1762">
        <v>108</v>
      </c>
      <c r="E1762" t="s">
        <v>38</v>
      </c>
      <c r="F1762" t="s">
        <v>39</v>
      </c>
      <c r="G1762" t="s">
        <v>15</v>
      </c>
      <c r="H1762">
        <v>0.55390524409203035</v>
      </c>
      <c r="I1762">
        <v>3</v>
      </c>
      <c r="J1762" t="s">
        <v>23</v>
      </c>
      <c r="K1762" s="59" t="s">
        <v>16</v>
      </c>
    </row>
    <row r="1763" spans="1:11" x14ac:dyDescent="0.2">
      <c r="A1763" t="s">
        <v>1802</v>
      </c>
      <c r="B1763">
        <v>2023</v>
      </c>
      <c r="C1763" t="s">
        <v>33</v>
      </c>
      <c r="D1763">
        <v>70</v>
      </c>
      <c r="E1763" t="s">
        <v>53</v>
      </c>
      <c r="F1763" t="s">
        <v>54</v>
      </c>
      <c r="G1763" t="s">
        <v>15</v>
      </c>
      <c r="H1763">
        <v>-1.068629387250613</v>
      </c>
      <c r="I1763">
        <v>3</v>
      </c>
      <c r="J1763" t="s">
        <v>16</v>
      </c>
      <c r="K1763" s="59" t="s">
        <v>4376</v>
      </c>
    </row>
    <row r="1764" spans="1:11" x14ac:dyDescent="0.2">
      <c r="A1764" t="s">
        <v>1803</v>
      </c>
      <c r="B1764">
        <v>2022</v>
      </c>
      <c r="C1764" t="s">
        <v>19</v>
      </c>
      <c r="D1764">
        <v>353</v>
      </c>
      <c r="E1764" t="s">
        <v>53</v>
      </c>
      <c r="F1764" t="s">
        <v>54</v>
      </c>
      <c r="G1764" t="s">
        <v>15</v>
      </c>
      <c r="H1764">
        <v>0.46058692577733279</v>
      </c>
      <c r="I1764">
        <v>3</v>
      </c>
      <c r="J1764" t="s">
        <v>16</v>
      </c>
      <c r="K1764" s="59" t="s">
        <v>17</v>
      </c>
    </row>
    <row r="1765" spans="1:11" x14ac:dyDescent="0.2">
      <c r="A1765" t="s">
        <v>1804</v>
      </c>
      <c r="B1765">
        <v>2025</v>
      </c>
      <c r="C1765" t="s">
        <v>33</v>
      </c>
      <c r="D1765">
        <v>122</v>
      </c>
      <c r="E1765" t="s">
        <v>20</v>
      </c>
      <c r="F1765" t="s">
        <v>21</v>
      </c>
      <c r="G1765" t="s">
        <v>41</v>
      </c>
      <c r="H1765">
        <v>1.207133472294913</v>
      </c>
      <c r="I1765">
        <v>3</v>
      </c>
      <c r="J1765" t="s">
        <v>23</v>
      </c>
      <c r="K1765" s="59" t="s">
        <v>4376</v>
      </c>
    </row>
    <row r="1766" spans="1:11" x14ac:dyDescent="0.2">
      <c r="A1766" t="s">
        <v>1805</v>
      </c>
      <c r="B1766">
        <v>2025</v>
      </c>
      <c r="C1766" t="s">
        <v>33</v>
      </c>
      <c r="D1766">
        <v>124</v>
      </c>
      <c r="E1766" t="s">
        <v>25</v>
      </c>
      <c r="F1766" t="s">
        <v>26</v>
      </c>
      <c r="G1766" t="s">
        <v>15</v>
      </c>
      <c r="H1766">
        <v>0.80855353644230632</v>
      </c>
      <c r="I1766">
        <v>2</v>
      </c>
      <c r="J1766" t="s">
        <v>16</v>
      </c>
      <c r="K1766" s="59" t="s">
        <v>4376</v>
      </c>
    </row>
    <row r="1767" spans="1:11" x14ac:dyDescent="0.2">
      <c r="A1767" t="s">
        <v>1806</v>
      </c>
      <c r="B1767">
        <v>2018</v>
      </c>
      <c r="C1767" t="s">
        <v>19</v>
      </c>
      <c r="D1767">
        <v>343</v>
      </c>
      <c r="E1767" t="s">
        <v>20</v>
      </c>
      <c r="F1767" t="s">
        <v>21</v>
      </c>
      <c r="G1767" t="s">
        <v>15</v>
      </c>
      <c r="H1767">
        <v>-3.056211798423274E-2</v>
      </c>
      <c r="I1767">
        <v>3</v>
      </c>
      <c r="J1767" t="s">
        <v>23</v>
      </c>
      <c r="K1767" s="59" t="s">
        <v>16</v>
      </c>
    </row>
    <row r="1768" spans="1:11" x14ac:dyDescent="0.2">
      <c r="A1768" t="s">
        <v>1807</v>
      </c>
      <c r="B1768">
        <v>2021</v>
      </c>
      <c r="C1768" t="s">
        <v>33</v>
      </c>
      <c r="D1768">
        <v>398</v>
      </c>
      <c r="E1768" t="s">
        <v>29</v>
      </c>
      <c r="F1768" t="s">
        <v>30</v>
      </c>
      <c r="G1768" t="s">
        <v>15</v>
      </c>
      <c r="H1768">
        <v>0.43743819565275671</v>
      </c>
      <c r="I1768">
        <v>4</v>
      </c>
      <c r="J1768" t="s">
        <v>23</v>
      </c>
      <c r="K1768" s="59" t="s">
        <v>4376</v>
      </c>
    </row>
    <row r="1769" spans="1:11" x14ac:dyDescent="0.2">
      <c r="A1769" t="s">
        <v>1808</v>
      </c>
      <c r="B1769">
        <v>2018</v>
      </c>
      <c r="C1769" t="s">
        <v>19</v>
      </c>
      <c r="D1769">
        <v>123</v>
      </c>
      <c r="E1769" t="s">
        <v>20</v>
      </c>
      <c r="F1769" t="s">
        <v>21</v>
      </c>
      <c r="G1769" t="s">
        <v>15</v>
      </c>
      <c r="H1769">
        <v>1.207133472294913</v>
      </c>
      <c r="I1769">
        <v>3</v>
      </c>
      <c r="J1769" t="s">
        <v>23</v>
      </c>
      <c r="K1769" s="59" t="s">
        <v>16</v>
      </c>
    </row>
    <row r="1770" spans="1:11" x14ac:dyDescent="0.2">
      <c r="A1770" t="s">
        <v>1809</v>
      </c>
      <c r="B1770">
        <v>2021</v>
      </c>
      <c r="C1770" t="s">
        <v>12</v>
      </c>
      <c r="D1770">
        <v>299</v>
      </c>
      <c r="E1770" t="s">
        <v>29</v>
      </c>
      <c r="F1770" t="s">
        <v>30</v>
      </c>
      <c r="G1770" t="s">
        <v>15</v>
      </c>
      <c r="H1770">
        <v>1.133414926165434</v>
      </c>
      <c r="I1770">
        <v>4</v>
      </c>
      <c r="J1770" t="s">
        <v>23</v>
      </c>
      <c r="K1770" s="59" t="s">
        <v>17</v>
      </c>
    </row>
    <row r="1771" spans="1:11" x14ac:dyDescent="0.2">
      <c r="A1771" t="s">
        <v>1810</v>
      </c>
      <c r="B1771">
        <v>2018</v>
      </c>
      <c r="C1771" t="s">
        <v>33</v>
      </c>
      <c r="D1771">
        <v>68</v>
      </c>
      <c r="E1771" t="s">
        <v>25</v>
      </c>
      <c r="F1771" t="s">
        <v>26</v>
      </c>
      <c r="G1771" t="s">
        <v>34</v>
      </c>
      <c r="H1771">
        <v>-0.21809175287501251</v>
      </c>
      <c r="I1771">
        <v>2</v>
      </c>
      <c r="J1771" t="s">
        <v>23</v>
      </c>
      <c r="K1771" s="59" t="s">
        <v>4376</v>
      </c>
    </row>
    <row r="1772" spans="1:11" x14ac:dyDescent="0.2">
      <c r="A1772" t="s">
        <v>1811</v>
      </c>
      <c r="B1772">
        <v>2018</v>
      </c>
      <c r="C1772" t="s">
        <v>33</v>
      </c>
      <c r="D1772">
        <v>119</v>
      </c>
      <c r="E1772" t="s">
        <v>25</v>
      </c>
      <c r="F1772" t="s">
        <v>26</v>
      </c>
      <c r="G1772" t="s">
        <v>48</v>
      </c>
      <c r="H1772">
        <v>-0.4498356919270326</v>
      </c>
      <c r="I1772">
        <v>2</v>
      </c>
      <c r="J1772" t="s">
        <v>23</v>
      </c>
      <c r="K1772" s="59" t="s">
        <v>4376</v>
      </c>
    </row>
    <row r="1773" spans="1:11" x14ac:dyDescent="0.2">
      <c r="A1773" t="s">
        <v>1812</v>
      </c>
      <c r="B1773">
        <v>2022</v>
      </c>
      <c r="C1773" t="s">
        <v>33</v>
      </c>
      <c r="D1773">
        <v>75</v>
      </c>
      <c r="E1773" t="s">
        <v>13</v>
      </c>
      <c r="F1773" t="s">
        <v>14</v>
      </c>
      <c r="G1773" t="s">
        <v>15</v>
      </c>
      <c r="H1773">
        <v>-0.1968197345888941</v>
      </c>
      <c r="I1773">
        <v>4</v>
      </c>
      <c r="J1773" t="s">
        <v>23</v>
      </c>
      <c r="K1773" s="59" t="s">
        <v>17</v>
      </c>
    </row>
    <row r="1774" spans="1:11" x14ac:dyDescent="0.2">
      <c r="A1774" t="s">
        <v>1813</v>
      </c>
      <c r="B1774">
        <v>2021</v>
      </c>
      <c r="C1774" t="s">
        <v>12</v>
      </c>
      <c r="D1774">
        <v>132</v>
      </c>
      <c r="E1774" t="s">
        <v>25</v>
      </c>
      <c r="F1774" t="s">
        <v>26</v>
      </c>
      <c r="G1774" t="s">
        <v>80</v>
      </c>
      <c r="H1774">
        <v>0.61922806691231846</v>
      </c>
      <c r="I1774">
        <v>2</v>
      </c>
      <c r="J1774" t="s">
        <v>23</v>
      </c>
      <c r="K1774" s="59" t="s">
        <v>17</v>
      </c>
    </row>
    <row r="1775" spans="1:11" x14ac:dyDescent="0.2">
      <c r="A1775" t="s">
        <v>1814</v>
      </c>
      <c r="B1775">
        <v>2021</v>
      </c>
      <c r="C1775" t="s">
        <v>19</v>
      </c>
      <c r="D1775">
        <v>382</v>
      </c>
      <c r="E1775" t="s">
        <v>29</v>
      </c>
      <c r="F1775" t="s">
        <v>30</v>
      </c>
      <c r="G1775" t="s">
        <v>15</v>
      </c>
      <c r="H1775">
        <v>-0.1911280323988247</v>
      </c>
      <c r="I1775">
        <v>4</v>
      </c>
      <c r="J1775" t="s">
        <v>23</v>
      </c>
      <c r="K1775" s="59" t="s">
        <v>16</v>
      </c>
    </row>
    <row r="1776" spans="1:11" x14ac:dyDescent="0.2">
      <c r="A1776" t="s">
        <v>1815</v>
      </c>
      <c r="B1776">
        <v>2019</v>
      </c>
      <c r="C1776" t="s">
        <v>19</v>
      </c>
      <c r="D1776">
        <v>60</v>
      </c>
      <c r="E1776" t="s">
        <v>20</v>
      </c>
      <c r="F1776" t="s">
        <v>21</v>
      </c>
      <c r="G1776" t="s">
        <v>147</v>
      </c>
      <c r="H1776">
        <v>-1.928362023078922</v>
      </c>
      <c r="I1776">
        <v>3</v>
      </c>
      <c r="J1776" t="s">
        <v>23</v>
      </c>
      <c r="K1776" s="59" t="s">
        <v>23</v>
      </c>
    </row>
    <row r="1777" spans="1:11" x14ac:dyDescent="0.2">
      <c r="A1777" t="s">
        <v>1816</v>
      </c>
      <c r="B1777">
        <v>2019</v>
      </c>
      <c r="C1777" t="s">
        <v>19</v>
      </c>
      <c r="D1777">
        <v>96</v>
      </c>
      <c r="E1777" t="s">
        <v>20</v>
      </c>
      <c r="F1777" t="s">
        <v>21</v>
      </c>
      <c r="G1777" t="s">
        <v>15</v>
      </c>
      <c r="H1777">
        <v>0.65381073781717702</v>
      </c>
      <c r="I1777">
        <v>3</v>
      </c>
      <c r="J1777" t="s">
        <v>23</v>
      </c>
      <c r="K1777" s="59" t="s">
        <v>23</v>
      </c>
    </row>
    <row r="1778" spans="1:11" x14ac:dyDescent="0.2">
      <c r="A1778" t="s">
        <v>1817</v>
      </c>
      <c r="B1778">
        <v>2024</v>
      </c>
      <c r="C1778" t="s">
        <v>33</v>
      </c>
      <c r="D1778">
        <v>211</v>
      </c>
      <c r="E1778" t="s">
        <v>25</v>
      </c>
      <c r="F1778" t="s">
        <v>26</v>
      </c>
      <c r="G1778" t="s">
        <v>15</v>
      </c>
      <c r="H1778">
        <v>0.27116466770570807</v>
      </c>
      <c r="I1778">
        <v>2</v>
      </c>
      <c r="J1778" t="s">
        <v>17</v>
      </c>
      <c r="K1778" s="59" t="s">
        <v>4376</v>
      </c>
    </row>
    <row r="1779" spans="1:11" x14ac:dyDescent="0.2">
      <c r="A1779" t="s">
        <v>1818</v>
      </c>
      <c r="B1779">
        <v>2019</v>
      </c>
      <c r="C1779" t="s">
        <v>33</v>
      </c>
      <c r="D1779">
        <v>42</v>
      </c>
      <c r="E1779" t="s">
        <v>25</v>
      </c>
      <c r="F1779" t="s">
        <v>26</v>
      </c>
      <c r="G1779" t="s">
        <v>15</v>
      </c>
      <c r="H1779">
        <v>-1.1444881492354639</v>
      </c>
      <c r="I1779">
        <v>2</v>
      </c>
      <c r="J1779" t="s">
        <v>17</v>
      </c>
      <c r="K1779" s="59" t="s">
        <v>4376</v>
      </c>
    </row>
    <row r="1780" spans="1:11" x14ac:dyDescent="0.2">
      <c r="A1780" t="s">
        <v>1819</v>
      </c>
      <c r="B1780">
        <v>2019</v>
      </c>
      <c r="C1780" t="s">
        <v>33</v>
      </c>
      <c r="D1780">
        <v>211</v>
      </c>
      <c r="E1780" t="s">
        <v>13</v>
      </c>
      <c r="F1780" t="s">
        <v>14</v>
      </c>
      <c r="G1780" t="s">
        <v>15</v>
      </c>
      <c r="H1780">
        <v>8.176999004440258E-2</v>
      </c>
      <c r="I1780">
        <v>4</v>
      </c>
      <c r="J1780" t="s">
        <v>23</v>
      </c>
      <c r="K1780" s="59" t="s">
        <v>4376</v>
      </c>
    </row>
    <row r="1781" spans="1:11" x14ac:dyDescent="0.2">
      <c r="A1781" t="s">
        <v>1820</v>
      </c>
      <c r="B1781">
        <v>2025</v>
      </c>
      <c r="C1781" t="s">
        <v>33</v>
      </c>
      <c r="D1781">
        <v>131</v>
      </c>
      <c r="E1781" t="s">
        <v>25</v>
      </c>
      <c r="F1781" t="s">
        <v>26</v>
      </c>
      <c r="G1781" t="s">
        <v>15</v>
      </c>
      <c r="H1781">
        <v>0.83087401285005236</v>
      </c>
      <c r="I1781">
        <v>2</v>
      </c>
      <c r="J1781" t="s">
        <v>17</v>
      </c>
      <c r="K1781" s="59" t="s">
        <v>4376</v>
      </c>
    </row>
    <row r="1782" spans="1:11" x14ac:dyDescent="0.2">
      <c r="A1782" t="s">
        <v>1821</v>
      </c>
      <c r="B1782">
        <v>2019</v>
      </c>
      <c r="C1782" t="s">
        <v>33</v>
      </c>
      <c r="D1782">
        <v>32</v>
      </c>
      <c r="E1782" t="s">
        <v>20</v>
      </c>
      <c r="F1782" t="s">
        <v>21</v>
      </c>
      <c r="G1782" t="s">
        <v>15</v>
      </c>
      <c r="H1782">
        <v>-2.0364825574021581</v>
      </c>
      <c r="I1782">
        <v>3</v>
      </c>
      <c r="J1782" t="s">
        <v>23</v>
      </c>
      <c r="K1782" s="59" t="s">
        <v>4376</v>
      </c>
    </row>
    <row r="1783" spans="1:11" x14ac:dyDescent="0.2">
      <c r="A1783" t="s">
        <v>1822</v>
      </c>
      <c r="B1783">
        <v>2024</v>
      </c>
      <c r="C1783" t="s">
        <v>33</v>
      </c>
      <c r="D1783">
        <v>218</v>
      </c>
      <c r="E1783" t="s">
        <v>25</v>
      </c>
      <c r="F1783" t="s">
        <v>26</v>
      </c>
      <c r="G1783" t="s">
        <v>15</v>
      </c>
      <c r="H1783">
        <v>0.30266361786015239</v>
      </c>
      <c r="I1783">
        <v>2</v>
      </c>
      <c r="J1783" t="s">
        <v>17</v>
      </c>
      <c r="K1783" s="59" t="s">
        <v>4376</v>
      </c>
    </row>
    <row r="1784" spans="1:11" x14ac:dyDescent="0.2">
      <c r="A1784" t="s">
        <v>1823</v>
      </c>
      <c r="B1784">
        <v>2023</v>
      </c>
      <c r="C1784" t="s">
        <v>33</v>
      </c>
      <c r="D1784">
        <v>70</v>
      </c>
      <c r="E1784" t="s">
        <v>53</v>
      </c>
      <c r="F1784" t="s">
        <v>54</v>
      </c>
      <c r="G1784" t="s">
        <v>15</v>
      </c>
      <c r="H1784">
        <v>-1.068629387250613</v>
      </c>
      <c r="I1784">
        <v>3</v>
      </c>
      <c r="J1784" t="s">
        <v>16</v>
      </c>
      <c r="K1784" s="59" t="s">
        <v>4376</v>
      </c>
    </row>
    <row r="1785" spans="1:11" x14ac:dyDescent="0.2">
      <c r="A1785" t="s">
        <v>1824</v>
      </c>
      <c r="B1785">
        <v>2022</v>
      </c>
      <c r="C1785" t="s">
        <v>33</v>
      </c>
      <c r="D1785">
        <v>212</v>
      </c>
      <c r="E1785" t="s">
        <v>20</v>
      </c>
      <c r="F1785" t="s">
        <v>21</v>
      </c>
      <c r="G1785" t="s">
        <v>15</v>
      </c>
      <c r="H1785">
        <v>-0.36811546078763607</v>
      </c>
      <c r="I1785">
        <v>3</v>
      </c>
      <c r="J1785" t="s">
        <v>23</v>
      </c>
      <c r="K1785" s="59" t="s">
        <v>4376</v>
      </c>
    </row>
    <row r="1786" spans="1:11" x14ac:dyDescent="0.2">
      <c r="A1786" t="s">
        <v>1825</v>
      </c>
      <c r="B1786">
        <v>2023</v>
      </c>
      <c r="C1786" t="s">
        <v>12</v>
      </c>
      <c r="D1786">
        <v>394</v>
      </c>
      <c r="E1786" t="s">
        <v>38</v>
      </c>
      <c r="F1786" t="s">
        <v>39</v>
      </c>
      <c r="G1786" t="s">
        <v>15</v>
      </c>
      <c r="H1786">
        <v>-1.9264873608078889E-3</v>
      </c>
      <c r="I1786">
        <v>3</v>
      </c>
      <c r="J1786" t="s">
        <v>16</v>
      </c>
      <c r="K1786" s="59" t="s">
        <v>4376</v>
      </c>
    </row>
    <row r="1787" spans="1:11" x14ac:dyDescent="0.2">
      <c r="A1787" t="s">
        <v>1826</v>
      </c>
      <c r="B1787">
        <v>2023</v>
      </c>
      <c r="C1787" t="s">
        <v>12</v>
      </c>
      <c r="D1787">
        <v>393</v>
      </c>
      <c r="E1787" t="s">
        <v>38</v>
      </c>
      <c r="F1787" t="s">
        <v>39</v>
      </c>
      <c r="G1787" t="s">
        <v>15</v>
      </c>
      <c r="H1787">
        <v>-5.0426212774462454E-3</v>
      </c>
      <c r="I1787">
        <v>3</v>
      </c>
      <c r="J1787" t="s">
        <v>16</v>
      </c>
      <c r="K1787" s="59" t="s">
        <v>4376</v>
      </c>
    </row>
    <row r="1788" spans="1:11" x14ac:dyDescent="0.2">
      <c r="A1788" t="s">
        <v>1827</v>
      </c>
      <c r="B1788">
        <v>2025</v>
      </c>
      <c r="C1788" t="s">
        <v>19</v>
      </c>
      <c r="D1788">
        <v>131</v>
      </c>
      <c r="E1788" t="s">
        <v>25</v>
      </c>
      <c r="F1788" t="s">
        <v>26</v>
      </c>
      <c r="G1788" t="s">
        <v>15</v>
      </c>
      <c r="H1788">
        <v>0.83087401285005236</v>
      </c>
      <c r="I1788">
        <v>2</v>
      </c>
      <c r="J1788" t="s">
        <v>17</v>
      </c>
      <c r="K1788" s="59" t="s">
        <v>17</v>
      </c>
    </row>
    <row r="1789" spans="1:11" x14ac:dyDescent="0.2">
      <c r="A1789" t="s">
        <v>1828</v>
      </c>
      <c r="B1789">
        <v>2025</v>
      </c>
      <c r="C1789" t="s">
        <v>33</v>
      </c>
      <c r="D1789">
        <v>134</v>
      </c>
      <c r="E1789" t="s">
        <v>25</v>
      </c>
      <c r="F1789" t="s">
        <v>26</v>
      </c>
      <c r="G1789" t="s">
        <v>15</v>
      </c>
      <c r="H1789">
        <v>0.83969259393079132</v>
      </c>
      <c r="I1789">
        <v>2</v>
      </c>
      <c r="J1789" t="s">
        <v>17</v>
      </c>
      <c r="K1789" s="59" t="s">
        <v>4376</v>
      </c>
    </row>
    <row r="1790" spans="1:11" x14ac:dyDescent="0.2">
      <c r="A1790" t="s">
        <v>1829</v>
      </c>
      <c r="B1790">
        <v>2025</v>
      </c>
      <c r="C1790" t="s">
        <v>33</v>
      </c>
      <c r="D1790">
        <v>134</v>
      </c>
      <c r="E1790" t="s">
        <v>25</v>
      </c>
      <c r="F1790" t="s">
        <v>26</v>
      </c>
      <c r="G1790" t="s">
        <v>15</v>
      </c>
      <c r="H1790">
        <v>0.83969259393079132</v>
      </c>
      <c r="I1790">
        <v>2</v>
      </c>
      <c r="J1790" t="s">
        <v>17</v>
      </c>
      <c r="K1790" s="59" t="s">
        <v>4376</v>
      </c>
    </row>
    <row r="1791" spans="1:11" x14ac:dyDescent="0.2">
      <c r="A1791" t="s">
        <v>1830</v>
      </c>
      <c r="B1791">
        <v>2025</v>
      </c>
      <c r="C1791" t="s">
        <v>33</v>
      </c>
      <c r="D1791">
        <v>134</v>
      </c>
      <c r="E1791" t="s">
        <v>25</v>
      </c>
      <c r="F1791" t="s">
        <v>26</v>
      </c>
      <c r="G1791" t="s">
        <v>15</v>
      </c>
      <c r="H1791">
        <v>0.83969259393079132</v>
      </c>
      <c r="I1791">
        <v>2</v>
      </c>
      <c r="J1791" t="s">
        <v>17</v>
      </c>
      <c r="K1791" s="59" t="s">
        <v>4376</v>
      </c>
    </row>
    <row r="1792" spans="1:11" x14ac:dyDescent="0.2">
      <c r="A1792" t="s">
        <v>1831</v>
      </c>
      <c r="B1792">
        <v>2024</v>
      </c>
      <c r="C1792" t="s">
        <v>19</v>
      </c>
      <c r="D1792">
        <v>598</v>
      </c>
      <c r="E1792" t="s">
        <v>53</v>
      </c>
      <c r="F1792" t="s">
        <v>54</v>
      </c>
      <c r="G1792" t="s">
        <v>15</v>
      </c>
      <c r="H1792">
        <v>-0.340911879999171</v>
      </c>
      <c r="I1792">
        <v>3</v>
      </c>
      <c r="J1792" t="s">
        <v>16</v>
      </c>
      <c r="K1792" s="59" t="s">
        <v>16</v>
      </c>
    </row>
    <row r="1793" spans="1:11" x14ac:dyDescent="0.2">
      <c r="A1793" t="s">
        <v>1832</v>
      </c>
      <c r="B1793">
        <v>2019</v>
      </c>
      <c r="C1793" t="s">
        <v>33</v>
      </c>
      <c r="D1793">
        <v>119</v>
      </c>
      <c r="E1793" t="s">
        <v>20</v>
      </c>
      <c r="F1793" t="s">
        <v>21</v>
      </c>
      <c r="G1793" t="s">
        <v>147</v>
      </c>
      <c r="H1793">
        <v>-1.9799547633979311E-2</v>
      </c>
      <c r="I1793">
        <v>3</v>
      </c>
      <c r="J1793" t="s">
        <v>23</v>
      </c>
      <c r="K1793" s="59" t="s">
        <v>23</v>
      </c>
    </row>
    <row r="1794" spans="1:11" x14ac:dyDescent="0.2">
      <c r="A1794" t="s">
        <v>1833</v>
      </c>
      <c r="B1794">
        <v>2021</v>
      </c>
      <c r="C1794" t="s">
        <v>19</v>
      </c>
      <c r="D1794">
        <v>398</v>
      </c>
      <c r="E1794" t="s">
        <v>29</v>
      </c>
      <c r="F1794" t="s">
        <v>30</v>
      </c>
      <c r="G1794" t="s">
        <v>15</v>
      </c>
      <c r="H1794">
        <v>0.43743819565275671</v>
      </c>
      <c r="I1794">
        <v>4</v>
      </c>
      <c r="J1794" t="s">
        <v>16</v>
      </c>
      <c r="K1794" s="59" t="s">
        <v>17</v>
      </c>
    </row>
    <row r="1795" spans="1:11" x14ac:dyDescent="0.2">
      <c r="A1795" t="s">
        <v>1834</v>
      </c>
      <c r="B1795">
        <v>2021</v>
      </c>
      <c r="C1795" t="s">
        <v>33</v>
      </c>
      <c r="D1795">
        <v>398</v>
      </c>
      <c r="E1795" t="s">
        <v>29</v>
      </c>
      <c r="F1795" t="s">
        <v>30</v>
      </c>
      <c r="G1795" t="s">
        <v>15</v>
      </c>
      <c r="H1795">
        <v>0.43743819565275671</v>
      </c>
      <c r="I1795">
        <v>4</v>
      </c>
      <c r="J1795" t="s">
        <v>23</v>
      </c>
      <c r="K1795" s="59" t="s">
        <v>4376</v>
      </c>
    </row>
    <row r="1796" spans="1:11" x14ac:dyDescent="0.2">
      <c r="A1796" t="s">
        <v>1835</v>
      </c>
      <c r="B1796">
        <v>2019</v>
      </c>
      <c r="C1796" t="s">
        <v>33</v>
      </c>
      <c r="D1796">
        <v>170</v>
      </c>
      <c r="E1796" t="s">
        <v>20</v>
      </c>
      <c r="F1796" t="s">
        <v>21</v>
      </c>
      <c r="G1796" t="s">
        <v>15</v>
      </c>
      <c r="H1796">
        <v>-0.65456697808330189</v>
      </c>
      <c r="I1796">
        <v>3</v>
      </c>
      <c r="J1796" t="s">
        <v>17</v>
      </c>
      <c r="K1796" s="59" t="s">
        <v>4376</v>
      </c>
    </row>
    <row r="1797" spans="1:11" x14ac:dyDescent="0.2">
      <c r="A1797" t="s">
        <v>1836</v>
      </c>
      <c r="B1797">
        <v>2019</v>
      </c>
      <c r="C1797" t="s">
        <v>33</v>
      </c>
      <c r="D1797">
        <v>154</v>
      </c>
      <c r="E1797" t="s">
        <v>20</v>
      </c>
      <c r="F1797" t="s">
        <v>21</v>
      </c>
      <c r="G1797" t="s">
        <v>15</v>
      </c>
      <c r="H1797">
        <v>1.5125388776884681</v>
      </c>
      <c r="I1797">
        <v>3</v>
      </c>
      <c r="J1797" t="s">
        <v>23</v>
      </c>
      <c r="K1797" s="59" t="s">
        <v>4376</v>
      </c>
    </row>
    <row r="1798" spans="1:11" x14ac:dyDescent="0.2">
      <c r="A1798" t="s">
        <v>1837</v>
      </c>
      <c r="B1798">
        <v>2019</v>
      </c>
      <c r="C1798" t="s">
        <v>33</v>
      </c>
      <c r="D1798">
        <v>148</v>
      </c>
      <c r="E1798" t="s">
        <v>20</v>
      </c>
      <c r="F1798" t="s">
        <v>21</v>
      </c>
      <c r="G1798" t="s">
        <v>15</v>
      </c>
      <c r="H1798">
        <v>-8.1426320324471585E-2</v>
      </c>
      <c r="I1798">
        <v>3</v>
      </c>
      <c r="J1798" t="s">
        <v>17</v>
      </c>
      <c r="K1798" s="59" t="s">
        <v>16</v>
      </c>
    </row>
    <row r="1799" spans="1:11" x14ac:dyDescent="0.2">
      <c r="A1799" t="s">
        <v>1838</v>
      </c>
      <c r="B1799">
        <v>2025</v>
      </c>
      <c r="C1799" t="s">
        <v>33</v>
      </c>
      <c r="D1799">
        <v>134</v>
      </c>
      <c r="E1799" t="s">
        <v>25</v>
      </c>
      <c r="F1799" t="s">
        <v>26</v>
      </c>
      <c r="G1799" t="s">
        <v>15</v>
      </c>
      <c r="H1799">
        <v>0.83969259393079132</v>
      </c>
      <c r="I1799">
        <v>2</v>
      </c>
      <c r="J1799" t="s">
        <v>17</v>
      </c>
      <c r="K1799" s="59" t="s">
        <v>4376</v>
      </c>
    </row>
    <row r="1800" spans="1:11" x14ac:dyDescent="0.2">
      <c r="A1800" t="s">
        <v>1839</v>
      </c>
      <c r="B1800">
        <v>2021</v>
      </c>
      <c r="C1800" t="s">
        <v>33</v>
      </c>
      <c r="D1800">
        <v>368</v>
      </c>
      <c r="E1800" t="s">
        <v>38</v>
      </c>
      <c r="F1800" t="s">
        <v>39</v>
      </c>
      <c r="G1800" t="s">
        <v>15</v>
      </c>
      <c r="H1800">
        <v>0.56285357598522046</v>
      </c>
      <c r="I1800">
        <v>3</v>
      </c>
      <c r="J1800" t="s">
        <v>23</v>
      </c>
      <c r="K1800" s="59" t="s">
        <v>4376</v>
      </c>
    </row>
    <row r="1801" spans="1:11" x14ac:dyDescent="0.2">
      <c r="A1801" t="s">
        <v>1840</v>
      </c>
      <c r="B1801">
        <v>2023</v>
      </c>
      <c r="C1801" t="s">
        <v>19</v>
      </c>
      <c r="D1801">
        <v>156</v>
      </c>
      <c r="E1801" t="s">
        <v>53</v>
      </c>
      <c r="F1801" t="s">
        <v>54</v>
      </c>
      <c r="G1801" t="s">
        <v>15</v>
      </c>
      <c r="H1801">
        <v>-1.04784616478901</v>
      </c>
      <c r="I1801">
        <v>3</v>
      </c>
      <c r="J1801" t="s">
        <v>23</v>
      </c>
      <c r="K1801" s="59" t="s">
        <v>17</v>
      </c>
    </row>
    <row r="1802" spans="1:11" x14ac:dyDescent="0.2">
      <c r="A1802" t="s">
        <v>1841</v>
      </c>
      <c r="B1802">
        <v>2021</v>
      </c>
      <c r="C1802" t="s">
        <v>19</v>
      </c>
      <c r="D1802">
        <v>164</v>
      </c>
      <c r="E1802" t="s">
        <v>25</v>
      </c>
      <c r="F1802" t="s">
        <v>26</v>
      </c>
      <c r="G1802" t="s">
        <v>15</v>
      </c>
      <c r="H1802">
        <v>0.9150065627880335</v>
      </c>
      <c r="I1802">
        <v>2</v>
      </c>
      <c r="J1802" t="s">
        <v>23</v>
      </c>
      <c r="K1802" s="59" t="s">
        <v>16</v>
      </c>
    </row>
    <row r="1803" spans="1:11" x14ac:dyDescent="0.2">
      <c r="A1803" t="s">
        <v>1842</v>
      </c>
      <c r="B1803">
        <v>2025</v>
      </c>
      <c r="C1803" t="s">
        <v>33</v>
      </c>
      <c r="D1803">
        <v>134</v>
      </c>
      <c r="E1803" t="s">
        <v>25</v>
      </c>
      <c r="F1803" t="s">
        <v>26</v>
      </c>
      <c r="G1803" t="s">
        <v>15</v>
      </c>
      <c r="H1803">
        <v>0.83969259393079132</v>
      </c>
      <c r="I1803">
        <v>2</v>
      </c>
      <c r="J1803" t="s">
        <v>17</v>
      </c>
      <c r="K1803" s="59" t="s">
        <v>4376</v>
      </c>
    </row>
    <row r="1804" spans="1:11" x14ac:dyDescent="0.2">
      <c r="A1804" t="s">
        <v>1843</v>
      </c>
      <c r="B1804">
        <v>2022</v>
      </c>
      <c r="C1804" t="s">
        <v>19</v>
      </c>
      <c r="D1804">
        <v>244</v>
      </c>
      <c r="E1804" t="s">
        <v>20</v>
      </c>
      <c r="F1804" t="s">
        <v>21</v>
      </c>
      <c r="G1804" t="s">
        <v>15</v>
      </c>
      <c r="H1804">
        <v>6.9252042522149906E-2</v>
      </c>
      <c r="I1804">
        <v>3</v>
      </c>
      <c r="J1804" t="s">
        <v>16</v>
      </c>
      <c r="K1804" s="59" t="s">
        <v>23</v>
      </c>
    </row>
    <row r="1805" spans="1:11" x14ac:dyDescent="0.2">
      <c r="A1805" t="s">
        <v>1844</v>
      </c>
      <c r="B1805">
        <v>2023</v>
      </c>
      <c r="C1805" t="s">
        <v>19</v>
      </c>
      <c r="D1805">
        <v>160</v>
      </c>
      <c r="E1805" t="s">
        <v>53</v>
      </c>
      <c r="F1805" t="s">
        <v>54</v>
      </c>
      <c r="G1805" t="s">
        <v>15</v>
      </c>
      <c r="H1805">
        <v>-1.00244389021685</v>
      </c>
      <c r="I1805">
        <v>3</v>
      </c>
      <c r="J1805" t="s">
        <v>23</v>
      </c>
      <c r="K1805" s="59" t="s">
        <v>23</v>
      </c>
    </row>
    <row r="1806" spans="1:11" x14ac:dyDescent="0.2">
      <c r="A1806" t="s">
        <v>1845</v>
      </c>
      <c r="B1806">
        <v>2023</v>
      </c>
      <c r="C1806" t="s">
        <v>19</v>
      </c>
      <c r="D1806">
        <v>122</v>
      </c>
      <c r="E1806" t="s">
        <v>20</v>
      </c>
      <c r="F1806" t="s">
        <v>21</v>
      </c>
      <c r="G1806" t="s">
        <v>15</v>
      </c>
      <c r="H1806">
        <v>5.0598248591448867E-2</v>
      </c>
      <c r="I1806">
        <v>3</v>
      </c>
      <c r="J1806" t="s">
        <v>17</v>
      </c>
      <c r="K1806" s="59" t="s">
        <v>16</v>
      </c>
    </row>
    <row r="1807" spans="1:11" x14ac:dyDescent="0.2">
      <c r="A1807" t="s">
        <v>1846</v>
      </c>
      <c r="B1807">
        <v>2023</v>
      </c>
      <c r="C1807" t="s">
        <v>33</v>
      </c>
      <c r="D1807">
        <v>42</v>
      </c>
      <c r="E1807" t="s">
        <v>20</v>
      </c>
      <c r="F1807" t="s">
        <v>21</v>
      </c>
      <c r="G1807" t="s">
        <v>15</v>
      </c>
      <c r="H1807">
        <v>2.3829442830601009</v>
      </c>
      <c r="I1807">
        <v>3</v>
      </c>
      <c r="J1807" t="s">
        <v>23</v>
      </c>
      <c r="K1807" s="59" t="s">
        <v>17</v>
      </c>
    </row>
    <row r="1808" spans="1:11" x14ac:dyDescent="0.2">
      <c r="A1808" t="s">
        <v>1847</v>
      </c>
      <c r="B1808">
        <v>2023</v>
      </c>
      <c r="C1808" t="s">
        <v>33</v>
      </c>
      <c r="D1808">
        <v>73</v>
      </c>
      <c r="E1808" t="s">
        <v>53</v>
      </c>
      <c r="F1808" t="s">
        <v>54</v>
      </c>
      <c r="G1808" t="s">
        <v>15</v>
      </c>
      <c r="H1808">
        <v>-0.24001829480070361</v>
      </c>
      <c r="I1808">
        <v>3</v>
      </c>
      <c r="J1808" t="s">
        <v>16</v>
      </c>
      <c r="K1808" s="59" t="s">
        <v>4376</v>
      </c>
    </row>
    <row r="1809" spans="1:11" x14ac:dyDescent="0.2">
      <c r="A1809" t="s">
        <v>1848</v>
      </c>
      <c r="B1809">
        <v>2019</v>
      </c>
      <c r="C1809" t="s">
        <v>33</v>
      </c>
      <c r="D1809">
        <v>128</v>
      </c>
      <c r="E1809" t="s">
        <v>20</v>
      </c>
      <c r="F1809" t="s">
        <v>21</v>
      </c>
      <c r="G1809" t="s">
        <v>15</v>
      </c>
      <c r="H1809">
        <v>-0.43647303737685589</v>
      </c>
      <c r="I1809">
        <v>3</v>
      </c>
      <c r="J1809" t="s">
        <v>23</v>
      </c>
      <c r="K1809" s="59" t="s">
        <v>4376</v>
      </c>
    </row>
    <row r="1810" spans="1:11" x14ac:dyDescent="0.2">
      <c r="A1810" t="s">
        <v>1849</v>
      </c>
      <c r="B1810">
        <v>2023</v>
      </c>
      <c r="C1810" t="s">
        <v>33</v>
      </c>
      <c r="D1810">
        <v>66</v>
      </c>
      <c r="E1810" t="s">
        <v>13</v>
      </c>
      <c r="F1810" t="s">
        <v>14</v>
      </c>
      <c r="G1810" t="s">
        <v>41</v>
      </c>
      <c r="H1810">
        <v>0.49452085970995008</v>
      </c>
      <c r="I1810">
        <v>4</v>
      </c>
      <c r="J1810" t="s">
        <v>23</v>
      </c>
      <c r="K1810" s="59" t="s">
        <v>23</v>
      </c>
    </row>
    <row r="1811" spans="1:11" x14ac:dyDescent="0.2">
      <c r="A1811" t="s">
        <v>1850</v>
      </c>
      <c r="B1811">
        <v>2019</v>
      </c>
      <c r="C1811" t="s">
        <v>33</v>
      </c>
      <c r="D1811">
        <v>44</v>
      </c>
      <c r="E1811" t="s">
        <v>20</v>
      </c>
      <c r="F1811" t="s">
        <v>21</v>
      </c>
      <c r="G1811" t="s">
        <v>15</v>
      </c>
      <c r="H1811">
        <v>-3.3813965209350898</v>
      </c>
      <c r="I1811">
        <v>3</v>
      </c>
      <c r="J1811" t="s">
        <v>16</v>
      </c>
      <c r="K1811" s="59" t="s">
        <v>23</v>
      </c>
    </row>
    <row r="1812" spans="1:11" x14ac:dyDescent="0.2">
      <c r="A1812" t="s">
        <v>1851</v>
      </c>
      <c r="B1812">
        <v>2021</v>
      </c>
      <c r="C1812" t="s">
        <v>33</v>
      </c>
      <c r="D1812">
        <v>398</v>
      </c>
      <c r="E1812" t="s">
        <v>29</v>
      </c>
      <c r="F1812" t="s">
        <v>30</v>
      </c>
      <c r="G1812" t="s">
        <v>15</v>
      </c>
      <c r="H1812">
        <v>0.43743819565275671</v>
      </c>
      <c r="I1812">
        <v>4</v>
      </c>
      <c r="J1812" t="s">
        <v>23</v>
      </c>
      <c r="K1812" s="59" t="s">
        <v>4376</v>
      </c>
    </row>
    <row r="1813" spans="1:11" x14ac:dyDescent="0.2">
      <c r="A1813" t="s">
        <v>1852</v>
      </c>
      <c r="B1813">
        <v>2019</v>
      </c>
      <c r="C1813" t="s">
        <v>19</v>
      </c>
      <c r="D1813">
        <v>90</v>
      </c>
      <c r="E1813" t="s">
        <v>20</v>
      </c>
      <c r="F1813" t="s">
        <v>21</v>
      </c>
      <c r="G1813" t="s">
        <v>22</v>
      </c>
      <c r="H1813">
        <v>0.64722356240672774</v>
      </c>
      <c r="I1813">
        <v>3</v>
      </c>
      <c r="J1813" t="s">
        <v>23</v>
      </c>
      <c r="K1813" s="59" t="s">
        <v>17</v>
      </c>
    </row>
    <row r="1814" spans="1:11" x14ac:dyDescent="0.2">
      <c r="A1814" t="s">
        <v>1853</v>
      </c>
      <c r="B1814">
        <v>2019</v>
      </c>
      <c r="C1814" t="s">
        <v>33</v>
      </c>
      <c r="D1814">
        <v>79</v>
      </c>
      <c r="E1814" t="s">
        <v>38</v>
      </c>
      <c r="F1814" t="s">
        <v>39</v>
      </c>
      <c r="G1814" t="s">
        <v>15</v>
      </c>
      <c r="H1814">
        <v>0.57156006107048651</v>
      </c>
      <c r="I1814">
        <v>3</v>
      </c>
      <c r="J1814" t="s">
        <v>23</v>
      </c>
      <c r="K1814" s="59" t="s">
        <v>16</v>
      </c>
    </row>
    <row r="1815" spans="1:11" x14ac:dyDescent="0.2">
      <c r="A1815" t="s">
        <v>1854</v>
      </c>
      <c r="B1815">
        <v>2025</v>
      </c>
      <c r="C1815" t="s">
        <v>19</v>
      </c>
      <c r="D1815">
        <v>134</v>
      </c>
      <c r="E1815" t="s">
        <v>25</v>
      </c>
      <c r="F1815" t="s">
        <v>26</v>
      </c>
      <c r="G1815" t="s">
        <v>15</v>
      </c>
      <c r="H1815">
        <v>0.83969259393079132</v>
      </c>
      <c r="I1815">
        <v>2</v>
      </c>
      <c r="J1815" t="s">
        <v>17</v>
      </c>
      <c r="K1815" s="59" t="s">
        <v>16</v>
      </c>
    </row>
    <row r="1816" spans="1:11" x14ac:dyDescent="0.2">
      <c r="A1816" t="s">
        <v>1855</v>
      </c>
      <c r="B1816">
        <v>2019</v>
      </c>
      <c r="C1816" t="s">
        <v>33</v>
      </c>
      <c r="D1816">
        <v>82</v>
      </c>
      <c r="E1816" t="s">
        <v>38</v>
      </c>
      <c r="F1816" t="s">
        <v>39</v>
      </c>
      <c r="G1816" t="s">
        <v>15</v>
      </c>
      <c r="H1816">
        <v>0.58828567715533986</v>
      </c>
      <c r="I1816">
        <v>3</v>
      </c>
      <c r="J1816" t="s">
        <v>23</v>
      </c>
      <c r="K1816" s="59" t="s">
        <v>16</v>
      </c>
    </row>
    <row r="1817" spans="1:11" x14ac:dyDescent="0.2">
      <c r="A1817" t="s">
        <v>1856</v>
      </c>
      <c r="B1817">
        <v>2021</v>
      </c>
      <c r="C1817" t="s">
        <v>12</v>
      </c>
      <c r="D1817">
        <v>343</v>
      </c>
      <c r="E1817" t="s">
        <v>38</v>
      </c>
      <c r="F1817" t="s">
        <v>39</v>
      </c>
      <c r="G1817" t="s">
        <v>15</v>
      </c>
      <c r="H1817">
        <v>0.79091725609484598</v>
      </c>
      <c r="I1817">
        <v>3</v>
      </c>
      <c r="J1817" t="s">
        <v>23</v>
      </c>
      <c r="K1817" s="59" t="s">
        <v>16</v>
      </c>
    </row>
    <row r="1818" spans="1:11" x14ac:dyDescent="0.2">
      <c r="A1818" t="s">
        <v>1857</v>
      </c>
      <c r="B1818">
        <v>2025</v>
      </c>
      <c r="C1818" t="s">
        <v>33</v>
      </c>
      <c r="D1818">
        <v>134</v>
      </c>
      <c r="E1818" t="s">
        <v>25</v>
      </c>
      <c r="F1818" t="s">
        <v>26</v>
      </c>
      <c r="G1818" t="s">
        <v>15</v>
      </c>
      <c r="H1818">
        <v>0.83969259393079132</v>
      </c>
      <c r="I1818">
        <v>2</v>
      </c>
      <c r="J1818" t="s">
        <v>17</v>
      </c>
      <c r="K1818" s="59" t="s">
        <v>4376</v>
      </c>
    </row>
    <row r="1819" spans="1:11" x14ac:dyDescent="0.2">
      <c r="A1819" t="s">
        <v>1858</v>
      </c>
      <c r="B1819">
        <v>2021</v>
      </c>
      <c r="C1819" t="s">
        <v>33</v>
      </c>
      <c r="D1819">
        <v>319</v>
      </c>
      <c r="E1819" t="s">
        <v>38</v>
      </c>
      <c r="F1819" t="s">
        <v>39</v>
      </c>
      <c r="G1819" t="s">
        <v>15</v>
      </c>
      <c r="H1819">
        <v>0.6155305486394721</v>
      </c>
      <c r="I1819">
        <v>3</v>
      </c>
      <c r="J1819" t="s">
        <v>16</v>
      </c>
      <c r="K1819" s="59" t="s">
        <v>4376</v>
      </c>
    </row>
    <row r="1820" spans="1:11" x14ac:dyDescent="0.2">
      <c r="A1820" t="s">
        <v>1859</v>
      </c>
      <c r="B1820">
        <v>2024</v>
      </c>
      <c r="C1820" t="s">
        <v>19</v>
      </c>
      <c r="D1820">
        <v>297</v>
      </c>
      <c r="E1820" t="s">
        <v>38</v>
      </c>
      <c r="F1820" t="s">
        <v>39</v>
      </c>
      <c r="G1820" t="s">
        <v>36</v>
      </c>
      <c r="H1820">
        <v>-1.110157906585385</v>
      </c>
      <c r="I1820">
        <v>3</v>
      </c>
      <c r="J1820" t="s">
        <v>17</v>
      </c>
      <c r="K1820" s="59" t="s">
        <v>4376</v>
      </c>
    </row>
    <row r="1821" spans="1:11" x14ac:dyDescent="0.2">
      <c r="A1821" t="s">
        <v>1860</v>
      </c>
      <c r="B1821">
        <v>2019</v>
      </c>
      <c r="C1821" t="s">
        <v>19</v>
      </c>
      <c r="D1821">
        <v>206</v>
      </c>
      <c r="E1821" t="s">
        <v>25</v>
      </c>
      <c r="F1821" t="s">
        <v>26</v>
      </c>
      <c r="G1821" t="s">
        <v>22</v>
      </c>
      <c r="H1821">
        <v>0.65006574469042422</v>
      </c>
      <c r="I1821">
        <v>2</v>
      </c>
      <c r="J1821" t="s">
        <v>17</v>
      </c>
      <c r="K1821" s="59" t="s">
        <v>17</v>
      </c>
    </row>
    <row r="1822" spans="1:11" x14ac:dyDescent="0.2">
      <c r="A1822" t="s">
        <v>1861</v>
      </c>
      <c r="B1822">
        <v>2025</v>
      </c>
      <c r="C1822" t="s">
        <v>19</v>
      </c>
      <c r="D1822">
        <v>134</v>
      </c>
      <c r="E1822" t="s">
        <v>25</v>
      </c>
      <c r="F1822" t="s">
        <v>26</v>
      </c>
      <c r="G1822" t="s">
        <v>15</v>
      </c>
      <c r="H1822">
        <v>0.83969259393079132</v>
      </c>
      <c r="I1822">
        <v>2</v>
      </c>
      <c r="J1822" t="s">
        <v>17</v>
      </c>
      <c r="K1822" s="59" t="s">
        <v>23</v>
      </c>
    </row>
    <row r="1823" spans="1:11" x14ac:dyDescent="0.2">
      <c r="A1823" t="s">
        <v>1862</v>
      </c>
      <c r="B1823">
        <v>2024</v>
      </c>
      <c r="C1823" t="s">
        <v>33</v>
      </c>
      <c r="D1823">
        <v>293</v>
      </c>
      <c r="E1823" t="s">
        <v>38</v>
      </c>
      <c r="F1823" t="s">
        <v>39</v>
      </c>
      <c r="G1823" t="s">
        <v>15</v>
      </c>
      <c r="H1823">
        <v>-0.96225916749325735</v>
      </c>
      <c r="I1823">
        <v>3</v>
      </c>
      <c r="J1823" t="s">
        <v>17</v>
      </c>
      <c r="K1823" s="59" t="s">
        <v>4376</v>
      </c>
    </row>
    <row r="1824" spans="1:11" x14ac:dyDescent="0.2">
      <c r="A1824" t="s">
        <v>1863</v>
      </c>
      <c r="B1824">
        <v>2023</v>
      </c>
      <c r="C1824" t="s">
        <v>19</v>
      </c>
      <c r="D1824">
        <v>55</v>
      </c>
      <c r="E1824" t="s">
        <v>20</v>
      </c>
      <c r="F1824" t="s">
        <v>21</v>
      </c>
      <c r="G1824" t="s">
        <v>15</v>
      </c>
      <c r="H1824">
        <v>-1.3582719330109521</v>
      </c>
      <c r="I1824">
        <v>3</v>
      </c>
      <c r="J1824" t="s">
        <v>17</v>
      </c>
      <c r="K1824" s="59" t="s">
        <v>17</v>
      </c>
    </row>
    <row r="1825" spans="1:11" x14ac:dyDescent="0.2">
      <c r="A1825" t="s">
        <v>1864</v>
      </c>
      <c r="B1825">
        <v>2025</v>
      </c>
      <c r="C1825" t="s">
        <v>33</v>
      </c>
      <c r="D1825">
        <v>134</v>
      </c>
      <c r="E1825" t="s">
        <v>25</v>
      </c>
      <c r="F1825" t="s">
        <v>26</v>
      </c>
      <c r="G1825" t="s">
        <v>15</v>
      </c>
      <c r="H1825">
        <v>0.83969259393079132</v>
      </c>
      <c r="I1825">
        <v>2</v>
      </c>
      <c r="J1825" t="s">
        <v>17</v>
      </c>
      <c r="K1825" s="59" t="s">
        <v>4376</v>
      </c>
    </row>
    <row r="1826" spans="1:11" x14ac:dyDescent="0.2">
      <c r="A1826" t="s">
        <v>1865</v>
      </c>
      <c r="B1826">
        <v>2025</v>
      </c>
      <c r="C1826" t="s">
        <v>33</v>
      </c>
      <c r="D1826">
        <v>134</v>
      </c>
      <c r="E1826" t="s">
        <v>25</v>
      </c>
      <c r="F1826" t="s">
        <v>26</v>
      </c>
      <c r="G1826" t="s">
        <v>15</v>
      </c>
      <c r="H1826">
        <v>0.83969259393079132</v>
      </c>
      <c r="I1826">
        <v>2</v>
      </c>
      <c r="J1826" t="s">
        <v>17</v>
      </c>
      <c r="K1826" s="59" t="s">
        <v>4376</v>
      </c>
    </row>
    <row r="1827" spans="1:11" x14ac:dyDescent="0.2">
      <c r="A1827" t="s">
        <v>1866</v>
      </c>
      <c r="B1827">
        <v>2025</v>
      </c>
      <c r="C1827" t="s">
        <v>33</v>
      </c>
      <c r="D1827">
        <v>276</v>
      </c>
      <c r="E1827" t="s">
        <v>20</v>
      </c>
      <c r="F1827" t="s">
        <v>21</v>
      </c>
      <c r="G1827" t="s">
        <v>15</v>
      </c>
      <c r="H1827">
        <v>-3.056211798423274E-2</v>
      </c>
      <c r="I1827">
        <v>3</v>
      </c>
      <c r="J1827" t="s">
        <v>17</v>
      </c>
      <c r="K1827" s="59" t="s">
        <v>4376</v>
      </c>
    </row>
    <row r="1828" spans="1:11" x14ac:dyDescent="0.2">
      <c r="A1828" t="s">
        <v>1867</v>
      </c>
      <c r="B1828">
        <v>2025</v>
      </c>
      <c r="C1828" t="s">
        <v>33</v>
      </c>
      <c r="D1828">
        <v>248</v>
      </c>
      <c r="E1828" t="s">
        <v>20</v>
      </c>
      <c r="F1828" t="s">
        <v>21</v>
      </c>
      <c r="G1828" t="s">
        <v>15</v>
      </c>
      <c r="H1828">
        <v>-0.17617336389942639</v>
      </c>
      <c r="I1828">
        <v>3</v>
      </c>
      <c r="J1828" t="s">
        <v>17</v>
      </c>
      <c r="K1828" s="59" t="s">
        <v>4376</v>
      </c>
    </row>
    <row r="1829" spans="1:11" x14ac:dyDescent="0.2">
      <c r="A1829" t="s">
        <v>1868</v>
      </c>
      <c r="B1829">
        <v>2021</v>
      </c>
      <c r="C1829" t="s">
        <v>33</v>
      </c>
      <c r="D1829">
        <v>398</v>
      </c>
      <c r="E1829" t="s">
        <v>29</v>
      </c>
      <c r="F1829" t="s">
        <v>30</v>
      </c>
      <c r="G1829" t="s">
        <v>15</v>
      </c>
      <c r="H1829">
        <v>0.43743819565275671</v>
      </c>
      <c r="I1829">
        <v>4</v>
      </c>
      <c r="J1829" t="s">
        <v>23</v>
      </c>
      <c r="K1829" s="59" t="s">
        <v>4376</v>
      </c>
    </row>
    <row r="1830" spans="1:11" x14ac:dyDescent="0.2">
      <c r="A1830" t="s">
        <v>1869</v>
      </c>
      <c r="B1830">
        <v>2021</v>
      </c>
      <c r="C1830" t="s">
        <v>33</v>
      </c>
      <c r="D1830">
        <v>311</v>
      </c>
      <c r="E1830" t="s">
        <v>29</v>
      </c>
      <c r="F1830" t="s">
        <v>30</v>
      </c>
      <c r="G1830" t="s">
        <v>15</v>
      </c>
      <c r="H1830">
        <v>0.53094834150343062</v>
      </c>
      <c r="I1830">
        <v>4</v>
      </c>
      <c r="J1830" t="s">
        <v>16</v>
      </c>
      <c r="K1830" s="59" t="s">
        <v>17</v>
      </c>
    </row>
    <row r="1831" spans="1:11" x14ac:dyDescent="0.2">
      <c r="A1831" t="s">
        <v>1870</v>
      </c>
      <c r="B1831">
        <v>2019</v>
      </c>
      <c r="C1831" t="s">
        <v>33</v>
      </c>
      <c r="D1831">
        <v>85</v>
      </c>
      <c r="E1831" t="s">
        <v>20</v>
      </c>
      <c r="F1831" t="s">
        <v>21</v>
      </c>
      <c r="G1831" t="s">
        <v>15</v>
      </c>
      <c r="H1831">
        <v>0.60415356933840592</v>
      </c>
      <c r="I1831">
        <v>3</v>
      </c>
      <c r="J1831" t="s">
        <v>23</v>
      </c>
      <c r="K1831" s="59" t="s">
        <v>17</v>
      </c>
    </row>
    <row r="1832" spans="1:11" x14ac:dyDescent="0.2">
      <c r="A1832" t="s">
        <v>1871</v>
      </c>
      <c r="B1832">
        <v>2019</v>
      </c>
      <c r="C1832" t="s">
        <v>33</v>
      </c>
      <c r="D1832">
        <v>44</v>
      </c>
      <c r="E1832" t="s">
        <v>20</v>
      </c>
      <c r="F1832" t="s">
        <v>21</v>
      </c>
      <c r="G1832" t="s">
        <v>15</v>
      </c>
      <c r="H1832">
        <v>-0.93070436545997492</v>
      </c>
      <c r="I1832">
        <v>3</v>
      </c>
      <c r="J1832" t="s">
        <v>23</v>
      </c>
      <c r="K1832" s="59" t="s">
        <v>4376</v>
      </c>
    </row>
    <row r="1833" spans="1:11" x14ac:dyDescent="0.2">
      <c r="A1833" t="s">
        <v>1872</v>
      </c>
      <c r="B1833">
        <v>2022</v>
      </c>
      <c r="C1833" t="s">
        <v>12</v>
      </c>
      <c r="D1833">
        <v>95</v>
      </c>
      <c r="E1833" t="s">
        <v>20</v>
      </c>
      <c r="F1833" t="s">
        <v>21</v>
      </c>
      <c r="G1833" t="s">
        <v>147</v>
      </c>
      <c r="H1833">
        <v>1.7022117084065711</v>
      </c>
      <c r="I1833">
        <v>3</v>
      </c>
      <c r="J1833" t="s">
        <v>23</v>
      </c>
      <c r="K1833" s="59" t="s">
        <v>17</v>
      </c>
    </row>
    <row r="1834" spans="1:11" x14ac:dyDescent="0.2">
      <c r="A1834" t="s">
        <v>1873</v>
      </c>
      <c r="B1834">
        <v>2019</v>
      </c>
      <c r="C1834" t="s">
        <v>19</v>
      </c>
      <c r="D1834">
        <v>110</v>
      </c>
      <c r="E1834" t="s">
        <v>20</v>
      </c>
      <c r="F1834" t="s">
        <v>21</v>
      </c>
      <c r="G1834" t="s">
        <v>48</v>
      </c>
      <c r="H1834">
        <v>-0.317065726845146</v>
      </c>
      <c r="I1834">
        <v>3</v>
      </c>
      <c r="J1834" t="s">
        <v>16</v>
      </c>
      <c r="K1834" s="59" t="s">
        <v>4376</v>
      </c>
    </row>
    <row r="1835" spans="1:11" x14ac:dyDescent="0.2">
      <c r="A1835" t="s">
        <v>1874</v>
      </c>
      <c r="B1835">
        <v>2019</v>
      </c>
      <c r="C1835" t="s">
        <v>33</v>
      </c>
      <c r="D1835">
        <v>34</v>
      </c>
      <c r="E1835" t="s">
        <v>20</v>
      </c>
      <c r="F1835" t="s">
        <v>21</v>
      </c>
      <c r="G1835" t="s">
        <v>15</v>
      </c>
      <c r="H1835">
        <v>-1.559480200093766</v>
      </c>
      <c r="I1835">
        <v>3</v>
      </c>
      <c r="J1835" t="s">
        <v>23</v>
      </c>
      <c r="K1835" s="59" t="s">
        <v>4376</v>
      </c>
    </row>
    <row r="1836" spans="1:11" x14ac:dyDescent="0.2">
      <c r="A1836" t="s">
        <v>1875</v>
      </c>
      <c r="B1836">
        <v>2021</v>
      </c>
      <c r="C1836" t="s">
        <v>33</v>
      </c>
      <c r="D1836">
        <v>320</v>
      </c>
      <c r="E1836" t="s">
        <v>38</v>
      </c>
      <c r="F1836" t="s">
        <v>39</v>
      </c>
      <c r="G1836" t="s">
        <v>15</v>
      </c>
      <c r="H1836">
        <v>0.61738510325908169</v>
      </c>
      <c r="I1836">
        <v>3</v>
      </c>
      <c r="J1836" t="s">
        <v>16</v>
      </c>
      <c r="K1836" s="59" t="s">
        <v>4376</v>
      </c>
    </row>
    <row r="1837" spans="1:11" x14ac:dyDescent="0.2">
      <c r="A1837" t="s">
        <v>1876</v>
      </c>
      <c r="B1837">
        <v>2021</v>
      </c>
      <c r="C1837" t="s">
        <v>33</v>
      </c>
      <c r="D1837">
        <v>310</v>
      </c>
      <c r="E1837" t="s">
        <v>29</v>
      </c>
      <c r="F1837" t="s">
        <v>30</v>
      </c>
      <c r="G1837" t="s">
        <v>15</v>
      </c>
      <c r="H1837">
        <v>0.53094834150343062</v>
      </c>
      <c r="I1837">
        <v>4</v>
      </c>
      <c r="J1837" t="s">
        <v>16</v>
      </c>
      <c r="K1837" s="59" t="s">
        <v>17</v>
      </c>
    </row>
    <row r="1838" spans="1:11" x14ac:dyDescent="0.2">
      <c r="A1838" t="s">
        <v>1877</v>
      </c>
      <c r="B1838">
        <v>2021</v>
      </c>
      <c r="C1838" t="s">
        <v>12</v>
      </c>
      <c r="D1838">
        <v>283</v>
      </c>
      <c r="E1838" t="s">
        <v>29</v>
      </c>
      <c r="F1838" t="s">
        <v>30</v>
      </c>
      <c r="G1838" t="s">
        <v>15</v>
      </c>
      <c r="H1838">
        <v>0.95244521003530502</v>
      </c>
      <c r="I1838">
        <v>4</v>
      </c>
      <c r="J1838" t="s">
        <v>23</v>
      </c>
      <c r="K1838" s="59" t="s">
        <v>16</v>
      </c>
    </row>
    <row r="1839" spans="1:11" x14ac:dyDescent="0.2">
      <c r="A1839" t="s">
        <v>1878</v>
      </c>
      <c r="B1839">
        <v>2021</v>
      </c>
      <c r="C1839" t="s">
        <v>33</v>
      </c>
      <c r="D1839">
        <v>369</v>
      </c>
      <c r="E1839" t="s">
        <v>38</v>
      </c>
      <c r="F1839" t="s">
        <v>39</v>
      </c>
      <c r="G1839" t="s">
        <v>15</v>
      </c>
      <c r="H1839">
        <v>0.69311781731559541</v>
      </c>
      <c r="I1839">
        <v>3</v>
      </c>
      <c r="J1839" t="s">
        <v>23</v>
      </c>
      <c r="K1839" s="59" t="s">
        <v>4376</v>
      </c>
    </row>
    <row r="1840" spans="1:11" x14ac:dyDescent="0.2">
      <c r="A1840" t="s">
        <v>1879</v>
      </c>
      <c r="B1840">
        <v>2023</v>
      </c>
      <c r="C1840" t="s">
        <v>19</v>
      </c>
      <c r="D1840">
        <v>129</v>
      </c>
      <c r="E1840" t="s">
        <v>20</v>
      </c>
      <c r="F1840" t="s">
        <v>21</v>
      </c>
      <c r="G1840" t="s">
        <v>15</v>
      </c>
      <c r="H1840">
        <v>-0.65923289399903673</v>
      </c>
      <c r="I1840">
        <v>3</v>
      </c>
      <c r="J1840" t="s">
        <v>23</v>
      </c>
      <c r="K1840" s="59" t="s">
        <v>17</v>
      </c>
    </row>
    <row r="1841" spans="1:11" x14ac:dyDescent="0.2">
      <c r="A1841" t="s">
        <v>1880</v>
      </c>
      <c r="B1841">
        <v>2023</v>
      </c>
      <c r="C1841" t="s">
        <v>33</v>
      </c>
      <c r="D1841">
        <v>74</v>
      </c>
      <c r="E1841" t="s">
        <v>20</v>
      </c>
      <c r="F1841" t="s">
        <v>21</v>
      </c>
      <c r="G1841" t="s">
        <v>167</v>
      </c>
      <c r="H1841">
        <v>-8.1426320324471585E-2</v>
      </c>
      <c r="I1841">
        <v>3</v>
      </c>
      <c r="J1841" t="s">
        <v>16</v>
      </c>
      <c r="K1841" s="59" t="s">
        <v>4376</v>
      </c>
    </row>
    <row r="1842" spans="1:11" x14ac:dyDescent="0.2">
      <c r="A1842" t="s">
        <v>1881</v>
      </c>
      <c r="B1842">
        <v>2022</v>
      </c>
      <c r="C1842" t="s">
        <v>33</v>
      </c>
      <c r="D1842">
        <v>133</v>
      </c>
      <c r="E1842" t="s">
        <v>20</v>
      </c>
      <c r="F1842" t="s">
        <v>21</v>
      </c>
      <c r="G1842" t="s">
        <v>15</v>
      </c>
      <c r="H1842">
        <v>-0.9635941783485118</v>
      </c>
      <c r="I1842">
        <v>3</v>
      </c>
      <c r="J1842" t="s">
        <v>23</v>
      </c>
      <c r="K1842" s="59" t="s">
        <v>16</v>
      </c>
    </row>
    <row r="1843" spans="1:11" x14ac:dyDescent="0.2">
      <c r="A1843" t="s">
        <v>1882</v>
      </c>
      <c r="B1843">
        <v>2025</v>
      </c>
      <c r="C1843" t="s">
        <v>33</v>
      </c>
      <c r="D1843">
        <v>248</v>
      </c>
      <c r="E1843" t="s">
        <v>20</v>
      </c>
      <c r="F1843" t="s">
        <v>21</v>
      </c>
      <c r="G1843" t="s">
        <v>15</v>
      </c>
      <c r="H1843">
        <v>-0.17617336389942639</v>
      </c>
      <c r="I1843">
        <v>3</v>
      </c>
      <c r="J1843" t="s">
        <v>17</v>
      </c>
      <c r="K1843" s="59" t="s">
        <v>4376</v>
      </c>
    </row>
    <row r="1844" spans="1:11" x14ac:dyDescent="0.2">
      <c r="A1844" t="s">
        <v>1883</v>
      </c>
      <c r="B1844">
        <v>2023</v>
      </c>
      <c r="C1844" t="s">
        <v>33</v>
      </c>
      <c r="D1844">
        <v>181</v>
      </c>
      <c r="E1844" t="s">
        <v>20</v>
      </c>
      <c r="F1844" t="s">
        <v>21</v>
      </c>
      <c r="G1844" t="s">
        <v>36</v>
      </c>
      <c r="H1844">
        <v>-1.170910864084119</v>
      </c>
      <c r="I1844">
        <v>3</v>
      </c>
      <c r="J1844" t="s">
        <v>17</v>
      </c>
      <c r="K1844" s="59" t="s">
        <v>17</v>
      </c>
    </row>
    <row r="1845" spans="1:11" x14ac:dyDescent="0.2">
      <c r="A1845" t="s">
        <v>1884</v>
      </c>
      <c r="B1845">
        <v>2023</v>
      </c>
      <c r="C1845" t="s">
        <v>33</v>
      </c>
      <c r="D1845">
        <v>70</v>
      </c>
      <c r="E1845" t="s">
        <v>53</v>
      </c>
      <c r="F1845" t="s">
        <v>54</v>
      </c>
      <c r="G1845" t="s">
        <v>22</v>
      </c>
      <c r="H1845">
        <v>-1.068629387250613</v>
      </c>
      <c r="I1845">
        <v>3</v>
      </c>
      <c r="J1845" t="s">
        <v>16</v>
      </c>
      <c r="K1845" s="59" t="s">
        <v>4376</v>
      </c>
    </row>
    <row r="1846" spans="1:11" x14ac:dyDescent="0.2">
      <c r="A1846" t="s">
        <v>1885</v>
      </c>
      <c r="B1846">
        <v>2021</v>
      </c>
      <c r="C1846" t="s">
        <v>19</v>
      </c>
      <c r="D1846">
        <v>315</v>
      </c>
      <c r="E1846" t="s">
        <v>29</v>
      </c>
      <c r="F1846" t="s">
        <v>30</v>
      </c>
      <c r="G1846" t="s">
        <v>15</v>
      </c>
      <c r="H1846">
        <v>0.71130963643007428</v>
      </c>
      <c r="I1846">
        <v>4</v>
      </c>
      <c r="J1846" t="s">
        <v>16</v>
      </c>
      <c r="K1846" s="59" t="s">
        <v>23</v>
      </c>
    </row>
    <row r="1847" spans="1:11" x14ac:dyDescent="0.2">
      <c r="A1847" t="s">
        <v>1886</v>
      </c>
      <c r="B1847">
        <v>2024</v>
      </c>
      <c r="C1847" t="s">
        <v>33</v>
      </c>
      <c r="D1847">
        <v>83</v>
      </c>
      <c r="E1847" t="s">
        <v>53</v>
      </c>
      <c r="F1847" t="s">
        <v>54</v>
      </c>
      <c r="G1847" t="s">
        <v>48</v>
      </c>
      <c r="H1847">
        <v>0.63356722314116221</v>
      </c>
      <c r="I1847">
        <v>3</v>
      </c>
      <c r="J1847" t="s">
        <v>23</v>
      </c>
      <c r="K1847" s="59" t="s">
        <v>4376</v>
      </c>
    </row>
    <row r="1848" spans="1:11" x14ac:dyDescent="0.2">
      <c r="A1848" t="s">
        <v>1887</v>
      </c>
      <c r="B1848">
        <v>2021</v>
      </c>
      <c r="C1848" t="s">
        <v>33</v>
      </c>
      <c r="D1848">
        <v>310</v>
      </c>
      <c r="E1848" t="s">
        <v>29</v>
      </c>
      <c r="F1848" t="s">
        <v>30</v>
      </c>
      <c r="G1848" t="s">
        <v>15</v>
      </c>
      <c r="H1848">
        <v>0.53094834150343062</v>
      </c>
      <c r="I1848">
        <v>4</v>
      </c>
      <c r="J1848" t="s">
        <v>16</v>
      </c>
      <c r="K1848" s="59" t="s">
        <v>4376</v>
      </c>
    </row>
    <row r="1849" spans="1:11" x14ac:dyDescent="0.2">
      <c r="A1849" t="s">
        <v>1888</v>
      </c>
      <c r="B1849">
        <v>2021</v>
      </c>
      <c r="C1849" t="s">
        <v>33</v>
      </c>
      <c r="D1849">
        <v>398</v>
      </c>
      <c r="E1849" t="s">
        <v>29</v>
      </c>
      <c r="F1849" t="s">
        <v>30</v>
      </c>
      <c r="G1849" t="s">
        <v>15</v>
      </c>
      <c r="H1849">
        <v>0.43743819565275671</v>
      </c>
      <c r="I1849">
        <v>4</v>
      </c>
      <c r="J1849" t="s">
        <v>23</v>
      </c>
      <c r="K1849" s="59" t="s">
        <v>4376</v>
      </c>
    </row>
    <row r="1850" spans="1:11" x14ac:dyDescent="0.2">
      <c r="A1850" t="s">
        <v>1889</v>
      </c>
      <c r="B1850">
        <v>2021</v>
      </c>
      <c r="C1850" t="s">
        <v>12</v>
      </c>
      <c r="D1850">
        <v>304</v>
      </c>
      <c r="E1850" t="s">
        <v>38</v>
      </c>
      <c r="F1850" t="s">
        <v>39</v>
      </c>
      <c r="G1850" t="s">
        <v>15</v>
      </c>
      <c r="H1850">
        <v>0.67093310256485938</v>
      </c>
      <c r="I1850">
        <v>3</v>
      </c>
      <c r="J1850" t="s">
        <v>23</v>
      </c>
      <c r="K1850" s="59" t="s">
        <v>4376</v>
      </c>
    </row>
    <row r="1851" spans="1:11" x14ac:dyDescent="0.2">
      <c r="A1851" t="s">
        <v>1890</v>
      </c>
      <c r="B1851">
        <v>2023</v>
      </c>
      <c r="C1851" t="s">
        <v>19</v>
      </c>
      <c r="D1851">
        <v>121</v>
      </c>
      <c r="E1851" t="s">
        <v>25</v>
      </c>
      <c r="F1851" t="s">
        <v>26</v>
      </c>
      <c r="G1851" t="s">
        <v>48</v>
      </c>
      <c r="H1851">
        <v>-0.78576620696811805</v>
      </c>
      <c r="I1851">
        <v>2</v>
      </c>
      <c r="J1851" t="s">
        <v>16</v>
      </c>
      <c r="K1851" s="59" t="s">
        <v>17</v>
      </c>
    </row>
    <row r="1852" spans="1:11" x14ac:dyDescent="0.2">
      <c r="A1852" t="s">
        <v>1891</v>
      </c>
      <c r="B1852">
        <v>2023</v>
      </c>
      <c r="C1852" t="s">
        <v>33</v>
      </c>
      <c r="D1852">
        <v>91</v>
      </c>
      <c r="E1852" t="s">
        <v>20</v>
      </c>
      <c r="F1852" t="s">
        <v>21</v>
      </c>
      <c r="G1852" t="s">
        <v>167</v>
      </c>
      <c r="H1852">
        <v>0.16196830717030089</v>
      </c>
      <c r="I1852">
        <v>3</v>
      </c>
      <c r="J1852" t="s">
        <v>23</v>
      </c>
      <c r="K1852" s="59" t="s">
        <v>4376</v>
      </c>
    </row>
    <row r="1853" spans="1:11" x14ac:dyDescent="0.2">
      <c r="A1853" t="s">
        <v>1892</v>
      </c>
      <c r="B1853">
        <v>2022</v>
      </c>
      <c r="C1853" t="s">
        <v>12</v>
      </c>
      <c r="D1853">
        <v>352</v>
      </c>
      <c r="E1853" t="s">
        <v>53</v>
      </c>
      <c r="F1853" t="s">
        <v>54</v>
      </c>
      <c r="G1853" t="s">
        <v>36</v>
      </c>
      <c r="H1853">
        <v>5.4377775466296963E-2</v>
      </c>
      <c r="I1853">
        <v>3</v>
      </c>
      <c r="J1853" t="s">
        <v>16</v>
      </c>
      <c r="K1853" s="59" t="s">
        <v>17</v>
      </c>
    </row>
    <row r="1854" spans="1:11" x14ac:dyDescent="0.2">
      <c r="A1854" t="s">
        <v>1893</v>
      </c>
      <c r="B1854">
        <v>2021</v>
      </c>
      <c r="C1854" t="s">
        <v>12</v>
      </c>
      <c r="D1854">
        <v>93</v>
      </c>
      <c r="E1854" t="s">
        <v>25</v>
      </c>
      <c r="F1854" t="s">
        <v>26</v>
      </c>
      <c r="G1854" t="s">
        <v>15</v>
      </c>
      <c r="H1854">
        <v>0.66653080067873416</v>
      </c>
      <c r="I1854">
        <v>2</v>
      </c>
      <c r="J1854" t="s">
        <v>23</v>
      </c>
      <c r="K1854" s="59" t="s">
        <v>17</v>
      </c>
    </row>
    <row r="1855" spans="1:11" x14ac:dyDescent="0.2">
      <c r="A1855" t="s">
        <v>1894</v>
      </c>
      <c r="B1855">
        <v>2023</v>
      </c>
      <c r="C1855" t="s">
        <v>12</v>
      </c>
      <c r="D1855">
        <v>393</v>
      </c>
      <c r="E1855" t="s">
        <v>38</v>
      </c>
      <c r="F1855" t="s">
        <v>39</v>
      </c>
      <c r="G1855" t="s">
        <v>15</v>
      </c>
      <c r="H1855">
        <v>-5.0426212774462454E-3</v>
      </c>
      <c r="I1855">
        <v>3</v>
      </c>
      <c r="J1855" t="s">
        <v>16</v>
      </c>
      <c r="K1855" s="59" t="s">
        <v>4376</v>
      </c>
    </row>
    <row r="1856" spans="1:11" x14ac:dyDescent="0.2">
      <c r="A1856" t="s">
        <v>1895</v>
      </c>
      <c r="B1856">
        <v>2025</v>
      </c>
      <c r="C1856" t="s">
        <v>33</v>
      </c>
      <c r="D1856">
        <v>248</v>
      </c>
      <c r="E1856" t="s">
        <v>20</v>
      </c>
      <c r="F1856" t="s">
        <v>21</v>
      </c>
      <c r="G1856" t="s">
        <v>15</v>
      </c>
      <c r="H1856">
        <v>-0.17617336389942639</v>
      </c>
      <c r="I1856">
        <v>3</v>
      </c>
      <c r="J1856" t="s">
        <v>17</v>
      </c>
      <c r="K1856" s="59" t="s">
        <v>4376</v>
      </c>
    </row>
    <row r="1857" spans="1:11" x14ac:dyDescent="0.2">
      <c r="A1857" t="s">
        <v>1896</v>
      </c>
      <c r="B1857">
        <v>2021</v>
      </c>
      <c r="C1857" t="s">
        <v>33</v>
      </c>
      <c r="D1857">
        <v>322</v>
      </c>
      <c r="E1857" t="s">
        <v>38</v>
      </c>
      <c r="F1857" t="s">
        <v>39</v>
      </c>
      <c r="G1857" t="s">
        <v>15</v>
      </c>
      <c r="H1857">
        <v>0.62105954792597151</v>
      </c>
      <c r="I1857">
        <v>3</v>
      </c>
      <c r="J1857" t="s">
        <v>16</v>
      </c>
      <c r="K1857" s="59" t="s">
        <v>4376</v>
      </c>
    </row>
    <row r="1858" spans="1:11" x14ac:dyDescent="0.2">
      <c r="A1858" t="s">
        <v>1897</v>
      </c>
      <c r="B1858">
        <v>2025</v>
      </c>
      <c r="C1858" t="s">
        <v>33</v>
      </c>
      <c r="D1858">
        <v>249</v>
      </c>
      <c r="E1858" t="s">
        <v>20</v>
      </c>
      <c r="F1858" t="s">
        <v>21</v>
      </c>
      <c r="G1858" t="s">
        <v>15</v>
      </c>
      <c r="H1858">
        <v>-0.1703854691873162</v>
      </c>
      <c r="I1858">
        <v>3</v>
      </c>
      <c r="J1858" t="s">
        <v>17</v>
      </c>
      <c r="K1858" s="59" t="s">
        <v>4376</v>
      </c>
    </row>
    <row r="1859" spans="1:11" x14ac:dyDescent="0.2">
      <c r="A1859" t="s">
        <v>1898</v>
      </c>
      <c r="B1859">
        <v>2025</v>
      </c>
      <c r="C1859" t="s">
        <v>33</v>
      </c>
      <c r="D1859">
        <v>248</v>
      </c>
      <c r="E1859" t="s">
        <v>20</v>
      </c>
      <c r="F1859" t="s">
        <v>21</v>
      </c>
      <c r="G1859" t="s">
        <v>15</v>
      </c>
      <c r="H1859">
        <v>-0.17617336389942639</v>
      </c>
      <c r="I1859">
        <v>3</v>
      </c>
      <c r="J1859" t="s">
        <v>17</v>
      </c>
      <c r="K1859" s="59" t="s">
        <v>4376</v>
      </c>
    </row>
    <row r="1860" spans="1:11" x14ac:dyDescent="0.2">
      <c r="A1860" t="s">
        <v>1899</v>
      </c>
      <c r="B1860">
        <v>2024</v>
      </c>
      <c r="C1860" t="s">
        <v>33</v>
      </c>
      <c r="D1860">
        <v>347</v>
      </c>
      <c r="E1860" t="s">
        <v>20</v>
      </c>
      <c r="F1860" t="s">
        <v>21</v>
      </c>
      <c r="G1860" t="s">
        <v>15</v>
      </c>
      <c r="H1860">
        <v>0.11335597390869109</v>
      </c>
      <c r="I1860">
        <v>3</v>
      </c>
      <c r="J1860" t="s">
        <v>17</v>
      </c>
      <c r="K1860" s="59" t="s">
        <v>4376</v>
      </c>
    </row>
    <row r="1861" spans="1:11" x14ac:dyDescent="0.2">
      <c r="A1861" t="s">
        <v>1900</v>
      </c>
      <c r="B1861">
        <v>2021</v>
      </c>
      <c r="C1861" t="s">
        <v>19</v>
      </c>
      <c r="D1861">
        <v>382</v>
      </c>
      <c r="E1861" t="s">
        <v>29</v>
      </c>
      <c r="F1861" t="s">
        <v>30</v>
      </c>
      <c r="G1861" t="s">
        <v>15</v>
      </c>
      <c r="H1861">
        <v>-0.1911280323988247</v>
      </c>
      <c r="I1861">
        <v>4</v>
      </c>
      <c r="J1861" t="s">
        <v>23</v>
      </c>
      <c r="K1861" s="59" t="s">
        <v>17</v>
      </c>
    </row>
    <row r="1862" spans="1:11" x14ac:dyDescent="0.2">
      <c r="A1862" t="s">
        <v>1901</v>
      </c>
      <c r="B1862">
        <v>2020</v>
      </c>
      <c r="C1862" t="s">
        <v>19</v>
      </c>
      <c r="D1862">
        <v>83</v>
      </c>
      <c r="E1862" t="s">
        <v>20</v>
      </c>
      <c r="F1862" t="s">
        <v>21</v>
      </c>
      <c r="G1862" t="s">
        <v>15</v>
      </c>
      <c r="H1862">
        <v>1.207133472294913</v>
      </c>
      <c r="I1862">
        <v>3</v>
      </c>
      <c r="J1862" t="s">
        <v>23</v>
      </c>
      <c r="K1862" s="59" t="s">
        <v>16</v>
      </c>
    </row>
    <row r="1863" spans="1:11" x14ac:dyDescent="0.2">
      <c r="A1863" t="s">
        <v>1902</v>
      </c>
      <c r="B1863">
        <v>2025</v>
      </c>
      <c r="C1863" t="s">
        <v>33</v>
      </c>
      <c r="D1863">
        <v>134</v>
      </c>
      <c r="E1863" t="s">
        <v>25</v>
      </c>
      <c r="F1863" t="s">
        <v>26</v>
      </c>
      <c r="G1863" t="s">
        <v>15</v>
      </c>
      <c r="H1863">
        <v>0.83969259393079132</v>
      </c>
      <c r="I1863">
        <v>2</v>
      </c>
      <c r="J1863" t="s">
        <v>17</v>
      </c>
      <c r="K1863" s="59" t="s">
        <v>4376</v>
      </c>
    </row>
    <row r="1864" spans="1:11" x14ac:dyDescent="0.2">
      <c r="A1864" t="s">
        <v>1903</v>
      </c>
      <c r="B1864">
        <v>2025</v>
      </c>
      <c r="C1864" t="s">
        <v>33</v>
      </c>
      <c r="D1864">
        <v>249</v>
      </c>
      <c r="E1864" t="s">
        <v>20</v>
      </c>
      <c r="F1864" t="s">
        <v>21</v>
      </c>
      <c r="G1864" t="s">
        <v>15</v>
      </c>
      <c r="H1864">
        <v>-0.1703854691873162</v>
      </c>
      <c r="I1864">
        <v>3</v>
      </c>
      <c r="J1864" t="s">
        <v>17</v>
      </c>
      <c r="K1864" s="59" t="s">
        <v>4376</v>
      </c>
    </row>
    <row r="1865" spans="1:11" x14ac:dyDescent="0.2">
      <c r="A1865" t="s">
        <v>1904</v>
      </c>
      <c r="B1865">
        <v>2025</v>
      </c>
      <c r="C1865" t="s">
        <v>33</v>
      </c>
      <c r="D1865">
        <v>135</v>
      </c>
      <c r="E1865" t="s">
        <v>25</v>
      </c>
      <c r="F1865" t="s">
        <v>26</v>
      </c>
      <c r="G1865" t="s">
        <v>15</v>
      </c>
      <c r="H1865">
        <v>1.207133472294913</v>
      </c>
      <c r="I1865">
        <v>2</v>
      </c>
      <c r="J1865" t="s">
        <v>17</v>
      </c>
      <c r="K1865" s="59" t="s">
        <v>17</v>
      </c>
    </row>
    <row r="1866" spans="1:11" x14ac:dyDescent="0.2">
      <c r="A1866" t="s">
        <v>1905</v>
      </c>
      <c r="B1866">
        <v>2025</v>
      </c>
      <c r="C1866" t="s">
        <v>33</v>
      </c>
      <c r="D1866">
        <v>134</v>
      </c>
      <c r="E1866" t="s">
        <v>25</v>
      </c>
      <c r="F1866" t="s">
        <v>26</v>
      </c>
      <c r="G1866" t="s">
        <v>15</v>
      </c>
      <c r="H1866">
        <v>0.83969259393079132</v>
      </c>
      <c r="I1866">
        <v>2</v>
      </c>
      <c r="J1866" t="s">
        <v>17</v>
      </c>
      <c r="K1866" s="59" t="s">
        <v>4376</v>
      </c>
    </row>
    <row r="1867" spans="1:11" x14ac:dyDescent="0.2">
      <c r="A1867" t="s">
        <v>1906</v>
      </c>
      <c r="B1867">
        <v>2025</v>
      </c>
      <c r="C1867" t="s">
        <v>33</v>
      </c>
      <c r="D1867">
        <v>135</v>
      </c>
      <c r="E1867" t="s">
        <v>25</v>
      </c>
      <c r="F1867" t="s">
        <v>26</v>
      </c>
      <c r="G1867" t="s">
        <v>15</v>
      </c>
      <c r="H1867">
        <v>0.84254097283283869</v>
      </c>
      <c r="I1867">
        <v>2</v>
      </c>
      <c r="J1867" t="s">
        <v>17</v>
      </c>
      <c r="K1867" s="59" t="s">
        <v>4376</v>
      </c>
    </row>
    <row r="1868" spans="1:11" x14ac:dyDescent="0.2">
      <c r="A1868" t="s">
        <v>1907</v>
      </c>
      <c r="B1868">
        <v>2025</v>
      </c>
      <c r="C1868" t="s">
        <v>33</v>
      </c>
      <c r="D1868">
        <v>135</v>
      </c>
      <c r="E1868" t="s">
        <v>25</v>
      </c>
      <c r="F1868" t="s">
        <v>26</v>
      </c>
      <c r="G1868" t="s">
        <v>15</v>
      </c>
      <c r="H1868">
        <v>0.84254097283283869</v>
      </c>
      <c r="I1868">
        <v>2</v>
      </c>
      <c r="J1868" t="s">
        <v>17</v>
      </c>
      <c r="K1868" s="59" t="s">
        <v>4376</v>
      </c>
    </row>
    <row r="1869" spans="1:11" x14ac:dyDescent="0.2">
      <c r="A1869" t="s">
        <v>1908</v>
      </c>
      <c r="B1869">
        <v>2025</v>
      </c>
      <c r="C1869" t="s">
        <v>33</v>
      </c>
      <c r="D1869">
        <v>134</v>
      </c>
      <c r="E1869" t="s">
        <v>25</v>
      </c>
      <c r="F1869" t="s">
        <v>26</v>
      </c>
      <c r="G1869" t="s">
        <v>15</v>
      </c>
      <c r="H1869">
        <v>0.83969259393079132</v>
      </c>
      <c r="I1869">
        <v>2</v>
      </c>
      <c r="J1869" t="s">
        <v>17</v>
      </c>
      <c r="K1869" s="59" t="s">
        <v>4376</v>
      </c>
    </row>
    <row r="1870" spans="1:11" x14ac:dyDescent="0.2">
      <c r="A1870" t="s">
        <v>1909</v>
      </c>
      <c r="B1870">
        <v>2025</v>
      </c>
      <c r="C1870" t="s">
        <v>33</v>
      </c>
      <c r="D1870">
        <v>254</v>
      </c>
      <c r="E1870" t="s">
        <v>20</v>
      </c>
      <c r="F1870" t="s">
        <v>21</v>
      </c>
      <c r="G1870" t="s">
        <v>15</v>
      </c>
      <c r="H1870">
        <v>-0.1421576220257951</v>
      </c>
      <c r="I1870">
        <v>3</v>
      </c>
      <c r="J1870" t="s">
        <v>17</v>
      </c>
      <c r="K1870" s="59" t="s">
        <v>4376</v>
      </c>
    </row>
    <row r="1871" spans="1:11" x14ac:dyDescent="0.2">
      <c r="A1871" t="s">
        <v>1910</v>
      </c>
      <c r="B1871">
        <v>2022</v>
      </c>
      <c r="C1871" t="s">
        <v>19</v>
      </c>
      <c r="D1871">
        <v>362</v>
      </c>
      <c r="E1871" t="s">
        <v>20</v>
      </c>
      <c r="F1871" t="s">
        <v>21</v>
      </c>
      <c r="G1871" t="s">
        <v>22</v>
      </c>
      <c r="H1871">
        <v>0.1351692003722339</v>
      </c>
      <c r="I1871">
        <v>3</v>
      </c>
      <c r="J1871" t="s">
        <v>23</v>
      </c>
      <c r="K1871" s="59" t="s">
        <v>16</v>
      </c>
    </row>
    <row r="1872" spans="1:11" x14ac:dyDescent="0.2">
      <c r="A1872" t="s">
        <v>1911</v>
      </c>
      <c r="B1872">
        <v>2024</v>
      </c>
      <c r="C1872" t="s">
        <v>12</v>
      </c>
      <c r="D1872">
        <v>362</v>
      </c>
      <c r="E1872" t="s">
        <v>20</v>
      </c>
      <c r="F1872" t="s">
        <v>21</v>
      </c>
      <c r="G1872" t="s">
        <v>48</v>
      </c>
      <c r="H1872">
        <v>-3.6405817655050118E-2</v>
      </c>
      <c r="I1872">
        <v>3</v>
      </c>
      <c r="J1872" t="s">
        <v>17</v>
      </c>
      <c r="K1872" s="59" t="s">
        <v>17</v>
      </c>
    </row>
    <row r="1873" spans="1:11" x14ac:dyDescent="0.2">
      <c r="A1873" t="s">
        <v>1912</v>
      </c>
      <c r="B1873">
        <v>2021</v>
      </c>
      <c r="C1873" t="s">
        <v>33</v>
      </c>
      <c r="D1873">
        <v>398</v>
      </c>
      <c r="E1873" t="s">
        <v>29</v>
      </c>
      <c r="F1873" t="s">
        <v>30</v>
      </c>
      <c r="G1873" t="s">
        <v>15</v>
      </c>
      <c r="H1873">
        <v>0.43743819565275671</v>
      </c>
      <c r="I1873">
        <v>4</v>
      </c>
      <c r="J1873" t="s">
        <v>23</v>
      </c>
      <c r="K1873" s="59" t="s">
        <v>4376</v>
      </c>
    </row>
    <row r="1874" spans="1:11" x14ac:dyDescent="0.2">
      <c r="A1874" t="s">
        <v>1913</v>
      </c>
      <c r="B1874">
        <v>2023</v>
      </c>
      <c r="C1874" t="s">
        <v>33</v>
      </c>
      <c r="D1874">
        <v>165</v>
      </c>
      <c r="E1874" t="s">
        <v>20</v>
      </c>
      <c r="F1874" t="s">
        <v>21</v>
      </c>
      <c r="G1874" t="s">
        <v>48</v>
      </c>
      <c r="H1874">
        <v>0.27886177958555358</v>
      </c>
      <c r="I1874">
        <v>3</v>
      </c>
      <c r="J1874" t="s">
        <v>23</v>
      </c>
      <c r="K1874" s="59" t="s">
        <v>4376</v>
      </c>
    </row>
    <row r="1875" spans="1:11" x14ac:dyDescent="0.2">
      <c r="A1875" t="s">
        <v>1914</v>
      </c>
      <c r="B1875">
        <v>2021</v>
      </c>
      <c r="C1875" t="s">
        <v>19</v>
      </c>
      <c r="D1875">
        <v>283</v>
      </c>
      <c r="E1875" t="s">
        <v>29</v>
      </c>
      <c r="F1875" t="s">
        <v>30</v>
      </c>
      <c r="G1875" t="s">
        <v>15</v>
      </c>
      <c r="H1875">
        <v>0.95244521003530502</v>
      </c>
      <c r="I1875">
        <v>4</v>
      </c>
      <c r="J1875" t="s">
        <v>23</v>
      </c>
      <c r="K1875" s="59" t="s">
        <v>16</v>
      </c>
    </row>
    <row r="1876" spans="1:11" x14ac:dyDescent="0.2">
      <c r="A1876" t="s">
        <v>1915</v>
      </c>
      <c r="B1876">
        <v>2022</v>
      </c>
      <c r="C1876" t="s">
        <v>19</v>
      </c>
      <c r="D1876">
        <v>332</v>
      </c>
      <c r="E1876" t="s">
        <v>20</v>
      </c>
      <c r="F1876" t="s">
        <v>21</v>
      </c>
      <c r="G1876" t="s">
        <v>15</v>
      </c>
      <c r="H1876">
        <v>-0.37568877296591752</v>
      </c>
      <c r="I1876">
        <v>3</v>
      </c>
      <c r="J1876" t="s">
        <v>23</v>
      </c>
      <c r="K1876" s="59" t="s">
        <v>4376</v>
      </c>
    </row>
    <row r="1877" spans="1:11" x14ac:dyDescent="0.2">
      <c r="A1877" t="s">
        <v>1916</v>
      </c>
      <c r="B1877">
        <v>2023</v>
      </c>
      <c r="C1877" t="s">
        <v>19</v>
      </c>
      <c r="D1877">
        <v>55</v>
      </c>
      <c r="E1877" t="s">
        <v>20</v>
      </c>
      <c r="F1877" t="s">
        <v>21</v>
      </c>
      <c r="G1877" t="s">
        <v>15</v>
      </c>
      <c r="H1877">
        <v>-1.3582719330109521</v>
      </c>
      <c r="I1877">
        <v>3</v>
      </c>
      <c r="J1877" t="s">
        <v>17</v>
      </c>
      <c r="K1877" s="59" t="s">
        <v>16</v>
      </c>
    </row>
    <row r="1878" spans="1:11" x14ac:dyDescent="0.2">
      <c r="A1878" t="s">
        <v>1917</v>
      </c>
      <c r="B1878">
        <v>2022</v>
      </c>
      <c r="C1878" t="s">
        <v>33</v>
      </c>
      <c r="D1878">
        <v>58</v>
      </c>
      <c r="E1878" t="s">
        <v>20</v>
      </c>
      <c r="F1878" t="s">
        <v>21</v>
      </c>
      <c r="G1878" t="s">
        <v>15</v>
      </c>
      <c r="H1878">
        <v>-3.068542203214863</v>
      </c>
      <c r="I1878">
        <v>3</v>
      </c>
      <c r="J1878" t="s">
        <v>17</v>
      </c>
      <c r="K1878" s="59" t="s">
        <v>4376</v>
      </c>
    </row>
    <row r="1879" spans="1:11" x14ac:dyDescent="0.2">
      <c r="A1879" t="s">
        <v>1918</v>
      </c>
      <c r="B1879">
        <v>2021</v>
      </c>
      <c r="C1879" t="s">
        <v>33</v>
      </c>
      <c r="D1879">
        <v>310</v>
      </c>
      <c r="E1879" t="s">
        <v>29</v>
      </c>
      <c r="F1879" t="s">
        <v>30</v>
      </c>
      <c r="G1879" t="s">
        <v>15</v>
      </c>
      <c r="H1879">
        <v>0.53094834150343062</v>
      </c>
      <c r="I1879">
        <v>4</v>
      </c>
      <c r="J1879" t="s">
        <v>16</v>
      </c>
      <c r="K1879" s="59" t="s">
        <v>4376</v>
      </c>
    </row>
    <row r="1880" spans="1:11" x14ac:dyDescent="0.2">
      <c r="A1880" t="s">
        <v>1919</v>
      </c>
      <c r="B1880">
        <v>2021</v>
      </c>
      <c r="C1880" t="s">
        <v>33</v>
      </c>
      <c r="D1880">
        <v>343</v>
      </c>
      <c r="E1880" t="s">
        <v>38</v>
      </c>
      <c r="F1880" t="s">
        <v>39</v>
      </c>
      <c r="G1880" t="s">
        <v>15</v>
      </c>
      <c r="H1880">
        <v>0.79091725609484598</v>
      </c>
      <c r="I1880">
        <v>3</v>
      </c>
      <c r="J1880" t="s">
        <v>23</v>
      </c>
      <c r="K1880" s="59" t="s">
        <v>17</v>
      </c>
    </row>
    <row r="1881" spans="1:11" x14ac:dyDescent="0.2">
      <c r="A1881" t="s">
        <v>1920</v>
      </c>
      <c r="B1881">
        <v>2022</v>
      </c>
      <c r="C1881" t="s">
        <v>33</v>
      </c>
      <c r="D1881">
        <v>78</v>
      </c>
      <c r="E1881" t="s">
        <v>20</v>
      </c>
      <c r="F1881" t="s">
        <v>21</v>
      </c>
      <c r="G1881" t="s">
        <v>48</v>
      </c>
      <c r="H1881">
        <v>0.60415356933840592</v>
      </c>
      <c r="I1881">
        <v>3</v>
      </c>
      <c r="J1881" t="s">
        <v>23</v>
      </c>
      <c r="K1881" s="59" t="s">
        <v>4376</v>
      </c>
    </row>
    <row r="1882" spans="1:11" x14ac:dyDescent="0.2">
      <c r="A1882" t="s">
        <v>1921</v>
      </c>
      <c r="B1882">
        <v>2025</v>
      </c>
      <c r="C1882" t="s">
        <v>33</v>
      </c>
      <c r="D1882">
        <v>254</v>
      </c>
      <c r="E1882" t="s">
        <v>20</v>
      </c>
      <c r="F1882" t="s">
        <v>21</v>
      </c>
      <c r="G1882" t="s">
        <v>15</v>
      </c>
      <c r="H1882">
        <v>-0.1421576220257951</v>
      </c>
      <c r="I1882">
        <v>3</v>
      </c>
      <c r="J1882" t="s">
        <v>17</v>
      </c>
      <c r="K1882" s="59" t="s">
        <v>4376</v>
      </c>
    </row>
    <row r="1883" spans="1:11" x14ac:dyDescent="0.2">
      <c r="A1883" t="s">
        <v>1922</v>
      </c>
      <c r="B1883">
        <v>2022</v>
      </c>
      <c r="C1883" t="s">
        <v>19</v>
      </c>
      <c r="D1883">
        <v>210</v>
      </c>
      <c r="E1883" t="s">
        <v>25</v>
      </c>
      <c r="F1883" t="s">
        <v>26</v>
      </c>
      <c r="G1883" t="s">
        <v>15</v>
      </c>
      <c r="H1883">
        <v>0.27116466770570807</v>
      </c>
      <c r="I1883">
        <v>2</v>
      </c>
      <c r="J1883" t="s">
        <v>23</v>
      </c>
      <c r="K1883" s="59" t="s">
        <v>17</v>
      </c>
    </row>
    <row r="1884" spans="1:11" x14ac:dyDescent="0.2">
      <c r="A1884" t="s">
        <v>1923</v>
      </c>
      <c r="B1884">
        <v>2018</v>
      </c>
      <c r="C1884" t="s">
        <v>19</v>
      </c>
      <c r="D1884">
        <v>88</v>
      </c>
      <c r="E1884" t="s">
        <v>25</v>
      </c>
      <c r="F1884" t="s">
        <v>26</v>
      </c>
      <c r="G1884" t="s">
        <v>15</v>
      </c>
      <c r="H1884">
        <v>0.12592812906255571</v>
      </c>
      <c r="I1884">
        <v>2</v>
      </c>
      <c r="J1884" t="s">
        <v>23</v>
      </c>
      <c r="K1884" s="59" t="s">
        <v>17</v>
      </c>
    </row>
    <row r="1885" spans="1:11" x14ac:dyDescent="0.2">
      <c r="A1885" t="s">
        <v>1924</v>
      </c>
      <c r="B1885">
        <v>2025</v>
      </c>
      <c r="C1885" t="s">
        <v>33</v>
      </c>
      <c r="D1885">
        <v>122</v>
      </c>
      <c r="E1885" t="s">
        <v>25</v>
      </c>
      <c r="F1885" t="s">
        <v>26</v>
      </c>
      <c r="G1885" t="s">
        <v>15</v>
      </c>
      <c r="H1885">
        <v>1.207133472294913</v>
      </c>
      <c r="I1885">
        <v>2</v>
      </c>
      <c r="J1885" t="s">
        <v>17</v>
      </c>
      <c r="K1885" s="59" t="s">
        <v>4376</v>
      </c>
    </row>
    <row r="1886" spans="1:11" x14ac:dyDescent="0.2">
      <c r="A1886" t="s">
        <v>1925</v>
      </c>
      <c r="B1886">
        <v>2023</v>
      </c>
      <c r="C1886" t="s">
        <v>33</v>
      </c>
      <c r="D1886">
        <v>127</v>
      </c>
      <c r="E1886" t="s">
        <v>25</v>
      </c>
      <c r="F1886" t="s">
        <v>26</v>
      </c>
      <c r="G1886" t="s">
        <v>15</v>
      </c>
      <c r="H1886">
        <v>-0.41038404515984339</v>
      </c>
      <c r="I1886">
        <v>2</v>
      </c>
      <c r="J1886" t="s">
        <v>23</v>
      </c>
      <c r="K1886" s="59" t="s">
        <v>17</v>
      </c>
    </row>
    <row r="1887" spans="1:11" x14ac:dyDescent="0.2">
      <c r="A1887" t="s">
        <v>1926</v>
      </c>
      <c r="B1887">
        <v>2025</v>
      </c>
      <c r="C1887" t="s">
        <v>33</v>
      </c>
      <c r="D1887">
        <v>134</v>
      </c>
      <c r="E1887" t="s">
        <v>25</v>
      </c>
      <c r="F1887" t="s">
        <v>26</v>
      </c>
      <c r="G1887" t="s">
        <v>15</v>
      </c>
      <c r="H1887">
        <v>0.83969259393079132</v>
      </c>
      <c r="I1887">
        <v>2</v>
      </c>
      <c r="J1887" t="s">
        <v>17</v>
      </c>
      <c r="K1887" s="59" t="s">
        <v>4376</v>
      </c>
    </row>
    <row r="1888" spans="1:11" x14ac:dyDescent="0.2">
      <c r="A1888" t="s">
        <v>1927</v>
      </c>
      <c r="B1888">
        <v>2022</v>
      </c>
      <c r="C1888" t="s">
        <v>33</v>
      </c>
      <c r="D1888">
        <v>135</v>
      </c>
      <c r="E1888" t="s">
        <v>20</v>
      </c>
      <c r="F1888" t="s">
        <v>21</v>
      </c>
      <c r="G1888" t="s">
        <v>15</v>
      </c>
      <c r="H1888">
        <v>0.4998788492782581</v>
      </c>
      <c r="I1888">
        <v>3</v>
      </c>
      <c r="J1888" t="s">
        <v>17</v>
      </c>
      <c r="K1888" s="59" t="s">
        <v>4376</v>
      </c>
    </row>
    <row r="1889" spans="1:11" x14ac:dyDescent="0.2">
      <c r="A1889" t="s">
        <v>1928</v>
      </c>
      <c r="B1889">
        <v>2023</v>
      </c>
      <c r="C1889" t="s">
        <v>19</v>
      </c>
      <c r="D1889">
        <v>147</v>
      </c>
      <c r="E1889" t="s">
        <v>29</v>
      </c>
      <c r="F1889" t="s">
        <v>30</v>
      </c>
      <c r="G1889" t="s">
        <v>15</v>
      </c>
      <c r="H1889">
        <v>-9.9322984110851928E-2</v>
      </c>
      <c r="I1889">
        <v>4</v>
      </c>
      <c r="J1889" t="s">
        <v>23</v>
      </c>
      <c r="K1889" s="59" t="s">
        <v>23</v>
      </c>
    </row>
    <row r="1890" spans="1:11" x14ac:dyDescent="0.2">
      <c r="A1890" t="s">
        <v>1929</v>
      </c>
      <c r="B1890">
        <v>2021</v>
      </c>
      <c r="C1890" t="s">
        <v>33</v>
      </c>
      <c r="D1890">
        <v>310</v>
      </c>
      <c r="E1890" t="s">
        <v>29</v>
      </c>
      <c r="F1890" t="s">
        <v>30</v>
      </c>
      <c r="G1890" t="s">
        <v>15</v>
      </c>
      <c r="H1890">
        <v>0.53094834150343062</v>
      </c>
      <c r="I1890">
        <v>4</v>
      </c>
      <c r="J1890" t="s">
        <v>16</v>
      </c>
      <c r="K1890" s="59" t="s">
        <v>4376</v>
      </c>
    </row>
    <row r="1891" spans="1:11" x14ac:dyDescent="0.2">
      <c r="A1891" t="s">
        <v>1930</v>
      </c>
      <c r="B1891">
        <v>2025</v>
      </c>
      <c r="C1891" t="s">
        <v>33</v>
      </c>
      <c r="D1891">
        <v>261</v>
      </c>
      <c r="E1891" t="s">
        <v>20</v>
      </c>
      <c r="F1891" t="s">
        <v>21</v>
      </c>
      <c r="G1891" t="s">
        <v>15</v>
      </c>
      <c r="H1891">
        <v>8.2852218973617178E-2</v>
      </c>
      <c r="I1891">
        <v>3</v>
      </c>
      <c r="J1891" t="s">
        <v>17</v>
      </c>
      <c r="K1891" s="59" t="s">
        <v>4376</v>
      </c>
    </row>
    <row r="1892" spans="1:11" x14ac:dyDescent="0.2">
      <c r="A1892" t="s">
        <v>1931</v>
      </c>
      <c r="B1892">
        <v>2022</v>
      </c>
      <c r="C1892" t="s">
        <v>33</v>
      </c>
      <c r="D1892">
        <v>75</v>
      </c>
      <c r="E1892" t="s">
        <v>20</v>
      </c>
      <c r="F1892" t="s">
        <v>21</v>
      </c>
      <c r="G1892" t="s">
        <v>48</v>
      </c>
      <c r="H1892">
        <v>0.26648482368276211</v>
      </c>
      <c r="I1892">
        <v>3</v>
      </c>
      <c r="J1892" t="s">
        <v>23</v>
      </c>
      <c r="K1892" s="59" t="s">
        <v>4376</v>
      </c>
    </row>
    <row r="1893" spans="1:11" x14ac:dyDescent="0.2">
      <c r="A1893" t="s">
        <v>1932</v>
      </c>
      <c r="B1893">
        <v>2023</v>
      </c>
      <c r="C1893" t="s">
        <v>12</v>
      </c>
      <c r="D1893">
        <v>64</v>
      </c>
      <c r="E1893" t="s">
        <v>20</v>
      </c>
      <c r="F1893" t="s">
        <v>21</v>
      </c>
      <c r="G1893" t="s">
        <v>15</v>
      </c>
      <c r="H1893">
        <v>-0.28595962074024678</v>
      </c>
      <c r="I1893">
        <v>3</v>
      </c>
      <c r="J1893" t="s">
        <v>23</v>
      </c>
      <c r="K1893" s="59" t="s">
        <v>4376</v>
      </c>
    </row>
    <row r="1894" spans="1:11" x14ac:dyDescent="0.2">
      <c r="A1894" t="s">
        <v>1933</v>
      </c>
      <c r="B1894">
        <v>2020</v>
      </c>
      <c r="C1894" t="s">
        <v>12</v>
      </c>
      <c r="D1894">
        <v>55</v>
      </c>
      <c r="E1894" t="s">
        <v>20</v>
      </c>
      <c r="F1894" t="s">
        <v>21</v>
      </c>
      <c r="G1894" t="s">
        <v>15</v>
      </c>
      <c r="H1894">
        <v>-0.53480846957944006</v>
      </c>
      <c r="I1894">
        <v>3</v>
      </c>
      <c r="J1894" t="s">
        <v>23</v>
      </c>
      <c r="K1894" s="59" t="s">
        <v>4376</v>
      </c>
    </row>
    <row r="1895" spans="1:11" x14ac:dyDescent="0.2">
      <c r="A1895" t="s">
        <v>1934</v>
      </c>
      <c r="B1895">
        <v>2020</v>
      </c>
      <c r="C1895" t="s">
        <v>33</v>
      </c>
      <c r="D1895">
        <v>53</v>
      </c>
      <c r="E1895" t="s">
        <v>25</v>
      </c>
      <c r="F1895" t="s">
        <v>26</v>
      </c>
      <c r="G1895" t="s">
        <v>80</v>
      </c>
      <c r="H1895">
        <v>-1.4550796841545699</v>
      </c>
      <c r="I1895">
        <v>2</v>
      </c>
      <c r="J1895" t="s">
        <v>23</v>
      </c>
      <c r="K1895" s="59" t="s">
        <v>23</v>
      </c>
    </row>
    <row r="1896" spans="1:11" x14ac:dyDescent="0.2">
      <c r="A1896" t="s">
        <v>1935</v>
      </c>
      <c r="B1896">
        <v>2023</v>
      </c>
      <c r="C1896" t="s">
        <v>33</v>
      </c>
      <c r="D1896">
        <v>37</v>
      </c>
      <c r="E1896" t="s">
        <v>20</v>
      </c>
      <c r="F1896" t="s">
        <v>21</v>
      </c>
      <c r="G1896" t="s">
        <v>167</v>
      </c>
      <c r="H1896">
        <v>-2.712235896922381</v>
      </c>
      <c r="I1896">
        <v>3</v>
      </c>
      <c r="J1896" t="s">
        <v>17</v>
      </c>
      <c r="K1896" s="59" t="s">
        <v>4376</v>
      </c>
    </row>
    <row r="1897" spans="1:11" x14ac:dyDescent="0.2">
      <c r="A1897" t="s">
        <v>1936</v>
      </c>
      <c r="B1897">
        <v>2023</v>
      </c>
      <c r="C1897" t="s">
        <v>12</v>
      </c>
      <c r="D1897">
        <v>394</v>
      </c>
      <c r="E1897" t="s">
        <v>38</v>
      </c>
      <c r="F1897" t="s">
        <v>39</v>
      </c>
      <c r="G1897" t="s">
        <v>15</v>
      </c>
      <c r="H1897">
        <v>-1.9264873608078889E-3</v>
      </c>
      <c r="I1897">
        <v>3</v>
      </c>
      <c r="J1897" t="s">
        <v>16</v>
      </c>
      <c r="K1897" s="59" t="s">
        <v>4376</v>
      </c>
    </row>
    <row r="1898" spans="1:11" x14ac:dyDescent="0.2">
      <c r="A1898" t="s">
        <v>1937</v>
      </c>
      <c r="B1898">
        <v>2023</v>
      </c>
      <c r="C1898" t="s">
        <v>33</v>
      </c>
      <c r="D1898">
        <v>82</v>
      </c>
      <c r="E1898" t="s">
        <v>20</v>
      </c>
      <c r="F1898" t="s">
        <v>21</v>
      </c>
      <c r="G1898" t="s">
        <v>15</v>
      </c>
      <c r="H1898">
        <v>0.63356722314116221</v>
      </c>
      <c r="I1898">
        <v>3</v>
      </c>
      <c r="J1898" t="s">
        <v>23</v>
      </c>
      <c r="K1898" s="59" t="s">
        <v>4376</v>
      </c>
    </row>
    <row r="1899" spans="1:11" x14ac:dyDescent="0.2">
      <c r="A1899" t="s">
        <v>1938</v>
      </c>
      <c r="B1899">
        <v>2022</v>
      </c>
      <c r="C1899" t="s">
        <v>19</v>
      </c>
      <c r="D1899">
        <v>112</v>
      </c>
      <c r="E1899" t="s">
        <v>25</v>
      </c>
      <c r="F1899" t="s">
        <v>26</v>
      </c>
      <c r="G1899" t="s">
        <v>15</v>
      </c>
      <c r="H1899">
        <v>1.207133472294913</v>
      </c>
      <c r="I1899">
        <v>2</v>
      </c>
      <c r="J1899" t="s">
        <v>23</v>
      </c>
      <c r="K1899" s="59" t="s">
        <v>17</v>
      </c>
    </row>
    <row r="1900" spans="1:11" x14ac:dyDescent="0.2">
      <c r="A1900" t="s">
        <v>1939</v>
      </c>
      <c r="B1900">
        <v>2022</v>
      </c>
      <c r="C1900" t="s">
        <v>33</v>
      </c>
      <c r="D1900">
        <v>504</v>
      </c>
      <c r="E1900" t="s">
        <v>20</v>
      </c>
      <c r="F1900" t="s">
        <v>21</v>
      </c>
      <c r="G1900" t="s">
        <v>48</v>
      </c>
      <c r="H1900">
        <v>0.35108277494980777</v>
      </c>
      <c r="I1900">
        <v>3</v>
      </c>
      <c r="J1900" t="s">
        <v>17</v>
      </c>
      <c r="K1900" s="59" t="s">
        <v>17</v>
      </c>
    </row>
    <row r="1901" spans="1:11" x14ac:dyDescent="0.2">
      <c r="A1901" t="s">
        <v>1940</v>
      </c>
      <c r="B1901">
        <v>2025</v>
      </c>
      <c r="C1901" t="s">
        <v>33</v>
      </c>
      <c r="D1901">
        <v>254</v>
      </c>
      <c r="E1901" t="s">
        <v>20</v>
      </c>
      <c r="F1901" t="s">
        <v>21</v>
      </c>
      <c r="G1901" t="s">
        <v>15</v>
      </c>
      <c r="H1901">
        <v>-0.1421576220257951</v>
      </c>
      <c r="I1901">
        <v>3</v>
      </c>
      <c r="J1901" t="s">
        <v>17</v>
      </c>
      <c r="K1901" s="59" t="s">
        <v>4376</v>
      </c>
    </row>
    <row r="1902" spans="1:11" x14ac:dyDescent="0.2">
      <c r="A1902" t="s">
        <v>1941</v>
      </c>
      <c r="B1902">
        <v>2021</v>
      </c>
      <c r="C1902" t="s">
        <v>12</v>
      </c>
      <c r="D1902">
        <v>303</v>
      </c>
      <c r="E1902" t="s">
        <v>29</v>
      </c>
      <c r="F1902" t="s">
        <v>30</v>
      </c>
      <c r="G1902" t="s">
        <v>15</v>
      </c>
      <c r="H1902">
        <v>0.66918081377489191</v>
      </c>
      <c r="I1902">
        <v>4</v>
      </c>
      <c r="J1902" t="s">
        <v>23</v>
      </c>
      <c r="K1902" s="59" t="s">
        <v>4376</v>
      </c>
    </row>
    <row r="1903" spans="1:11" x14ac:dyDescent="0.2">
      <c r="A1903" t="s">
        <v>1942</v>
      </c>
      <c r="B1903">
        <v>2025</v>
      </c>
      <c r="C1903" t="s">
        <v>33</v>
      </c>
      <c r="D1903">
        <v>134</v>
      </c>
      <c r="E1903" t="s">
        <v>25</v>
      </c>
      <c r="F1903" t="s">
        <v>26</v>
      </c>
      <c r="G1903" t="s">
        <v>15</v>
      </c>
      <c r="H1903">
        <v>0.83969259393079132</v>
      </c>
      <c r="I1903">
        <v>2</v>
      </c>
      <c r="J1903" t="s">
        <v>17</v>
      </c>
      <c r="K1903" s="59" t="s">
        <v>17</v>
      </c>
    </row>
    <row r="1904" spans="1:11" x14ac:dyDescent="0.2">
      <c r="A1904" t="s">
        <v>1943</v>
      </c>
      <c r="B1904">
        <v>2023</v>
      </c>
      <c r="C1904" t="s">
        <v>12</v>
      </c>
      <c r="D1904">
        <v>52</v>
      </c>
      <c r="E1904" t="s">
        <v>20</v>
      </c>
      <c r="F1904" t="s">
        <v>21</v>
      </c>
      <c r="G1904" t="s">
        <v>167</v>
      </c>
      <c r="H1904">
        <v>-0.60180623657460774</v>
      </c>
      <c r="I1904">
        <v>3</v>
      </c>
      <c r="J1904" t="s">
        <v>23</v>
      </c>
      <c r="K1904" s="59" t="s">
        <v>4376</v>
      </c>
    </row>
    <row r="1905" spans="1:11" x14ac:dyDescent="0.2">
      <c r="A1905" t="s">
        <v>1944</v>
      </c>
      <c r="B1905">
        <v>2025</v>
      </c>
      <c r="C1905" t="s">
        <v>19</v>
      </c>
      <c r="D1905">
        <v>124</v>
      </c>
      <c r="E1905" t="s">
        <v>25</v>
      </c>
      <c r="F1905" t="s">
        <v>26</v>
      </c>
      <c r="G1905" t="s">
        <v>15</v>
      </c>
      <c r="H1905">
        <v>0.80855353644230632</v>
      </c>
      <c r="I1905">
        <v>2</v>
      </c>
      <c r="J1905" t="s">
        <v>17</v>
      </c>
      <c r="K1905" s="59" t="s">
        <v>17</v>
      </c>
    </row>
    <row r="1906" spans="1:11" x14ac:dyDescent="0.2">
      <c r="A1906" t="s">
        <v>1945</v>
      </c>
      <c r="B1906">
        <v>2021</v>
      </c>
      <c r="C1906" t="s">
        <v>33</v>
      </c>
      <c r="D1906">
        <v>319</v>
      </c>
      <c r="E1906" t="s">
        <v>38</v>
      </c>
      <c r="F1906" t="s">
        <v>39</v>
      </c>
      <c r="G1906" t="s">
        <v>15</v>
      </c>
      <c r="H1906">
        <v>0.6155305486394721</v>
      </c>
      <c r="I1906">
        <v>3</v>
      </c>
      <c r="J1906" t="s">
        <v>16</v>
      </c>
      <c r="K1906" s="59" t="s">
        <v>4376</v>
      </c>
    </row>
    <row r="1907" spans="1:11" x14ac:dyDescent="0.2">
      <c r="A1907" t="s">
        <v>1946</v>
      </c>
      <c r="B1907">
        <v>2023</v>
      </c>
      <c r="C1907" t="s">
        <v>12</v>
      </c>
      <c r="D1907">
        <v>394</v>
      </c>
      <c r="E1907" t="s">
        <v>38</v>
      </c>
      <c r="F1907" t="s">
        <v>39</v>
      </c>
      <c r="G1907" t="s">
        <v>15</v>
      </c>
      <c r="H1907">
        <v>-1.9264873608078889E-3</v>
      </c>
      <c r="I1907">
        <v>3</v>
      </c>
      <c r="J1907" t="s">
        <v>16</v>
      </c>
      <c r="K1907" s="59" t="s">
        <v>4376</v>
      </c>
    </row>
    <row r="1908" spans="1:11" x14ac:dyDescent="0.2">
      <c r="A1908" t="s">
        <v>1947</v>
      </c>
      <c r="B1908">
        <v>2023</v>
      </c>
      <c r="C1908" t="s">
        <v>33</v>
      </c>
      <c r="D1908">
        <v>70</v>
      </c>
      <c r="E1908" t="s">
        <v>53</v>
      </c>
      <c r="F1908" t="s">
        <v>54</v>
      </c>
      <c r="G1908" t="s">
        <v>15</v>
      </c>
      <c r="H1908">
        <v>-1.068629387250613</v>
      </c>
      <c r="I1908">
        <v>3</v>
      </c>
      <c r="J1908" t="s">
        <v>16</v>
      </c>
      <c r="K1908" s="59" t="s">
        <v>4376</v>
      </c>
    </row>
    <row r="1909" spans="1:11" x14ac:dyDescent="0.2">
      <c r="A1909" t="s">
        <v>1948</v>
      </c>
      <c r="B1909">
        <v>2020</v>
      </c>
      <c r="C1909" t="s">
        <v>33</v>
      </c>
      <c r="D1909">
        <v>185</v>
      </c>
      <c r="E1909" t="s">
        <v>13</v>
      </c>
      <c r="F1909" t="s">
        <v>14</v>
      </c>
      <c r="G1909" t="s">
        <v>15</v>
      </c>
      <c r="H1909">
        <v>1.9823933475247071</v>
      </c>
      <c r="I1909">
        <v>4</v>
      </c>
      <c r="J1909" t="s">
        <v>23</v>
      </c>
      <c r="K1909" s="59" t="s">
        <v>4376</v>
      </c>
    </row>
    <row r="1910" spans="1:11" x14ac:dyDescent="0.2">
      <c r="A1910" t="s">
        <v>1949</v>
      </c>
      <c r="B1910">
        <v>2020</v>
      </c>
      <c r="C1910" t="s">
        <v>33</v>
      </c>
      <c r="D1910">
        <v>162</v>
      </c>
      <c r="E1910" t="s">
        <v>20</v>
      </c>
      <c r="F1910" t="s">
        <v>21</v>
      </c>
      <c r="G1910" t="s">
        <v>15</v>
      </c>
      <c r="H1910">
        <v>-1.1444881492354639</v>
      </c>
      <c r="I1910">
        <v>3</v>
      </c>
      <c r="J1910" t="s">
        <v>23</v>
      </c>
      <c r="K1910" s="59" t="s">
        <v>17</v>
      </c>
    </row>
    <row r="1911" spans="1:11" x14ac:dyDescent="0.2">
      <c r="A1911" t="s">
        <v>1950</v>
      </c>
      <c r="B1911">
        <v>2020</v>
      </c>
      <c r="C1911" t="s">
        <v>33</v>
      </c>
      <c r="D1911">
        <v>74</v>
      </c>
      <c r="E1911" t="s">
        <v>25</v>
      </c>
      <c r="F1911" t="s">
        <v>26</v>
      </c>
      <c r="G1911" t="s">
        <v>15</v>
      </c>
      <c r="H1911">
        <v>0.57156006107048651</v>
      </c>
      <c r="I1911">
        <v>2</v>
      </c>
      <c r="J1911" t="s">
        <v>23</v>
      </c>
      <c r="K1911" s="59" t="s">
        <v>4376</v>
      </c>
    </row>
    <row r="1912" spans="1:11" x14ac:dyDescent="0.2">
      <c r="A1912" t="s">
        <v>1951</v>
      </c>
      <c r="B1912">
        <v>2025</v>
      </c>
      <c r="C1912" t="s">
        <v>33</v>
      </c>
      <c r="D1912">
        <v>254</v>
      </c>
      <c r="E1912" t="s">
        <v>20</v>
      </c>
      <c r="F1912" t="s">
        <v>21</v>
      </c>
      <c r="G1912" t="s">
        <v>15</v>
      </c>
      <c r="H1912">
        <v>-0.1421576220257951</v>
      </c>
      <c r="I1912">
        <v>3</v>
      </c>
      <c r="J1912" t="s">
        <v>17</v>
      </c>
      <c r="K1912" s="59" t="s">
        <v>17</v>
      </c>
    </row>
    <row r="1913" spans="1:11" x14ac:dyDescent="0.2">
      <c r="A1913" t="s">
        <v>1952</v>
      </c>
      <c r="B1913">
        <v>2023</v>
      </c>
      <c r="C1913" t="s">
        <v>19</v>
      </c>
      <c r="D1913">
        <v>289</v>
      </c>
      <c r="E1913" t="s">
        <v>25</v>
      </c>
      <c r="F1913" t="s">
        <v>26</v>
      </c>
      <c r="G1913" t="s">
        <v>15</v>
      </c>
      <c r="H1913">
        <v>0.45125509394586322</v>
      </c>
      <c r="I1913">
        <v>2</v>
      </c>
      <c r="J1913" t="s">
        <v>23</v>
      </c>
      <c r="K1913" s="59" t="s">
        <v>17</v>
      </c>
    </row>
    <row r="1914" spans="1:11" x14ac:dyDescent="0.2">
      <c r="A1914" t="s">
        <v>1953</v>
      </c>
      <c r="B1914">
        <v>2025</v>
      </c>
      <c r="C1914" t="s">
        <v>33</v>
      </c>
      <c r="D1914">
        <v>134</v>
      </c>
      <c r="E1914" t="s">
        <v>25</v>
      </c>
      <c r="F1914" t="s">
        <v>26</v>
      </c>
      <c r="G1914" t="s">
        <v>15</v>
      </c>
      <c r="H1914">
        <v>0.83969259393079132</v>
      </c>
      <c r="I1914">
        <v>2</v>
      </c>
      <c r="J1914" t="s">
        <v>17</v>
      </c>
      <c r="K1914" s="59" t="s">
        <v>23</v>
      </c>
    </row>
    <row r="1915" spans="1:11" x14ac:dyDescent="0.2">
      <c r="A1915" t="s">
        <v>1954</v>
      </c>
      <c r="B1915">
        <v>2020</v>
      </c>
      <c r="C1915" t="s">
        <v>12</v>
      </c>
      <c r="D1915">
        <v>86</v>
      </c>
      <c r="E1915" t="s">
        <v>29</v>
      </c>
      <c r="F1915" t="s">
        <v>30</v>
      </c>
      <c r="G1915" t="s">
        <v>15</v>
      </c>
      <c r="H1915">
        <v>0.64722356240672774</v>
      </c>
      <c r="I1915">
        <v>4</v>
      </c>
      <c r="J1915" t="s">
        <v>23</v>
      </c>
      <c r="K1915" s="59" t="s">
        <v>16</v>
      </c>
    </row>
    <row r="1916" spans="1:11" x14ac:dyDescent="0.2">
      <c r="A1916" t="s">
        <v>1955</v>
      </c>
      <c r="B1916">
        <v>2019</v>
      </c>
      <c r="C1916" t="s">
        <v>12</v>
      </c>
      <c r="D1916">
        <v>53</v>
      </c>
      <c r="E1916" t="s">
        <v>29</v>
      </c>
      <c r="F1916" t="s">
        <v>30</v>
      </c>
      <c r="G1916" t="s">
        <v>15</v>
      </c>
      <c r="H1916">
        <v>0.28492891483201988</v>
      </c>
      <c r="I1916">
        <v>4</v>
      </c>
      <c r="J1916" t="s">
        <v>23</v>
      </c>
      <c r="K1916" s="59" t="s">
        <v>16</v>
      </c>
    </row>
    <row r="1917" spans="1:11" x14ac:dyDescent="0.2">
      <c r="A1917" t="s">
        <v>1956</v>
      </c>
      <c r="B1917">
        <v>2020</v>
      </c>
      <c r="C1917" t="s">
        <v>12</v>
      </c>
      <c r="D1917">
        <v>73</v>
      </c>
      <c r="E1917" t="s">
        <v>29</v>
      </c>
      <c r="F1917" t="s">
        <v>30</v>
      </c>
      <c r="G1917" t="s">
        <v>15</v>
      </c>
      <c r="H1917">
        <v>-0.1177237792714966</v>
      </c>
      <c r="I1917">
        <v>4</v>
      </c>
      <c r="J1917" t="s">
        <v>23</v>
      </c>
      <c r="K1917" s="59" t="s">
        <v>17</v>
      </c>
    </row>
    <row r="1918" spans="1:11" x14ac:dyDescent="0.2">
      <c r="A1918" t="s">
        <v>1957</v>
      </c>
      <c r="B1918">
        <v>2020</v>
      </c>
      <c r="C1918" t="s">
        <v>12</v>
      </c>
      <c r="D1918">
        <v>88</v>
      </c>
      <c r="E1918" t="s">
        <v>38</v>
      </c>
      <c r="F1918" t="s">
        <v>39</v>
      </c>
      <c r="G1918" t="s">
        <v>15</v>
      </c>
      <c r="H1918">
        <v>0.61922806691231846</v>
      </c>
      <c r="I1918">
        <v>3</v>
      </c>
      <c r="J1918" t="s">
        <v>23</v>
      </c>
      <c r="K1918" s="59" t="s">
        <v>16</v>
      </c>
    </row>
    <row r="1919" spans="1:11" x14ac:dyDescent="0.2">
      <c r="A1919" t="s">
        <v>1958</v>
      </c>
      <c r="B1919">
        <v>2020</v>
      </c>
      <c r="C1919" t="s">
        <v>12</v>
      </c>
      <c r="D1919">
        <v>92</v>
      </c>
      <c r="E1919" t="s">
        <v>38</v>
      </c>
      <c r="F1919" t="s">
        <v>39</v>
      </c>
      <c r="G1919" t="s">
        <v>15</v>
      </c>
      <c r="H1919">
        <v>0.64722356240672774</v>
      </c>
      <c r="I1919">
        <v>3</v>
      </c>
      <c r="J1919" t="s">
        <v>23</v>
      </c>
      <c r="K1919" s="59" t="s">
        <v>16</v>
      </c>
    </row>
    <row r="1920" spans="1:11" x14ac:dyDescent="0.2">
      <c r="A1920" t="s">
        <v>1959</v>
      </c>
      <c r="B1920">
        <v>2024</v>
      </c>
      <c r="C1920" t="s">
        <v>19</v>
      </c>
      <c r="D1920">
        <v>56</v>
      </c>
      <c r="E1920" t="s">
        <v>25</v>
      </c>
      <c r="F1920" t="s">
        <v>26</v>
      </c>
      <c r="G1920" t="s">
        <v>15</v>
      </c>
      <c r="H1920">
        <v>-1.559480200093766</v>
      </c>
      <c r="I1920">
        <v>2</v>
      </c>
      <c r="J1920" t="s">
        <v>23</v>
      </c>
      <c r="K1920" s="59" t="s">
        <v>17</v>
      </c>
    </row>
    <row r="1921" spans="1:11" x14ac:dyDescent="0.2">
      <c r="A1921" t="s">
        <v>1960</v>
      </c>
      <c r="B1921">
        <v>2020</v>
      </c>
      <c r="C1921" t="s">
        <v>33</v>
      </c>
      <c r="D1921">
        <v>189</v>
      </c>
      <c r="E1921" t="s">
        <v>20</v>
      </c>
      <c r="F1921" t="s">
        <v>21</v>
      </c>
      <c r="G1921" t="s">
        <v>15</v>
      </c>
      <c r="H1921">
        <v>0.4008632020559264</v>
      </c>
      <c r="I1921">
        <v>3</v>
      </c>
      <c r="J1921" t="s">
        <v>23</v>
      </c>
      <c r="K1921" s="59" t="s">
        <v>23</v>
      </c>
    </row>
    <row r="1922" spans="1:11" x14ac:dyDescent="0.2">
      <c r="A1922" t="s">
        <v>1961</v>
      </c>
      <c r="B1922">
        <v>2020</v>
      </c>
      <c r="C1922" t="s">
        <v>19</v>
      </c>
      <c r="D1922">
        <v>78</v>
      </c>
      <c r="E1922" t="s">
        <v>20</v>
      </c>
      <c r="F1922" t="s">
        <v>21</v>
      </c>
      <c r="G1922" t="s">
        <v>48</v>
      </c>
      <c r="H1922">
        <v>-2.712235896922381</v>
      </c>
      <c r="I1922">
        <v>3</v>
      </c>
      <c r="J1922" t="s">
        <v>23</v>
      </c>
      <c r="K1922" s="59" t="s">
        <v>17</v>
      </c>
    </row>
    <row r="1923" spans="1:11" x14ac:dyDescent="0.2">
      <c r="A1923" t="s">
        <v>1962</v>
      </c>
      <c r="B1923">
        <v>2020</v>
      </c>
      <c r="C1923" t="s">
        <v>33</v>
      </c>
      <c r="D1923">
        <v>74</v>
      </c>
      <c r="E1923" t="s">
        <v>25</v>
      </c>
      <c r="F1923" t="s">
        <v>26</v>
      </c>
      <c r="G1923" t="s">
        <v>48</v>
      </c>
      <c r="H1923">
        <v>-0.69958676137836551</v>
      </c>
      <c r="I1923">
        <v>2</v>
      </c>
      <c r="J1923" t="s">
        <v>17</v>
      </c>
      <c r="K1923" s="59" t="s">
        <v>4376</v>
      </c>
    </row>
    <row r="1924" spans="1:11" x14ac:dyDescent="0.2">
      <c r="A1924" t="s">
        <v>1963</v>
      </c>
      <c r="B1924">
        <v>2020</v>
      </c>
      <c r="C1924" t="s">
        <v>12</v>
      </c>
      <c r="D1924">
        <v>56</v>
      </c>
      <c r="E1924" t="s">
        <v>20</v>
      </c>
      <c r="F1924" t="s">
        <v>21</v>
      </c>
      <c r="G1924" t="s">
        <v>15</v>
      </c>
      <c r="H1924">
        <v>-0.50313679790899735</v>
      </c>
      <c r="I1924">
        <v>3</v>
      </c>
      <c r="J1924" t="s">
        <v>23</v>
      </c>
      <c r="K1924" s="59" t="s">
        <v>17</v>
      </c>
    </row>
    <row r="1925" spans="1:11" x14ac:dyDescent="0.2">
      <c r="A1925" t="s">
        <v>1964</v>
      </c>
      <c r="B1925">
        <v>2022</v>
      </c>
      <c r="C1925" t="s">
        <v>12</v>
      </c>
      <c r="D1925">
        <v>89</v>
      </c>
      <c r="E1925" t="s">
        <v>25</v>
      </c>
      <c r="F1925" t="s">
        <v>26</v>
      </c>
      <c r="G1925" t="s">
        <v>15</v>
      </c>
      <c r="H1925">
        <v>-1.0061574656160299</v>
      </c>
      <c r="I1925">
        <v>2</v>
      </c>
      <c r="J1925" t="s">
        <v>23</v>
      </c>
      <c r="K1925" s="59" t="s">
        <v>16</v>
      </c>
    </row>
    <row r="1926" spans="1:11" x14ac:dyDescent="0.2">
      <c r="A1926" t="s">
        <v>1965</v>
      </c>
      <c r="B1926">
        <v>2021</v>
      </c>
      <c r="C1926" t="s">
        <v>19</v>
      </c>
      <c r="D1926">
        <v>251</v>
      </c>
      <c r="E1926" t="s">
        <v>20</v>
      </c>
      <c r="F1926" t="s">
        <v>21</v>
      </c>
      <c r="G1926" t="s">
        <v>15</v>
      </c>
      <c r="H1926">
        <v>-0.32237652544842171</v>
      </c>
      <c r="I1926">
        <v>3</v>
      </c>
      <c r="J1926" t="s">
        <v>23</v>
      </c>
      <c r="K1926" s="59" t="s">
        <v>17</v>
      </c>
    </row>
    <row r="1927" spans="1:11" x14ac:dyDescent="0.2">
      <c r="A1927" t="s">
        <v>1966</v>
      </c>
      <c r="B1927">
        <v>2021</v>
      </c>
      <c r="C1927" t="s">
        <v>33</v>
      </c>
      <c r="D1927">
        <v>310</v>
      </c>
      <c r="E1927" t="s">
        <v>29</v>
      </c>
      <c r="F1927" t="s">
        <v>30</v>
      </c>
      <c r="G1927" t="s">
        <v>15</v>
      </c>
      <c r="H1927">
        <v>0.53094834150343062</v>
      </c>
      <c r="I1927">
        <v>4</v>
      </c>
      <c r="J1927" t="s">
        <v>16</v>
      </c>
      <c r="K1927" s="59" t="s">
        <v>16</v>
      </c>
    </row>
    <row r="1928" spans="1:11" x14ac:dyDescent="0.2">
      <c r="A1928" t="s">
        <v>1967</v>
      </c>
      <c r="B1928">
        <v>2022</v>
      </c>
      <c r="C1928" t="s">
        <v>12</v>
      </c>
      <c r="D1928">
        <v>102</v>
      </c>
      <c r="E1928" t="s">
        <v>25</v>
      </c>
      <c r="F1928" t="s">
        <v>26</v>
      </c>
      <c r="G1928" t="s">
        <v>112</v>
      </c>
      <c r="H1928">
        <v>0.24728791248659579</v>
      </c>
      <c r="I1928">
        <v>2</v>
      </c>
      <c r="J1928" t="s">
        <v>23</v>
      </c>
      <c r="K1928" s="59" t="s">
        <v>17</v>
      </c>
    </row>
    <row r="1929" spans="1:11" x14ac:dyDescent="0.2">
      <c r="A1929" t="s">
        <v>1968</v>
      </c>
      <c r="B1929">
        <v>2021</v>
      </c>
      <c r="C1929" t="s">
        <v>33</v>
      </c>
      <c r="D1929">
        <v>343</v>
      </c>
      <c r="E1929" t="s">
        <v>38</v>
      </c>
      <c r="F1929" t="s">
        <v>39</v>
      </c>
      <c r="G1929" t="s">
        <v>15</v>
      </c>
      <c r="H1929">
        <v>0.79091725609484598</v>
      </c>
      <c r="I1929">
        <v>3</v>
      </c>
      <c r="J1929" t="s">
        <v>23</v>
      </c>
      <c r="K1929" s="59" t="s">
        <v>17</v>
      </c>
    </row>
    <row r="1930" spans="1:11" x14ac:dyDescent="0.2">
      <c r="A1930" t="s">
        <v>1969</v>
      </c>
      <c r="B1930">
        <v>2022</v>
      </c>
      <c r="C1930" t="s">
        <v>12</v>
      </c>
      <c r="D1930">
        <v>411</v>
      </c>
      <c r="E1930" t="s">
        <v>13</v>
      </c>
      <c r="F1930" t="s">
        <v>14</v>
      </c>
      <c r="G1930" t="s">
        <v>22</v>
      </c>
      <c r="H1930">
        <v>1.332553292109866</v>
      </c>
      <c r="I1930">
        <v>4</v>
      </c>
      <c r="J1930" t="s">
        <v>17</v>
      </c>
      <c r="K1930" s="59" t="s">
        <v>23</v>
      </c>
    </row>
    <row r="1931" spans="1:11" x14ac:dyDescent="0.2">
      <c r="A1931" t="s">
        <v>1970</v>
      </c>
      <c r="B1931">
        <v>2022</v>
      </c>
      <c r="C1931" t="s">
        <v>19</v>
      </c>
      <c r="D1931">
        <v>155</v>
      </c>
      <c r="E1931" t="s">
        <v>25</v>
      </c>
      <c r="F1931" t="s">
        <v>26</v>
      </c>
      <c r="G1931" t="s">
        <v>15</v>
      </c>
      <c r="H1931">
        <v>-0.53480846957944039</v>
      </c>
      <c r="I1931">
        <v>2</v>
      </c>
      <c r="J1931" t="s">
        <v>23</v>
      </c>
      <c r="K1931" s="59" t="s">
        <v>17</v>
      </c>
    </row>
    <row r="1932" spans="1:11" x14ac:dyDescent="0.2">
      <c r="A1932" t="s">
        <v>1971</v>
      </c>
      <c r="B1932">
        <v>2023</v>
      </c>
      <c r="C1932" t="s">
        <v>33</v>
      </c>
      <c r="D1932">
        <v>70</v>
      </c>
      <c r="E1932" t="s">
        <v>53</v>
      </c>
      <c r="F1932" t="s">
        <v>54</v>
      </c>
      <c r="G1932" t="s">
        <v>15</v>
      </c>
      <c r="H1932">
        <v>-1.068629387250613</v>
      </c>
      <c r="I1932">
        <v>3</v>
      </c>
      <c r="J1932" t="s">
        <v>16</v>
      </c>
      <c r="K1932" s="59" t="s">
        <v>4376</v>
      </c>
    </row>
    <row r="1933" spans="1:11" x14ac:dyDescent="0.2">
      <c r="A1933" t="s">
        <v>1972</v>
      </c>
      <c r="B1933">
        <v>2022</v>
      </c>
      <c r="C1933" t="s">
        <v>33</v>
      </c>
      <c r="D1933">
        <v>127</v>
      </c>
      <c r="E1933" t="s">
        <v>20</v>
      </c>
      <c r="F1933" t="s">
        <v>21</v>
      </c>
      <c r="G1933" t="s">
        <v>48</v>
      </c>
      <c r="H1933">
        <v>0.45461455340519208</v>
      </c>
      <c r="I1933">
        <v>3</v>
      </c>
      <c r="J1933" t="s">
        <v>17</v>
      </c>
      <c r="K1933" s="59" t="s">
        <v>17</v>
      </c>
    </row>
    <row r="1934" spans="1:11" x14ac:dyDescent="0.2">
      <c r="A1934" t="s">
        <v>1973</v>
      </c>
      <c r="B1934">
        <v>2021</v>
      </c>
      <c r="C1934" t="s">
        <v>33</v>
      </c>
      <c r="D1934">
        <v>344</v>
      </c>
      <c r="E1934" t="s">
        <v>38</v>
      </c>
      <c r="F1934" t="s">
        <v>39</v>
      </c>
      <c r="G1934" t="s">
        <v>15</v>
      </c>
      <c r="H1934">
        <v>0.93047210505604472</v>
      </c>
      <c r="I1934">
        <v>3</v>
      </c>
      <c r="J1934" t="s">
        <v>23</v>
      </c>
      <c r="K1934" s="59" t="s">
        <v>16</v>
      </c>
    </row>
    <row r="1935" spans="1:11" x14ac:dyDescent="0.2">
      <c r="A1935" t="s">
        <v>1974</v>
      </c>
      <c r="B1935">
        <v>2022</v>
      </c>
      <c r="C1935" t="s">
        <v>33</v>
      </c>
      <c r="D1935">
        <v>351</v>
      </c>
      <c r="E1935" t="s">
        <v>53</v>
      </c>
      <c r="F1935" t="s">
        <v>54</v>
      </c>
      <c r="G1935" t="s">
        <v>36</v>
      </c>
      <c r="H1935">
        <v>5.0977316183616617E-2</v>
      </c>
      <c r="I1935">
        <v>3</v>
      </c>
      <c r="J1935" t="s">
        <v>16</v>
      </c>
      <c r="K1935" s="59" t="s">
        <v>23</v>
      </c>
    </row>
    <row r="1936" spans="1:11" x14ac:dyDescent="0.2">
      <c r="A1936" t="s">
        <v>1975</v>
      </c>
      <c r="B1936">
        <v>2020</v>
      </c>
      <c r="C1936" t="s">
        <v>12</v>
      </c>
      <c r="D1936">
        <v>124</v>
      </c>
      <c r="E1936" t="s">
        <v>20</v>
      </c>
      <c r="F1936" t="s">
        <v>21</v>
      </c>
      <c r="G1936" t="s">
        <v>48</v>
      </c>
      <c r="H1936">
        <v>-0.14437320674553339</v>
      </c>
      <c r="I1936">
        <v>3</v>
      </c>
      <c r="J1936" t="s">
        <v>16</v>
      </c>
      <c r="K1936" s="59" t="s">
        <v>4376</v>
      </c>
    </row>
    <row r="1937" spans="1:11" x14ac:dyDescent="0.2">
      <c r="A1937" t="s">
        <v>1976</v>
      </c>
      <c r="B1937">
        <v>2021</v>
      </c>
      <c r="C1937" t="s">
        <v>12</v>
      </c>
      <c r="D1937">
        <v>311</v>
      </c>
      <c r="E1937" t="s">
        <v>38</v>
      </c>
      <c r="F1937" t="s">
        <v>39</v>
      </c>
      <c r="G1937" t="s">
        <v>15</v>
      </c>
      <c r="H1937">
        <v>0.60221472720671299</v>
      </c>
      <c r="I1937">
        <v>3</v>
      </c>
      <c r="J1937" t="s">
        <v>23</v>
      </c>
      <c r="K1937" s="59" t="s">
        <v>17</v>
      </c>
    </row>
    <row r="1938" spans="1:11" x14ac:dyDescent="0.2">
      <c r="A1938" t="s">
        <v>1977</v>
      </c>
      <c r="B1938">
        <v>2023</v>
      </c>
      <c r="C1938" t="s">
        <v>12</v>
      </c>
      <c r="D1938">
        <v>394</v>
      </c>
      <c r="E1938" t="s">
        <v>38</v>
      </c>
      <c r="F1938" t="s">
        <v>39</v>
      </c>
      <c r="G1938" t="s">
        <v>15</v>
      </c>
      <c r="H1938">
        <v>-1.9264873608078889E-3</v>
      </c>
      <c r="I1938">
        <v>3</v>
      </c>
      <c r="J1938" t="s">
        <v>16</v>
      </c>
      <c r="K1938" s="59" t="s">
        <v>17</v>
      </c>
    </row>
    <row r="1939" spans="1:11" x14ac:dyDescent="0.2">
      <c r="A1939" t="s">
        <v>1978</v>
      </c>
      <c r="B1939">
        <v>2023</v>
      </c>
      <c r="C1939" t="s">
        <v>19</v>
      </c>
      <c r="D1939">
        <v>147</v>
      </c>
      <c r="E1939" t="s">
        <v>29</v>
      </c>
      <c r="F1939" t="s">
        <v>30</v>
      </c>
      <c r="G1939" t="s">
        <v>15</v>
      </c>
      <c r="H1939">
        <v>-9.9322984110851928E-2</v>
      </c>
      <c r="I1939">
        <v>4</v>
      </c>
      <c r="J1939" t="s">
        <v>23</v>
      </c>
      <c r="K1939" s="59" t="s">
        <v>23</v>
      </c>
    </row>
    <row r="1940" spans="1:11" x14ac:dyDescent="0.2">
      <c r="A1940" t="s">
        <v>1979</v>
      </c>
      <c r="B1940">
        <v>2023</v>
      </c>
      <c r="C1940" t="s">
        <v>12</v>
      </c>
      <c r="D1940">
        <v>147</v>
      </c>
      <c r="E1940" t="s">
        <v>29</v>
      </c>
      <c r="F1940" t="s">
        <v>30</v>
      </c>
      <c r="G1940" t="s">
        <v>15</v>
      </c>
      <c r="H1940">
        <v>-9.9322984110851928E-2</v>
      </c>
      <c r="I1940">
        <v>4</v>
      </c>
      <c r="J1940" t="s">
        <v>23</v>
      </c>
      <c r="K1940" s="59" t="s">
        <v>17</v>
      </c>
    </row>
    <row r="1941" spans="1:11" x14ac:dyDescent="0.2">
      <c r="A1941" t="s">
        <v>1980</v>
      </c>
      <c r="B1941">
        <v>2019</v>
      </c>
      <c r="C1941" t="s">
        <v>19</v>
      </c>
      <c r="D1941">
        <v>201</v>
      </c>
      <c r="E1941" t="s">
        <v>13</v>
      </c>
      <c r="F1941" t="s">
        <v>14</v>
      </c>
      <c r="G1941" t="s">
        <v>15</v>
      </c>
      <c r="H1941">
        <v>1.4281925141823269E-2</v>
      </c>
      <c r="I1941">
        <v>4</v>
      </c>
      <c r="J1941" t="s">
        <v>16</v>
      </c>
      <c r="K1941" s="59" t="s">
        <v>17</v>
      </c>
    </row>
    <row r="1942" spans="1:11" x14ac:dyDescent="0.2">
      <c r="A1942" t="s">
        <v>1981</v>
      </c>
      <c r="B1942">
        <v>2020</v>
      </c>
      <c r="C1942" t="s">
        <v>19</v>
      </c>
      <c r="D1942">
        <v>159</v>
      </c>
      <c r="E1942" t="s">
        <v>25</v>
      </c>
      <c r="F1942" t="s">
        <v>26</v>
      </c>
      <c r="G1942" t="s">
        <v>48</v>
      </c>
      <c r="H1942">
        <v>-5.5482163426094772E-2</v>
      </c>
      <c r="I1942">
        <v>2</v>
      </c>
      <c r="J1942" t="s">
        <v>23</v>
      </c>
      <c r="K1942" s="59" t="s">
        <v>17</v>
      </c>
    </row>
    <row r="1943" spans="1:11" x14ac:dyDescent="0.2">
      <c r="A1943" t="s">
        <v>1982</v>
      </c>
      <c r="B1943">
        <v>2023</v>
      </c>
      <c r="C1943" t="s">
        <v>33</v>
      </c>
      <c r="D1943">
        <v>130</v>
      </c>
      <c r="E1943" t="s">
        <v>20</v>
      </c>
      <c r="F1943" t="s">
        <v>21</v>
      </c>
      <c r="G1943" t="s">
        <v>15</v>
      </c>
      <c r="H1943">
        <v>0.46646524504125081</v>
      </c>
      <c r="I1943">
        <v>3</v>
      </c>
      <c r="J1943" t="s">
        <v>23</v>
      </c>
      <c r="K1943" s="59" t="s">
        <v>4376</v>
      </c>
    </row>
    <row r="1944" spans="1:11" x14ac:dyDescent="0.2">
      <c r="A1944" t="s">
        <v>1983</v>
      </c>
      <c r="B1944">
        <v>2021</v>
      </c>
      <c r="C1944" t="s">
        <v>33</v>
      </c>
      <c r="D1944">
        <v>398</v>
      </c>
      <c r="E1944" t="s">
        <v>29</v>
      </c>
      <c r="F1944" t="s">
        <v>30</v>
      </c>
      <c r="G1944" t="s">
        <v>15</v>
      </c>
      <c r="H1944">
        <v>0.43743819565275671</v>
      </c>
      <c r="I1944">
        <v>4</v>
      </c>
      <c r="J1944" t="s">
        <v>23</v>
      </c>
      <c r="K1944" s="59" t="s">
        <v>4376</v>
      </c>
    </row>
    <row r="1945" spans="1:11" x14ac:dyDescent="0.2">
      <c r="A1945" t="s">
        <v>1984</v>
      </c>
      <c r="B1945">
        <v>2022</v>
      </c>
      <c r="C1945" t="s">
        <v>19</v>
      </c>
      <c r="D1945">
        <v>352</v>
      </c>
      <c r="E1945" t="s">
        <v>53</v>
      </c>
      <c r="F1945" t="s">
        <v>54</v>
      </c>
      <c r="G1945" t="s">
        <v>36</v>
      </c>
      <c r="H1945">
        <v>5.4377775466296963E-2</v>
      </c>
      <c r="I1945">
        <v>3</v>
      </c>
      <c r="J1945" t="s">
        <v>16</v>
      </c>
      <c r="K1945" s="59" t="s">
        <v>4376</v>
      </c>
    </row>
    <row r="1946" spans="1:11" x14ac:dyDescent="0.2">
      <c r="A1946" t="s">
        <v>1985</v>
      </c>
      <c r="B1946">
        <v>2023</v>
      </c>
      <c r="C1946" t="s">
        <v>33</v>
      </c>
      <c r="D1946">
        <v>70</v>
      </c>
      <c r="E1946" t="s">
        <v>53</v>
      </c>
      <c r="F1946" t="s">
        <v>54</v>
      </c>
      <c r="G1946" t="s">
        <v>15</v>
      </c>
      <c r="H1946">
        <v>-1.068629387250613</v>
      </c>
      <c r="I1946">
        <v>3</v>
      </c>
      <c r="J1946" t="s">
        <v>16</v>
      </c>
      <c r="K1946" s="59" t="s">
        <v>4376</v>
      </c>
    </row>
    <row r="1947" spans="1:11" x14ac:dyDescent="0.2">
      <c r="A1947" t="s">
        <v>1986</v>
      </c>
      <c r="B1947">
        <v>2022</v>
      </c>
      <c r="C1947" t="s">
        <v>19</v>
      </c>
      <c r="D1947">
        <v>352</v>
      </c>
      <c r="E1947" t="s">
        <v>53</v>
      </c>
      <c r="F1947" t="s">
        <v>54</v>
      </c>
      <c r="G1947" t="s">
        <v>36</v>
      </c>
      <c r="H1947">
        <v>5.4377775466296963E-2</v>
      </c>
      <c r="I1947">
        <v>3</v>
      </c>
      <c r="J1947" t="s">
        <v>16</v>
      </c>
      <c r="K1947" s="59" t="s">
        <v>17</v>
      </c>
    </row>
    <row r="1948" spans="1:11" x14ac:dyDescent="0.2">
      <c r="A1948" t="s">
        <v>1987</v>
      </c>
      <c r="B1948">
        <v>2022</v>
      </c>
      <c r="C1948" t="s">
        <v>19</v>
      </c>
      <c r="D1948">
        <v>352</v>
      </c>
      <c r="E1948" t="s">
        <v>53</v>
      </c>
      <c r="F1948" t="s">
        <v>54</v>
      </c>
      <c r="G1948" t="s">
        <v>36</v>
      </c>
      <c r="H1948">
        <v>5.4377775466296963E-2</v>
      </c>
      <c r="I1948">
        <v>3</v>
      </c>
      <c r="J1948" t="s">
        <v>16</v>
      </c>
      <c r="K1948" s="59" t="s">
        <v>17</v>
      </c>
    </row>
    <row r="1949" spans="1:11" x14ac:dyDescent="0.2">
      <c r="A1949" t="s">
        <v>1988</v>
      </c>
      <c r="B1949">
        <v>2022</v>
      </c>
      <c r="C1949" t="s">
        <v>19</v>
      </c>
      <c r="D1949">
        <v>352</v>
      </c>
      <c r="E1949" t="s">
        <v>53</v>
      </c>
      <c r="F1949" t="s">
        <v>54</v>
      </c>
      <c r="G1949" t="s">
        <v>36</v>
      </c>
      <c r="H1949">
        <v>5.4377775466296963E-2</v>
      </c>
      <c r="I1949">
        <v>3</v>
      </c>
      <c r="J1949" t="s">
        <v>16</v>
      </c>
      <c r="K1949" s="59" t="s">
        <v>17</v>
      </c>
    </row>
    <row r="1950" spans="1:11" x14ac:dyDescent="0.2">
      <c r="A1950" t="s">
        <v>1989</v>
      </c>
      <c r="B1950">
        <v>2022</v>
      </c>
      <c r="C1950" t="s">
        <v>12</v>
      </c>
      <c r="D1950">
        <v>352</v>
      </c>
      <c r="E1950" t="s">
        <v>53</v>
      </c>
      <c r="F1950" t="s">
        <v>54</v>
      </c>
      <c r="G1950" t="s">
        <v>36</v>
      </c>
      <c r="H1950">
        <v>5.4377775466296963E-2</v>
      </c>
      <c r="I1950">
        <v>3</v>
      </c>
      <c r="J1950" t="s">
        <v>16</v>
      </c>
      <c r="K1950" s="59" t="s">
        <v>16</v>
      </c>
    </row>
    <row r="1951" spans="1:11" x14ac:dyDescent="0.2">
      <c r="A1951" t="s">
        <v>1990</v>
      </c>
      <c r="B1951">
        <v>2022</v>
      </c>
      <c r="C1951" t="s">
        <v>12</v>
      </c>
      <c r="D1951">
        <v>352</v>
      </c>
      <c r="E1951" t="s">
        <v>53</v>
      </c>
      <c r="F1951" t="s">
        <v>54</v>
      </c>
      <c r="G1951" t="s">
        <v>36</v>
      </c>
      <c r="H1951">
        <v>5.4377775466296963E-2</v>
      </c>
      <c r="I1951">
        <v>3</v>
      </c>
      <c r="J1951" t="s">
        <v>16</v>
      </c>
      <c r="K1951" s="59" t="s">
        <v>17</v>
      </c>
    </row>
    <row r="1952" spans="1:11" x14ac:dyDescent="0.2">
      <c r="A1952" t="s">
        <v>1991</v>
      </c>
      <c r="B1952">
        <v>2022</v>
      </c>
      <c r="C1952" t="s">
        <v>33</v>
      </c>
      <c r="D1952">
        <v>496</v>
      </c>
      <c r="E1952" t="s">
        <v>20</v>
      </c>
      <c r="F1952" t="s">
        <v>21</v>
      </c>
      <c r="G1952" t="s">
        <v>15</v>
      </c>
      <c r="H1952">
        <v>0.43862967440916872</v>
      </c>
      <c r="I1952">
        <v>3</v>
      </c>
      <c r="J1952" t="s">
        <v>23</v>
      </c>
      <c r="K1952" s="59" t="s">
        <v>17</v>
      </c>
    </row>
    <row r="1953" spans="1:11" x14ac:dyDescent="0.2">
      <c r="A1953" t="s">
        <v>1992</v>
      </c>
      <c r="B1953">
        <v>2021</v>
      </c>
      <c r="C1953" t="s">
        <v>33</v>
      </c>
      <c r="D1953">
        <v>313</v>
      </c>
      <c r="E1953" t="s">
        <v>29</v>
      </c>
      <c r="F1953" t="s">
        <v>30</v>
      </c>
      <c r="G1953" t="s">
        <v>15</v>
      </c>
      <c r="H1953">
        <v>0.53736782059322319</v>
      </c>
      <c r="I1953">
        <v>4</v>
      </c>
      <c r="J1953" t="s">
        <v>16</v>
      </c>
      <c r="K1953" s="59" t="s">
        <v>4376</v>
      </c>
    </row>
    <row r="1954" spans="1:11" x14ac:dyDescent="0.2">
      <c r="A1954" t="s">
        <v>1993</v>
      </c>
      <c r="B1954">
        <v>2022</v>
      </c>
      <c r="C1954" t="s">
        <v>12</v>
      </c>
      <c r="D1954">
        <v>352</v>
      </c>
      <c r="E1954" t="s">
        <v>53</v>
      </c>
      <c r="F1954" t="s">
        <v>54</v>
      </c>
      <c r="G1954" t="s">
        <v>36</v>
      </c>
      <c r="H1954">
        <v>5.4377775466296963E-2</v>
      </c>
      <c r="I1954">
        <v>3</v>
      </c>
      <c r="J1954" t="s">
        <v>16</v>
      </c>
      <c r="K1954" s="59" t="s">
        <v>4376</v>
      </c>
    </row>
    <row r="1955" spans="1:11" x14ac:dyDescent="0.2">
      <c r="A1955" t="s">
        <v>1994</v>
      </c>
      <c r="B1955">
        <v>2023</v>
      </c>
      <c r="C1955" t="s">
        <v>19</v>
      </c>
      <c r="D1955">
        <v>123</v>
      </c>
      <c r="E1955" t="s">
        <v>20</v>
      </c>
      <c r="F1955" t="s">
        <v>21</v>
      </c>
      <c r="G1955" t="s">
        <v>15</v>
      </c>
      <c r="H1955">
        <v>0.38200307877548229</v>
      </c>
      <c r="I1955">
        <v>3</v>
      </c>
      <c r="J1955" t="s">
        <v>23</v>
      </c>
      <c r="K1955" s="59" t="s">
        <v>17</v>
      </c>
    </row>
    <row r="1956" spans="1:11" x14ac:dyDescent="0.2">
      <c r="A1956" t="s">
        <v>1995</v>
      </c>
      <c r="B1956">
        <v>2023</v>
      </c>
      <c r="C1956" t="s">
        <v>33</v>
      </c>
      <c r="D1956">
        <v>71</v>
      </c>
      <c r="E1956" t="s">
        <v>53</v>
      </c>
      <c r="F1956" t="s">
        <v>54</v>
      </c>
      <c r="G1956" t="s">
        <v>15</v>
      </c>
      <c r="H1956">
        <v>-1.0325061672578271</v>
      </c>
      <c r="I1956">
        <v>3</v>
      </c>
      <c r="J1956" t="s">
        <v>16</v>
      </c>
      <c r="K1956" s="59" t="s">
        <v>4376</v>
      </c>
    </row>
    <row r="1957" spans="1:11" x14ac:dyDescent="0.2">
      <c r="A1957" t="s">
        <v>1996</v>
      </c>
      <c r="B1957">
        <v>2021</v>
      </c>
      <c r="C1957" t="s">
        <v>33</v>
      </c>
      <c r="D1957">
        <v>320</v>
      </c>
      <c r="E1957" t="s">
        <v>38</v>
      </c>
      <c r="F1957" t="s">
        <v>39</v>
      </c>
      <c r="G1957" t="s">
        <v>15</v>
      </c>
      <c r="H1957">
        <v>0.6155305486394721</v>
      </c>
      <c r="I1957">
        <v>3</v>
      </c>
      <c r="J1957" t="s">
        <v>16</v>
      </c>
      <c r="K1957" s="59" t="s">
        <v>17</v>
      </c>
    </row>
    <row r="1958" spans="1:11" x14ac:dyDescent="0.2">
      <c r="A1958" t="s">
        <v>1997</v>
      </c>
      <c r="B1958">
        <v>2023</v>
      </c>
      <c r="C1958" t="s">
        <v>12</v>
      </c>
      <c r="D1958">
        <v>393</v>
      </c>
      <c r="E1958" t="s">
        <v>38</v>
      </c>
      <c r="F1958" t="s">
        <v>39</v>
      </c>
      <c r="G1958" t="s">
        <v>15</v>
      </c>
      <c r="H1958">
        <v>-5.0426212774462454E-3</v>
      </c>
      <c r="I1958">
        <v>3</v>
      </c>
      <c r="J1958" t="s">
        <v>16</v>
      </c>
      <c r="K1958" s="59" t="s">
        <v>4376</v>
      </c>
    </row>
    <row r="1959" spans="1:11" x14ac:dyDescent="0.2">
      <c r="A1959" t="s">
        <v>1998</v>
      </c>
      <c r="B1959">
        <v>2023</v>
      </c>
      <c r="C1959" t="s">
        <v>33</v>
      </c>
      <c r="D1959">
        <v>70</v>
      </c>
      <c r="E1959" t="s">
        <v>53</v>
      </c>
      <c r="F1959" t="s">
        <v>54</v>
      </c>
      <c r="G1959" t="s">
        <v>15</v>
      </c>
      <c r="H1959">
        <v>-1.068629387250613</v>
      </c>
      <c r="I1959">
        <v>3</v>
      </c>
      <c r="J1959" t="s">
        <v>16</v>
      </c>
      <c r="K1959" s="59" t="s">
        <v>4376</v>
      </c>
    </row>
    <row r="1960" spans="1:11" x14ac:dyDescent="0.2">
      <c r="A1960" t="s">
        <v>1999</v>
      </c>
      <c r="B1960">
        <v>2024</v>
      </c>
      <c r="C1960" t="s">
        <v>33</v>
      </c>
      <c r="D1960">
        <v>228</v>
      </c>
      <c r="E1960" t="s">
        <v>20</v>
      </c>
      <c r="F1960" t="s">
        <v>21</v>
      </c>
      <c r="G1960" t="s">
        <v>57</v>
      </c>
      <c r="H1960">
        <v>-0.76118418449262693</v>
      </c>
      <c r="I1960">
        <v>3</v>
      </c>
      <c r="J1960" t="s">
        <v>23</v>
      </c>
      <c r="K1960" s="59" t="s">
        <v>17</v>
      </c>
    </row>
    <row r="1961" spans="1:11" x14ac:dyDescent="0.2">
      <c r="A1961" t="s">
        <v>2000</v>
      </c>
      <c r="B1961">
        <v>2023</v>
      </c>
      <c r="C1961" t="s">
        <v>12</v>
      </c>
      <c r="D1961">
        <v>393</v>
      </c>
      <c r="E1961" t="s">
        <v>38</v>
      </c>
      <c r="F1961" t="s">
        <v>39</v>
      </c>
      <c r="G1961" t="s">
        <v>15</v>
      </c>
      <c r="H1961">
        <v>-5.0426212774462454E-3</v>
      </c>
      <c r="I1961">
        <v>3</v>
      </c>
      <c r="J1961" t="s">
        <v>16</v>
      </c>
      <c r="K1961" s="59" t="s">
        <v>4376</v>
      </c>
    </row>
    <row r="1962" spans="1:11" x14ac:dyDescent="0.2">
      <c r="A1962" t="s">
        <v>2001</v>
      </c>
      <c r="B1962">
        <v>2021</v>
      </c>
      <c r="C1962" t="s">
        <v>12</v>
      </c>
      <c r="D1962">
        <v>311</v>
      </c>
      <c r="E1962" t="s">
        <v>38</v>
      </c>
      <c r="F1962" t="s">
        <v>39</v>
      </c>
      <c r="G1962" t="s">
        <v>15</v>
      </c>
      <c r="H1962">
        <v>0.60221472720671299</v>
      </c>
      <c r="I1962">
        <v>3</v>
      </c>
      <c r="J1962" t="s">
        <v>23</v>
      </c>
      <c r="K1962" s="59" t="s">
        <v>17</v>
      </c>
    </row>
    <row r="1963" spans="1:11" x14ac:dyDescent="0.2">
      <c r="A1963" t="s">
        <v>2002</v>
      </c>
      <c r="B1963">
        <v>2022</v>
      </c>
      <c r="C1963" t="s">
        <v>33</v>
      </c>
      <c r="D1963">
        <v>352</v>
      </c>
      <c r="E1963" t="s">
        <v>53</v>
      </c>
      <c r="F1963" t="s">
        <v>54</v>
      </c>
      <c r="G1963" t="s">
        <v>36</v>
      </c>
      <c r="H1963">
        <v>5.4377775466296963E-2</v>
      </c>
      <c r="I1963">
        <v>3</v>
      </c>
      <c r="J1963" t="s">
        <v>16</v>
      </c>
      <c r="K1963" s="59" t="s">
        <v>4376</v>
      </c>
    </row>
    <row r="1964" spans="1:11" x14ac:dyDescent="0.2">
      <c r="A1964" t="s">
        <v>2003</v>
      </c>
      <c r="B1964">
        <v>2022</v>
      </c>
      <c r="C1964" t="s">
        <v>19</v>
      </c>
      <c r="D1964">
        <v>352</v>
      </c>
      <c r="E1964" t="s">
        <v>53</v>
      </c>
      <c r="F1964" t="s">
        <v>54</v>
      </c>
      <c r="G1964" t="s">
        <v>36</v>
      </c>
      <c r="H1964">
        <v>5.4377775466296963E-2</v>
      </c>
      <c r="I1964">
        <v>3</v>
      </c>
      <c r="J1964" t="s">
        <v>16</v>
      </c>
      <c r="K1964" s="59" t="s">
        <v>17</v>
      </c>
    </row>
    <row r="1965" spans="1:11" x14ac:dyDescent="0.2">
      <c r="A1965" t="s">
        <v>2004</v>
      </c>
      <c r="B1965">
        <v>2020</v>
      </c>
      <c r="C1965" t="s">
        <v>19</v>
      </c>
      <c r="D1965">
        <v>207</v>
      </c>
      <c r="E1965" t="s">
        <v>13</v>
      </c>
      <c r="F1965" t="s">
        <v>14</v>
      </c>
      <c r="G1965" t="s">
        <v>34</v>
      </c>
      <c r="H1965">
        <v>1.8437823038428991</v>
      </c>
      <c r="I1965">
        <v>4</v>
      </c>
      <c r="J1965" t="s">
        <v>16</v>
      </c>
      <c r="K1965" s="59" t="s">
        <v>23</v>
      </c>
    </row>
    <row r="1966" spans="1:11" x14ac:dyDescent="0.2">
      <c r="A1966" t="s">
        <v>2005</v>
      </c>
      <c r="B1966">
        <v>2022</v>
      </c>
      <c r="C1966" t="s">
        <v>12</v>
      </c>
      <c r="D1966">
        <v>352</v>
      </c>
      <c r="E1966" t="s">
        <v>53</v>
      </c>
      <c r="F1966" t="s">
        <v>54</v>
      </c>
      <c r="G1966" t="s">
        <v>36</v>
      </c>
      <c r="H1966">
        <v>5.4377775466296963E-2</v>
      </c>
      <c r="I1966">
        <v>3</v>
      </c>
      <c r="J1966" t="s">
        <v>16</v>
      </c>
      <c r="K1966" s="59" t="s">
        <v>16</v>
      </c>
    </row>
    <row r="1967" spans="1:11" x14ac:dyDescent="0.2">
      <c r="A1967" t="s">
        <v>2006</v>
      </c>
      <c r="B1967">
        <v>2022</v>
      </c>
      <c r="C1967" t="s">
        <v>12</v>
      </c>
      <c r="D1967">
        <v>352</v>
      </c>
      <c r="E1967" t="s">
        <v>53</v>
      </c>
      <c r="F1967" t="s">
        <v>54</v>
      </c>
      <c r="G1967" t="s">
        <v>36</v>
      </c>
      <c r="H1967">
        <v>5.4377775466296963E-2</v>
      </c>
      <c r="I1967">
        <v>3</v>
      </c>
      <c r="J1967" t="s">
        <v>16</v>
      </c>
      <c r="K1967" s="59" t="s">
        <v>17</v>
      </c>
    </row>
    <row r="1968" spans="1:11" x14ac:dyDescent="0.2">
      <c r="A1968" t="s">
        <v>2007</v>
      </c>
      <c r="B1968">
        <v>2021</v>
      </c>
      <c r="C1968" t="s">
        <v>33</v>
      </c>
      <c r="D1968">
        <v>398</v>
      </c>
      <c r="E1968" t="s">
        <v>29</v>
      </c>
      <c r="F1968" t="s">
        <v>30</v>
      </c>
      <c r="G1968" t="s">
        <v>15</v>
      </c>
      <c r="H1968">
        <v>0.43743819565275671</v>
      </c>
      <c r="I1968">
        <v>4</v>
      </c>
      <c r="J1968" t="s">
        <v>23</v>
      </c>
      <c r="K1968" s="59" t="s">
        <v>4376</v>
      </c>
    </row>
    <row r="1969" spans="1:11" x14ac:dyDescent="0.2">
      <c r="A1969" t="s">
        <v>2008</v>
      </c>
      <c r="B1969">
        <v>2021</v>
      </c>
      <c r="C1969" t="s">
        <v>33</v>
      </c>
      <c r="D1969">
        <v>310</v>
      </c>
      <c r="E1969" t="s">
        <v>29</v>
      </c>
      <c r="F1969" t="s">
        <v>30</v>
      </c>
      <c r="G1969" t="s">
        <v>15</v>
      </c>
      <c r="H1969">
        <v>0.53094834150343062</v>
      </c>
      <c r="I1969">
        <v>4</v>
      </c>
      <c r="J1969" t="s">
        <v>16</v>
      </c>
      <c r="K1969" s="59" t="s">
        <v>4376</v>
      </c>
    </row>
    <row r="1970" spans="1:11" x14ac:dyDescent="0.2">
      <c r="A1970" t="s">
        <v>2009</v>
      </c>
      <c r="B1970">
        <v>2022</v>
      </c>
      <c r="C1970" t="s">
        <v>12</v>
      </c>
      <c r="D1970">
        <v>352</v>
      </c>
      <c r="E1970" t="s">
        <v>53</v>
      </c>
      <c r="F1970" t="s">
        <v>54</v>
      </c>
      <c r="G1970" t="s">
        <v>36</v>
      </c>
      <c r="H1970">
        <v>5.4377775466296963E-2</v>
      </c>
      <c r="I1970">
        <v>3</v>
      </c>
      <c r="J1970" t="s">
        <v>16</v>
      </c>
      <c r="K1970" s="59" t="s">
        <v>17</v>
      </c>
    </row>
    <row r="1971" spans="1:11" x14ac:dyDescent="0.2">
      <c r="A1971" t="s">
        <v>2010</v>
      </c>
      <c r="B1971">
        <v>2021</v>
      </c>
      <c r="C1971" t="s">
        <v>19</v>
      </c>
      <c r="D1971">
        <v>212</v>
      </c>
      <c r="E1971" t="s">
        <v>20</v>
      </c>
      <c r="F1971" t="s">
        <v>21</v>
      </c>
      <c r="G1971" t="s">
        <v>48</v>
      </c>
      <c r="H1971">
        <v>0.1593812646823688</v>
      </c>
      <c r="I1971">
        <v>3</v>
      </c>
      <c r="J1971" t="s">
        <v>16</v>
      </c>
      <c r="K1971" s="59" t="s">
        <v>16</v>
      </c>
    </row>
    <row r="1972" spans="1:11" x14ac:dyDescent="0.2">
      <c r="A1972" t="s">
        <v>2011</v>
      </c>
      <c r="B1972">
        <v>2023</v>
      </c>
      <c r="C1972" t="s">
        <v>33</v>
      </c>
      <c r="D1972">
        <v>71</v>
      </c>
      <c r="E1972" t="s">
        <v>53</v>
      </c>
      <c r="F1972" t="s">
        <v>54</v>
      </c>
      <c r="G1972" t="s">
        <v>15</v>
      </c>
      <c r="H1972">
        <v>-1.0325061672578271</v>
      </c>
      <c r="I1972">
        <v>3</v>
      </c>
      <c r="J1972" t="s">
        <v>16</v>
      </c>
      <c r="K1972" s="59" t="s">
        <v>4376</v>
      </c>
    </row>
    <row r="1973" spans="1:11" x14ac:dyDescent="0.2">
      <c r="A1973" t="s">
        <v>2012</v>
      </c>
      <c r="B1973">
        <v>2024</v>
      </c>
      <c r="C1973" t="s">
        <v>33</v>
      </c>
      <c r="D1973">
        <v>82</v>
      </c>
      <c r="E1973" t="s">
        <v>20</v>
      </c>
      <c r="F1973" t="s">
        <v>21</v>
      </c>
      <c r="G1973" t="s">
        <v>48</v>
      </c>
      <c r="H1973">
        <v>-0.5789082655762593</v>
      </c>
      <c r="I1973">
        <v>3</v>
      </c>
      <c r="J1973" t="s">
        <v>23</v>
      </c>
      <c r="K1973" s="59" t="s">
        <v>17</v>
      </c>
    </row>
    <row r="1974" spans="1:11" x14ac:dyDescent="0.2">
      <c r="A1974" t="s">
        <v>2013</v>
      </c>
      <c r="B1974">
        <v>2022</v>
      </c>
      <c r="C1974" t="s">
        <v>19</v>
      </c>
      <c r="D1974">
        <v>353</v>
      </c>
      <c r="E1974" t="s">
        <v>53</v>
      </c>
      <c r="F1974" t="s">
        <v>54</v>
      </c>
      <c r="G1974" t="s">
        <v>15</v>
      </c>
      <c r="H1974">
        <v>0.46058692577733279</v>
      </c>
      <c r="I1974">
        <v>3</v>
      </c>
      <c r="J1974" t="s">
        <v>16</v>
      </c>
      <c r="K1974" s="59" t="s">
        <v>23</v>
      </c>
    </row>
    <row r="1975" spans="1:11" x14ac:dyDescent="0.2">
      <c r="A1975" t="s">
        <v>2014</v>
      </c>
      <c r="B1975">
        <v>2022</v>
      </c>
      <c r="C1975" t="s">
        <v>19</v>
      </c>
      <c r="D1975">
        <v>353</v>
      </c>
      <c r="E1975" t="s">
        <v>53</v>
      </c>
      <c r="F1975" t="s">
        <v>54</v>
      </c>
      <c r="G1975" t="s">
        <v>15</v>
      </c>
      <c r="H1975">
        <v>0.46058692577733279</v>
      </c>
      <c r="I1975">
        <v>3</v>
      </c>
      <c r="J1975" t="s">
        <v>16</v>
      </c>
      <c r="K1975" s="59" t="s">
        <v>16</v>
      </c>
    </row>
    <row r="1976" spans="1:11" x14ac:dyDescent="0.2">
      <c r="A1976" t="s">
        <v>2015</v>
      </c>
      <c r="B1976">
        <v>2022</v>
      </c>
      <c r="C1976" t="s">
        <v>19</v>
      </c>
      <c r="D1976">
        <v>206</v>
      </c>
      <c r="E1976" t="s">
        <v>20</v>
      </c>
      <c r="F1976" t="s">
        <v>21</v>
      </c>
      <c r="G1976" t="s">
        <v>48</v>
      </c>
      <c r="H1976">
        <v>-0.47861679403510621</v>
      </c>
      <c r="I1976">
        <v>3</v>
      </c>
      <c r="J1976" t="s">
        <v>23</v>
      </c>
      <c r="K1976" s="59" t="s">
        <v>17</v>
      </c>
    </row>
    <row r="1977" spans="1:11" x14ac:dyDescent="0.2">
      <c r="A1977" t="s">
        <v>2016</v>
      </c>
      <c r="B1977">
        <v>2022</v>
      </c>
      <c r="C1977" t="s">
        <v>19</v>
      </c>
      <c r="D1977">
        <v>498</v>
      </c>
      <c r="E1977" t="s">
        <v>20</v>
      </c>
      <c r="F1977" t="s">
        <v>21</v>
      </c>
      <c r="G1977" t="s">
        <v>15</v>
      </c>
      <c r="H1977">
        <v>0.4419637472850288</v>
      </c>
      <c r="I1977">
        <v>3</v>
      </c>
      <c r="J1977" t="s">
        <v>23</v>
      </c>
      <c r="K1977" s="59" t="s">
        <v>17</v>
      </c>
    </row>
    <row r="1978" spans="1:11" x14ac:dyDescent="0.2">
      <c r="A1978" t="s">
        <v>2017</v>
      </c>
      <c r="B1978">
        <v>2020</v>
      </c>
      <c r="C1978" t="s">
        <v>19</v>
      </c>
      <c r="D1978">
        <v>92</v>
      </c>
      <c r="E1978" t="s">
        <v>25</v>
      </c>
      <c r="F1978" t="s">
        <v>26</v>
      </c>
      <c r="G1978" t="s">
        <v>15</v>
      </c>
      <c r="H1978">
        <v>0.66653080067873416</v>
      </c>
      <c r="I1978">
        <v>2</v>
      </c>
      <c r="J1978" t="s">
        <v>16</v>
      </c>
      <c r="K1978" s="59" t="s">
        <v>23</v>
      </c>
    </row>
    <row r="1979" spans="1:11" x14ac:dyDescent="0.2">
      <c r="A1979" t="s">
        <v>2018</v>
      </c>
      <c r="B1979">
        <v>2020</v>
      </c>
      <c r="C1979" t="s">
        <v>19</v>
      </c>
      <c r="D1979">
        <v>149</v>
      </c>
      <c r="E1979" t="s">
        <v>20</v>
      </c>
      <c r="F1979" t="s">
        <v>21</v>
      </c>
      <c r="G1979" t="s">
        <v>34</v>
      </c>
      <c r="H1979">
        <v>0.43970450489572199</v>
      </c>
      <c r="I1979">
        <v>3</v>
      </c>
      <c r="J1979" t="s">
        <v>16</v>
      </c>
      <c r="K1979" s="59" t="s">
        <v>23</v>
      </c>
    </row>
    <row r="1980" spans="1:11" x14ac:dyDescent="0.2">
      <c r="A1980" t="s">
        <v>2019</v>
      </c>
      <c r="B1980">
        <v>2023</v>
      </c>
      <c r="C1980" t="s">
        <v>33</v>
      </c>
      <c r="D1980">
        <v>49</v>
      </c>
      <c r="E1980" t="s">
        <v>20</v>
      </c>
      <c r="F1980" t="s">
        <v>21</v>
      </c>
      <c r="G1980" t="s">
        <v>167</v>
      </c>
      <c r="H1980">
        <v>0.24728791248659579</v>
      </c>
      <c r="I1980">
        <v>3</v>
      </c>
      <c r="J1980" t="s">
        <v>16</v>
      </c>
      <c r="K1980" s="59" t="s">
        <v>4376</v>
      </c>
    </row>
    <row r="1981" spans="1:11" x14ac:dyDescent="0.2">
      <c r="A1981" t="s">
        <v>2020</v>
      </c>
      <c r="B1981">
        <v>2022</v>
      </c>
      <c r="C1981" t="s">
        <v>19</v>
      </c>
      <c r="D1981">
        <v>352</v>
      </c>
      <c r="E1981" t="s">
        <v>53</v>
      </c>
      <c r="F1981" t="s">
        <v>54</v>
      </c>
      <c r="G1981" t="s">
        <v>36</v>
      </c>
      <c r="H1981">
        <v>5.4377775466296963E-2</v>
      </c>
      <c r="I1981">
        <v>3</v>
      </c>
      <c r="J1981" t="s">
        <v>16</v>
      </c>
      <c r="K1981" s="59" t="s">
        <v>23</v>
      </c>
    </row>
    <row r="1982" spans="1:11" x14ac:dyDescent="0.2">
      <c r="A1982" t="s">
        <v>2021</v>
      </c>
      <c r="B1982">
        <v>2022</v>
      </c>
      <c r="C1982" t="s">
        <v>19</v>
      </c>
      <c r="D1982">
        <v>352</v>
      </c>
      <c r="E1982" t="s">
        <v>53</v>
      </c>
      <c r="F1982" t="s">
        <v>54</v>
      </c>
      <c r="G1982" t="s">
        <v>36</v>
      </c>
      <c r="H1982">
        <v>5.4377775466296963E-2</v>
      </c>
      <c r="I1982">
        <v>3</v>
      </c>
      <c r="J1982" t="s">
        <v>16</v>
      </c>
      <c r="K1982" s="59" t="s">
        <v>17</v>
      </c>
    </row>
    <row r="1983" spans="1:11" x14ac:dyDescent="0.2">
      <c r="A1983" t="s">
        <v>2022</v>
      </c>
      <c r="B1983">
        <v>2023</v>
      </c>
      <c r="C1983" t="s">
        <v>12</v>
      </c>
      <c r="D1983">
        <v>395</v>
      </c>
      <c r="E1983" t="s">
        <v>38</v>
      </c>
      <c r="F1983" t="s">
        <v>39</v>
      </c>
      <c r="G1983" t="s">
        <v>15</v>
      </c>
      <c r="H1983">
        <v>1.173666381899163E-3</v>
      </c>
      <c r="I1983">
        <v>3</v>
      </c>
      <c r="J1983" t="s">
        <v>16</v>
      </c>
      <c r="K1983" s="59" t="s">
        <v>4376</v>
      </c>
    </row>
    <row r="1984" spans="1:11" x14ac:dyDescent="0.2">
      <c r="A1984" t="s">
        <v>2023</v>
      </c>
      <c r="B1984">
        <v>2021</v>
      </c>
      <c r="C1984" t="s">
        <v>33</v>
      </c>
      <c r="D1984">
        <v>320</v>
      </c>
      <c r="E1984" t="s">
        <v>38</v>
      </c>
      <c r="F1984" t="s">
        <v>39</v>
      </c>
      <c r="G1984" t="s">
        <v>15</v>
      </c>
      <c r="H1984">
        <v>0.6155305486394721</v>
      </c>
      <c r="I1984">
        <v>3</v>
      </c>
      <c r="J1984" t="s">
        <v>16</v>
      </c>
      <c r="K1984" s="59" t="s">
        <v>4376</v>
      </c>
    </row>
    <row r="1985" spans="1:11" x14ac:dyDescent="0.2">
      <c r="A1985" t="s">
        <v>2024</v>
      </c>
      <c r="B1985">
        <v>2020</v>
      </c>
      <c r="C1985" t="s">
        <v>12</v>
      </c>
      <c r="D1985">
        <v>305</v>
      </c>
      <c r="E1985" t="s">
        <v>13</v>
      </c>
      <c r="F1985" t="s">
        <v>14</v>
      </c>
      <c r="G1985" t="s">
        <v>15</v>
      </c>
      <c r="H1985">
        <v>0.9952756685534373</v>
      </c>
      <c r="I1985">
        <v>4</v>
      </c>
      <c r="J1985" t="s">
        <v>23</v>
      </c>
      <c r="K1985" s="59" t="s">
        <v>17</v>
      </c>
    </row>
    <row r="1986" spans="1:11" x14ac:dyDescent="0.2">
      <c r="A1986" t="s">
        <v>2025</v>
      </c>
      <c r="B1986">
        <v>2021</v>
      </c>
      <c r="C1986" t="s">
        <v>12</v>
      </c>
      <c r="D1986">
        <v>367</v>
      </c>
      <c r="E1986" t="s">
        <v>38</v>
      </c>
      <c r="F1986" t="s">
        <v>39</v>
      </c>
      <c r="G1986" t="s">
        <v>15</v>
      </c>
      <c r="H1986">
        <v>0.69029355547504967</v>
      </c>
      <c r="I1986">
        <v>3</v>
      </c>
      <c r="J1986" t="s">
        <v>23</v>
      </c>
      <c r="K1986" s="59" t="s">
        <v>17</v>
      </c>
    </row>
    <row r="1987" spans="1:11" x14ac:dyDescent="0.2">
      <c r="A1987" t="s">
        <v>2026</v>
      </c>
      <c r="B1987">
        <v>2024</v>
      </c>
      <c r="C1987" t="s">
        <v>33</v>
      </c>
      <c r="D1987">
        <v>199</v>
      </c>
      <c r="E1987" t="s">
        <v>29</v>
      </c>
      <c r="F1987" t="s">
        <v>30</v>
      </c>
      <c r="G1987" t="s">
        <v>15</v>
      </c>
      <c r="H1987">
        <v>0.47982781615149722</v>
      </c>
      <c r="I1987">
        <v>4</v>
      </c>
      <c r="J1987" t="s">
        <v>17</v>
      </c>
      <c r="K1987" s="59" t="s">
        <v>16</v>
      </c>
    </row>
    <row r="1988" spans="1:11" x14ac:dyDescent="0.2">
      <c r="A1988" t="s">
        <v>2027</v>
      </c>
      <c r="B1988">
        <v>2021</v>
      </c>
      <c r="C1988" t="s">
        <v>33</v>
      </c>
      <c r="D1988">
        <v>236</v>
      </c>
      <c r="E1988" t="s">
        <v>13</v>
      </c>
      <c r="F1988" t="s">
        <v>14</v>
      </c>
      <c r="G1988" t="s">
        <v>15</v>
      </c>
      <c r="H1988">
        <v>0.37470103989477938</v>
      </c>
      <c r="I1988">
        <v>4</v>
      </c>
      <c r="J1988" t="s">
        <v>23</v>
      </c>
      <c r="K1988" s="59" t="s">
        <v>23</v>
      </c>
    </row>
    <row r="1989" spans="1:11" x14ac:dyDescent="0.2">
      <c r="A1989" t="s">
        <v>2028</v>
      </c>
      <c r="B1989">
        <v>2023</v>
      </c>
      <c r="C1989" t="s">
        <v>19</v>
      </c>
      <c r="D1989">
        <v>467</v>
      </c>
      <c r="E1989" t="s">
        <v>20</v>
      </c>
      <c r="F1989" t="s">
        <v>21</v>
      </c>
      <c r="G1989" t="s">
        <v>15</v>
      </c>
      <c r="H1989">
        <v>1.646688915571618</v>
      </c>
      <c r="I1989">
        <v>3</v>
      </c>
      <c r="J1989" t="s">
        <v>17</v>
      </c>
      <c r="K1989" s="59" t="s">
        <v>17</v>
      </c>
    </row>
    <row r="1990" spans="1:11" x14ac:dyDescent="0.2">
      <c r="A1990" t="s">
        <v>2029</v>
      </c>
      <c r="B1990">
        <v>2024</v>
      </c>
      <c r="C1990" t="s">
        <v>19</v>
      </c>
      <c r="D1990">
        <v>201</v>
      </c>
      <c r="E1990" t="s">
        <v>29</v>
      </c>
      <c r="F1990" t="s">
        <v>30</v>
      </c>
      <c r="G1990" t="s">
        <v>15</v>
      </c>
      <c r="H1990">
        <v>0.48355758874710453</v>
      </c>
      <c r="I1990">
        <v>4</v>
      </c>
      <c r="J1990" t="s">
        <v>17</v>
      </c>
      <c r="K1990" s="59" t="s">
        <v>23</v>
      </c>
    </row>
    <row r="1991" spans="1:11" x14ac:dyDescent="0.2">
      <c r="A1991" t="s">
        <v>2030</v>
      </c>
      <c r="B1991">
        <v>2023</v>
      </c>
      <c r="C1991" t="s">
        <v>33</v>
      </c>
      <c r="D1991">
        <v>70</v>
      </c>
      <c r="E1991" t="s">
        <v>53</v>
      </c>
      <c r="F1991" t="s">
        <v>54</v>
      </c>
      <c r="G1991" t="s">
        <v>15</v>
      </c>
      <c r="H1991">
        <v>-1.068629387250613</v>
      </c>
      <c r="I1991">
        <v>3</v>
      </c>
      <c r="J1991" t="s">
        <v>16</v>
      </c>
      <c r="K1991" s="59" t="s">
        <v>4376</v>
      </c>
    </row>
    <row r="1992" spans="1:11" x14ac:dyDescent="0.2">
      <c r="A1992" t="s">
        <v>2031</v>
      </c>
      <c r="B1992">
        <v>2023</v>
      </c>
      <c r="C1992" t="s">
        <v>19</v>
      </c>
      <c r="D1992">
        <v>147</v>
      </c>
      <c r="E1992" t="s">
        <v>29</v>
      </c>
      <c r="F1992" t="s">
        <v>30</v>
      </c>
      <c r="G1992" t="s">
        <v>15</v>
      </c>
      <c r="H1992">
        <v>-9.9322984110851928E-2</v>
      </c>
      <c r="I1992">
        <v>4</v>
      </c>
      <c r="J1992" t="s">
        <v>23</v>
      </c>
      <c r="K1992" s="59" t="s">
        <v>17</v>
      </c>
    </row>
    <row r="1993" spans="1:11" x14ac:dyDescent="0.2">
      <c r="A1993" t="s">
        <v>2032</v>
      </c>
      <c r="B1993">
        <v>2023</v>
      </c>
      <c r="C1993" t="s">
        <v>12</v>
      </c>
      <c r="D1993">
        <v>395</v>
      </c>
      <c r="E1993" t="s">
        <v>38</v>
      </c>
      <c r="F1993" t="s">
        <v>39</v>
      </c>
      <c r="G1993" t="s">
        <v>15</v>
      </c>
      <c r="H1993">
        <v>1.173666381899163E-3</v>
      </c>
      <c r="I1993">
        <v>3</v>
      </c>
      <c r="J1993" t="s">
        <v>16</v>
      </c>
      <c r="K1993" s="59" t="s">
        <v>4376</v>
      </c>
    </row>
    <row r="1994" spans="1:11" x14ac:dyDescent="0.2">
      <c r="A1994" t="s">
        <v>2033</v>
      </c>
      <c r="B1994">
        <v>2020</v>
      </c>
      <c r="C1994" t="s">
        <v>19</v>
      </c>
      <c r="D1994">
        <v>132</v>
      </c>
      <c r="E1994" t="s">
        <v>20</v>
      </c>
      <c r="F1994" t="s">
        <v>21</v>
      </c>
      <c r="G1994" t="s">
        <v>15</v>
      </c>
      <c r="H1994">
        <v>1.207133472294913</v>
      </c>
      <c r="I1994">
        <v>3</v>
      </c>
      <c r="J1994" t="s">
        <v>17</v>
      </c>
      <c r="K1994" s="59" t="s">
        <v>23</v>
      </c>
    </row>
    <row r="1995" spans="1:11" x14ac:dyDescent="0.2">
      <c r="A1995" t="s">
        <v>2034</v>
      </c>
      <c r="B1995">
        <v>2022</v>
      </c>
      <c r="C1995" t="s">
        <v>33</v>
      </c>
      <c r="D1995">
        <v>74</v>
      </c>
      <c r="E1995" t="s">
        <v>20</v>
      </c>
      <c r="F1995" t="s">
        <v>21</v>
      </c>
      <c r="G1995" t="s">
        <v>15</v>
      </c>
      <c r="H1995">
        <v>0.56285357598522046</v>
      </c>
      <c r="I1995">
        <v>3</v>
      </c>
      <c r="J1995" t="s">
        <v>23</v>
      </c>
      <c r="K1995" s="59" t="s">
        <v>17</v>
      </c>
    </row>
    <row r="1996" spans="1:11" x14ac:dyDescent="0.2">
      <c r="A1996" t="s">
        <v>2035</v>
      </c>
      <c r="B1996">
        <v>2019</v>
      </c>
      <c r="C1996" t="s">
        <v>19</v>
      </c>
      <c r="D1996">
        <v>57</v>
      </c>
      <c r="E1996" t="s">
        <v>20</v>
      </c>
      <c r="F1996" t="s">
        <v>21</v>
      </c>
      <c r="G1996" t="s">
        <v>15</v>
      </c>
      <c r="H1996">
        <v>1.207133472294913</v>
      </c>
      <c r="I1996">
        <v>3</v>
      </c>
      <c r="J1996" t="s">
        <v>16</v>
      </c>
      <c r="K1996" s="59" t="s">
        <v>23</v>
      </c>
    </row>
    <row r="1997" spans="1:11" x14ac:dyDescent="0.2">
      <c r="A1997" t="s">
        <v>2036</v>
      </c>
      <c r="B1997">
        <v>2018</v>
      </c>
      <c r="C1997" t="s">
        <v>19</v>
      </c>
      <c r="D1997">
        <v>119</v>
      </c>
      <c r="E1997" t="s">
        <v>25</v>
      </c>
      <c r="F1997" t="s">
        <v>26</v>
      </c>
      <c r="G1997" t="s">
        <v>15</v>
      </c>
      <c r="H1997">
        <v>1.9197460848798751</v>
      </c>
      <c r="I1997">
        <v>2</v>
      </c>
      <c r="J1997" t="s">
        <v>23</v>
      </c>
      <c r="K1997" s="59" t="s">
        <v>16</v>
      </c>
    </row>
    <row r="1998" spans="1:11" x14ac:dyDescent="0.2">
      <c r="A1998" t="s">
        <v>2037</v>
      </c>
      <c r="B1998">
        <v>2023</v>
      </c>
      <c r="C1998" t="s">
        <v>19</v>
      </c>
      <c r="D1998">
        <v>172</v>
      </c>
      <c r="E1998" t="s">
        <v>20</v>
      </c>
      <c r="F1998" t="s">
        <v>21</v>
      </c>
      <c r="G1998" t="s">
        <v>15</v>
      </c>
      <c r="H1998">
        <v>-0.5981518129203256</v>
      </c>
      <c r="I1998">
        <v>3</v>
      </c>
      <c r="J1998" t="s">
        <v>23</v>
      </c>
      <c r="K1998" s="59" t="s">
        <v>17</v>
      </c>
    </row>
    <row r="1999" spans="1:11" x14ac:dyDescent="0.2">
      <c r="A1999" t="s">
        <v>2038</v>
      </c>
      <c r="B1999">
        <v>2021</v>
      </c>
      <c r="C1999" t="s">
        <v>12</v>
      </c>
      <c r="D1999">
        <v>311</v>
      </c>
      <c r="E1999" t="s">
        <v>38</v>
      </c>
      <c r="F1999" t="s">
        <v>39</v>
      </c>
      <c r="G1999" t="s">
        <v>15</v>
      </c>
      <c r="H1999">
        <v>0.60221472720671299</v>
      </c>
      <c r="I1999">
        <v>3</v>
      </c>
      <c r="J1999" t="s">
        <v>23</v>
      </c>
      <c r="K1999" s="59" t="s">
        <v>23</v>
      </c>
    </row>
    <row r="2000" spans="1:11" x14ac:dyDescent="0.2">
      <c r="A2000" t="s">
        <v>2039</v>
      </c>
      <c r="B2000">
        <v>2023</v>
      </c>
      <c r="C2000" t="s">
        <v>19</v>
      </c>
      <c r="D2000">
        <v>147</v>
      </c>
      <c r="E2000" t="s">
        <v>29</v>
      </c>
      <c r="F2000" t="s">
        <v>30</v>
      </c>
      <c r="G2000" t="s">
        <v>15</v>
      </c>
      <c r="H2000">
        <v>-9.9322984110851928E-2</v>
      </c>
      <c r="I2000">
        <v>4</v>
      </c>
      <c r="J2000" t="s">
        <v>23</v>
      </c>
      <c r="K2000" s="59" t="s">
        <v>17</v>
      </c>
    </row>
    <row r="2001" spans="1:11" x14ac:dyDescent="0.2">
      <c r="A2001" t="s">
        <v>2040</v>
      </c>
      <c r="B2001">
        <v>2019</v>
      </c>
      <c r="C2001" t="s">
        <v>12</v>
      </c>
      <c r="D2001">
        <v>151</v>
      </c>
      <c r="E2001" t="s">
        <v>20</v>
      </c>
      <c r="F2001" t="s">
        <v>21</v>
      </c>
      <c r="G2001" t="s">
        <v>15</v>
      </c>
      <c r="H2001">
        <v>0.43970450489572199</v>
      </c>
      <c r="I2001">
        <v>3</v>
      </c>
      <c r="J2001" t="s">
        <v>23</v>
      </c>
      <c r="K2001" s="59" t="s">
        <v>17</v>
      </c>
    </row>
    <row r="2002" spans="1:11" x14ac:dyDescent="0.2">
      <c r="A2002" t="s">
        <v>2041</v>
      </c>
      <c r="B2002">
        <v>2021</v>
      </c>
      <c r="C2002" t="s">
        <v>19</v>
      </c>
      <c r="D2002">
        <v>241</v>
      </c>
      <c r="E2002" t="s">
        <v>13</v>
      </c>
      <c r="F2002" t="s">
        <v>14</v>
      </c>
      <c r="G2002" t="s">
        <v>15</v>
      </c>
      <c r="H2002">
        <v>0.39271905791209832</v>
      </c>
      <c r="I2002">
        <v>4</v>
      </c>
      <c r="J2002" t="s">
        <v>23</v>
      </c>
      <c r="K2002" s="59" t="s">
        <v>16</v>
      </c>
    </row>
    <row r="2003" spans="1:11" x14ac:dyDescent="0.2">
      <c r="A2003" t="s">
        <v>2042</v>
      </c>
      <c r="B2003">
        <v>2020</v>
      </c>
      <c r="C2003" t="s">
        <v>19</v>
      </c>
      <c r="D2003">
        <v>107</v>
      </c>
      <c r="E2003" t="s">
        <v>25</v>
      </c>
      <c r="F2003" t="s">
        <v>26</v>
      </c>
      <c r="G2003" t="s">
        <v>15</v>
      </c>
      <c r="H2003">
        <v>-0.99064374408861655</v>
      </c>
      <c r="I2003">
        <v>2</v>
      </c>
      <c r="J2003" t="s">
        <v>23</v>
      </c>
      <c r="K2003" s="59" t="s">
        <v>23</v>
      </c>
    </row>
    <row r="2004" spans="1:11" x14ac:dyDescent="0.2">
      <c r="A2004" t="s">
        <v>2043</v>
      </c>
      <c r="B2004">
        <v>2018</v>
      </c>
      <c r="C2004" t="s">
        <v>33</v>
      </c>
      <c r="D2004">
        <v>140</v>
      </c>
      <c r="E2004" t="s">
        <v>38</v>
      </c>
      <c r="F2004" t="s">
        <v>39</v>
      </c>
      <c r="G2004" t="s">
        <v>15</v>
      </c>
      <c r="H2004">
        <v>1.0935285630422369</v>
      </c>
      <c r="I2004">
        <v>3</v>
      </c>
      <c r="J2004" t="s">
        <v>17</v>
      </c>
      <c r="K2004" s="59" t="s">
        <v>17</v>
      </c>
    </row>
    <row r="2005" spans="1:11" x14ac:dyDescent="0.2">
      <c r="A2005" t="s">
        <v>2044</v>
      </c>
      <c r="B2005">
        <v>2024</v>
      </c>
      <c r="C2005" t="s">
        <v>12</v>
      </c>
      <c r="D2005">
        <v>125</v>
      </c>
      <c r="E2005" t="s">
        <v>38</v>
      </c>
      <c r="F2005" t="s">
        <v>39</v>
      </c>
      <c r="G2005" t="s">
        <v>15</v>
      </c>
      <c r="H2005">
        <v>0.80168146858277878</v>
      </c>
      <c r="I2005">
        <v>3</v>
      </c>
      <c r="J2005" t="s">
        <v>23</v>
      </c>
      <c r="K2005" s="59" t="s">
        <v>4376</v>
      </c>
    </row>
    <row r="2006" spans="1:11" x14ac:dyDescent="0.2">
      <c r="A2006" t="s">
        <v>2045</v>
      </c>
      <c r="B2006">
        <v>2019</v>
      </c>
      <c r="C2006" t="s">
        <v>19</v>
      </c>
      <c r="D2006">
        <v>85</v>
      </c>
      <c r="E2006" t="s">
        <v>20</v>
      </c>
      <c r="F2006" t="s">
        <v>21</v>
      </c>
      <c r="G2006" t="s">
        <v>15</v>
      </c>
      <c r="H2006">
        <v>0.64722356240672774</v>
      </c>
      <c r="I2006">
        <v>3</v>
      </c>
      <c r="J2006" t="s">
        <v>23</v>
      </c>
      <c r="K2006" s="59" t="s">
        <v>23</v>
      </c>
    </row>
    <row r="2007" spans="1:11" x14ac:dyDescent="0.2">
      <c r="A2007" t="s">
        <v>2046</v>
      </c>
      <c r="B2007">
        <v>2016</v>
      </c>
      <c r="C2007" t="s">
        <v>12</v>
      </c>
      <c r="D2007">
        <v>107</v>
      </c>
      <c r="E2007" t="s">
        <v>53</v>
      </c>
      <c r="F2007" t="s">
        <v>54</v>
      </c>
      <c r="G2007" t="s">
        <v>15</v>
      </c>
      <c r="H2007">
        <v>-2.895383998287675</v>
      </c>
      <c r="I2007">
        <v>3</v>
      </c>
      <c r="J2007" t="s">
        <v>23</v>
      </c>
      <c r="K2007" s="59" t="s">
        <v>17</v>
      </c>
    </row>
    <row r="2008" spans="1:11" x14ac:dyDescent="0.2">
      <c r="A2008" t="s">
        <v>2047</v>
      </c>
      <c r="B2008">
        <v>2024</v>
      </c>
      <c r="C2008" t="s">
        <v>33</v>
      </c>
      <c r="D2008">
        <v>174</v>
      </c>
      <c r="E2008" t="s">
        <v>25</v>
      </c>
      <c r="F2008" t="s">
        <v>26</v>
      </c>
      <c r="G2008" t="s">
        <v>15</v>
      </c>
      <c r="H2008">
        <v>-1.05839795499832</v>
      </c>
      <c r="I2008">
        <v>2</v>
      </c>
      <c r="J2008" t="s">
        <v>16</v>
      </c>
      <c r="K2008" s="59" t="s">
        <v>4376</v>
      </c>
    </row>
    <row r="2009" spans="1:11" x14ac:dyDescent="0.2">
      <c r="A2009" t="s">
        <v>2048</v>
      </c>
      <c r="B2009">
        <v>2024</v>
      </c>
      <c r="C2009" t="s">
        <v>33</v>
      </c>
      <c r="D2009">
        <v>124</v>
      </c>
      <c r="E2009" t="s">
        <v>38</v>
      </c>
      <c r="F2009" t="s">
        <v>39</v>
      </c>
      <c r="G2009" t="s">
        <v>15</v>
      </c>
      <c r="H2009">
        <v>0.80168146858277878</v>
      </c>
      <c r="I2009">
        <v>3</v>
      </c>
      <c r="J2009" t="s">
        <v>17</v>
      </c>
      <c r="K2009" s="59" t="s">
        <v>4376</v>
      </c>
    </row>
    <row r="2010" spans="1:11" x14ac:dyDescent="0.2">
      <c r="A2010" t="s">
        <v>2049</v>
      </c>
      <c r="B2010">
        <v>2023</v>
      </c>
      <c r="C2010" t="s">
        <v>33</v>
      </c>
      <c r="D2010">
        <v>70</v>
      </c>
      <c r="E2010" t="s">
        <v>53</v>
      </c>
      <c r="F2010" t="s">
        <v>54</v>
      </c>
      <c r="G2010" t="s">
        <v>15</v>
      </c>
      <c r="H2010">
        <v>-1.068629387250613</v>
      </c>
      <c r="I2010">
        <v>3</v>
      </c>
      <c r="J2010" t="s">
        <v>16</v>
      </c>
      <c r="K2010" s="59" t="s">
        <v>4376</v>
      </c>
    </row>
    <row r="2011" spans="1:11" x14ac:dyDescent="0.2">
      <c r="A2011" t="s">
        <v>2050</v>
      </c>
      <c r="B2011">
        <v>2024</v>
      </c>
      <c r="C2011" t="s">
        <v>33</v>
      </c>
      <c r="D2011">
        <v>124</v>
      </c>
      <c r="E2011" t="s">
        <v>38</v>
      </c>
      <c r="F2011" t="s">
        <v>39</v>
      </c>
      <c r="G2011" t="s">
        <v>15</v>
      </c>
      <c r="H2011">
        <v>0.80168146858277878</v>
      </c>
      <c r="I2011">
        <v>3</v>
      </c>
      <c r="J2011" t="s">
        <v>17</v>
      </c>
      <c r="K2011" s="59" t="s">
        <v>16</v>
      </c>
    </row>
    <row r="2012" spans="1:11" x14ac:dyDescent="0.2">
      <c r="A2012" t="s">
        <v>2051</v>
      </c>
      <c r="B2012">
        <v>2020</v>
      </c>
      <c r="C2012" t="s">
        <v>12</v>
      </c>
      <c r="D2012">
        <v>66</v>
      </c>
      <c r="E2012" t="s">
        <v>29</v>
      </c>
      <c r="F2012" t="s">
        <v>30</v>
      </c>
      <c r="G2012" t="s">
        <v>15</v>
      </c>
      <c r="H2012">
        <v>0.47225171556667001</v>
      </c>
      <c r="I2012">
        <v>4</v>
      </c>
      <c r="J2012" t="s">
        <v>23</v>
      </c>
      <c r="K2012" s="59" t="s">
        <v>17</v>
      </c>
    </row>
    <row r="2013" spans="1:11" x14ac:dyDescent="0.2">
      <c r="A2013" t="s">
        <v>2052</v>
      </c>
      <c r="B2013">
        <v>2019</v>
      </c>
      <c r="C2013" t="s">
        <v>12</v>
      </c>
      <c r="D2013">
        <v>71</v>
      </c>
      <c r="E2013" t="s">
        <v>25</v>
      </c>
      <c r="F2013" t="s">
        <v>26</v>
      </c>
      <c r="G2013" t="s">
        <v>15</v>
      </c>
      <c r="H2013">
        <v>-0.78015240505470107</v>
      </c>
      <c r="I2013">
        <v>2</v>
      </c>
      <c r="J2013" t="s">
        <v>23</v>
      </c>
      <c r="K2013" s="59" t="s">
        <v>23</v>
      </c>
    </row>
    <row r="2014" spans="1:11" x14ac:dyDescent="0.2">
      <c r="A2014" t="s">
        <v>2053</v>
      </c>
      <c r="B2014">
        <v>2022</v>
      </c>
      <c r="C2014" t="s">
        <v>33</v>
      </c>
      <c r="D2014">
        <v>96</v>
      </c>
      <c r="E2014" t="s">
        <v>20</v>
      </c>
      <c r="F2014" t="s">
        <v>21</v>
      </c>
      <c r="G2014" t="s">
        <v>48</v>
      </c>
      <c r="H2014">
        <v>-0.26263004116157262</v>
      </c>
      <c r="I2014">
        <v>3</v>
      </c>
      <c r="J2014" t="s">
        <v>17</v>
      </c>
      <c r="K2014" s="59" t="s">
        <v>4376</v>
      </c>
    </row>
    <row r="2015" spans="1:11" x14ac:dyDescent="0.2">
      <c r="A2015" t="s">
        <v>2054</v>
      </c>
      <c r="B2015">
        <v>2021</v>
      </c>
      <c r="C2015" t="s">
        <v>33</v>
      </c>
      <c r="D2015">
        <v>398</v>
      </c>
      <c r="E2015" t="s">
        <v>29</v>
      </c>
      <c r="F2015" t="s">
        <v>30</v>
      </c>
      <c r="G2015" t="s">
        <v>15</v>
      </c>
      <c r="H2015">
        <v>0.43743819565275671</v>
      </c>
      <c r="I2015">
        <v>4</v>
      </c>
      <c r="J2015" t="s">
        <v>23</v>
      </c>
      <c r="K2015" s="59" t="s">
        <v>4376</v>
      </c>
    </row>
    <row r="2016" spans="1:11" x14ac:dyDescent="0.2">
      <c r="A2016" t="s">
        <v>2055</v>
      </c>
      <c r="B2016">
        <v>2024</v>
      </c>
      <c r="C2016" t="s">
        <v>19</v>
      </c>
      <c r="D2016">
        <v>176</v>
      </c>
      <c r="E2016" t="s">
        <v>29</v>
      </c>
      <c r="F2016" t="s">
        <v>30</v>
      </c>
      <c r="G2016" t="s">
        <v>15</v>
      </c>
      <c r="H2016">
        <v>0.38200307877548229</v>
      </c>
      <c r="I2016">
        <v>4</v>
      </c>
      <c r="J2016" t="s">
        <v>17</v>
      </c>
      <c r="K2016" s="59" t="s">
        <v>17</v>
      </c>
    </row>
    <row r="2017" spans="1:11" x14ac:dyDescent="0.2">
      <c r="A2017" t="s">
        <v>2056</v>
      </c>
      <c r="B2017">
        <v>2017</v>
      </c>
      <c r="C2017" t="s">
        <v>19</v>
      </c>
      <c r="D2017">
        <v>34</v>
      </c>
      <c r="E2017" t="s">
        <v>53</v>
      </c>
      <c r="F2017" t="s">
        <v>54</v>
      </c>
      <c r="G2017" t="s">
        <v>36</v>
      </c>
      <c r="H2017">
        <v>-4.3260938724824429</v>
      </c>
      <c r="I2017">
        <v>3</v>
      </c>
      <c r="J2017" t="s">
        <v>17</v>
      </c>
      <c r="K2017" s="59" t="s">
        <v>23</v>
      </c>
    </row>
    <row r="2018" spans="1:11" x14ac:dyDescent="0.2">
      <c r="A2018" t="s">
        <v>2057</v>
      </c>
      <c r="B2018">
        <v>2023</v>
      </c>
      <c r="C2018" t="s">
        <v>19</v>
      </c>
      <c r="D2018">
        <v>147</v>
      </c>
      <c r="E2018" t="s">
        <v>29</v>
      </c>
      <c r="F2018" t="s">
        <v>30</v>
      </c>
      <c r="G2018" t="s">
        <v>15</v>
      </c>
      <c r="H2018">
        <v>-9.9322984110851928E-2</v>
      </c>
      <c r="I2018">
        <v>4</v>
      </c>
      <c r="J2018" t="s">
        <v>23</v>
      </c>
      <c r="K2018" s="59" t="s">
        <v>17</v>
      </c>
    </row>
    <row r="2019" spans="1:11" x14ac:dyDescent="0.2">
      <c r="A2019" t="s">
        <v>2058</v>
      </c>
      <c r="B2019">
        <v>2023</v>
      </c>
      <c r="C2019" t="s">
        <v>19</v>
      </c>
      <c r="D2019">
        <v>219</v>
      </c>
      <c r="E2019" t="s">
        <v>25</v>
      </c>
      <c r="F2019" t="s">
        <v>26</v>
      </c>
      <c r="G2019" t="s">
        <v>15</v>
      </c>
      <c r="H2019">
        <v>1.173666381899163E-3</v>
      </c>
      <c r="I2019">
        <v>2</v>
      </c>
      <c r="J2019" t="s">
        <v>23</v>
      </c>
      <c r="K2019" s="59" t="s">
        <v>17</v>
      </c>
    </row>
    <row r="2020" spans="1:11" x14ac:dyDescent="0.2">
      <c r="A2020" t="s">
        <v>2059</v>
      </c>
      <c r="B2020">
        <v>2020</v>
      </c>
      <c r="C2020" t="s">
        <v>33</v>
      </c>
      <c r="D2020">
        <v>66</v>
      </c>
      <c r="E2020" t="s">
        <v>29</v>
      </c>
      <c r="F2020" t="s">
        <v>30</v>
      </c>
      <c r="G2020" t="s">
        <v>15</v>
      </c>
      <c r="H2020">
        <v>0.47225171556667001</v>
      </c>
      <c r="I2020">
        <v>4</v>
      </c>
      <c r="J2020" t="s">
        <v>23</v>
      </c>
      <c r="K2020" s="59" t="s">
        <v>16</v>
      </c>
    </row>
    <row r="2021" spans="1:11" x14ac:dyDescent="0.2">
      <c r="A2021" t="s">
        <v>2060</v>
      </c>
      <c r="B2021">
        <v>2021</v>
      </c>
      <c r="C2021" t="s">
        <v>33</v>
      </c>
      <c r="D2021">
        <v>120</v>
      </c>
      <c r="E2021" t="s">
        <v>20</v>
      </c>
      <c r="F2021" t="s">
        <v>21</v>
      </c>
      <c r="G2021" t="s">
        <v>15</v>
      </c>
      <c r="H2021">
        <v>-0.82012654626575676</v>
      </c>
      <c r="I2021">
        <v>3</v>
      </c>
      <c r="J2021" t="s">
        <v>23</v>
      </c>
      <c r="K2021" s="59" t="s">
        <v>4376</v>
      </c>
    </row>
    <row r="2022" spans="1:11" x14ac:dyDescent="0.2">
      <c r="A2022" t="s">
        <v>2061</v>
      </c>
      <c r="B2022">
        <v>2020</v>
      </c>
      <c r="C2022" t="s">
        <v>33</v>
      </c>
      <c r="D2022">
        <v>109</v>
      </c>
      <c r="E2022" t="s">
        <v>38</v>
      </c>
      <c r="F2022" t="s">
        <v>39</v>
      </c>
      <c r="G2022" t="s">
        <v>15</v>
      </c>
      <c r="H2022">
        <v>0.68455088973260669</v>
      </c>
      <c r="I2022">
        <v>3</v>
      </c>
      <c r="J2022" t="s">
        <v>23</v>
      </c>
      <c r="K2022" s="59" t="s">
        <v>16</v>
      </c>
    </row>
    <row r="2023" spans="1:11" x14ac:dyDescent="0.2">
      <c r="A2023" t="s">
        <v>2062</v>
      </c>
      <c r="B2023">
        <v>2024</v>
      </c>
      <c r="C2023" t="s">
        <v>33</v>
      </c>
      <c r="D2023">
        <v>158</v>
      </c>
      <c r="E2023" t="s">
        <v>13</v>
      </c>
      <c r="F2023" t="s">
        <v>14</v>
      </c>
      <c r="G2023" t="s">
        <v>41</v>
      </c>
      <c r="H2023">
        <v>-8.1426320324471585E-2</v>
      </c>
      <c r="I2023">
        <v>4</v>
      </c>
      <c r="J2023" t="s">
        <v>23</v>
      </c>
      <c r="K2023" s="59" t="s">
        <v>4376</v>
      </c>
    </row>
    <row r="2024" spans="1:11" x14ac:dyDescent="0.2">
      <c r="A2024" t="s">
        <v>2063</v>
      </c>
      <c r="B2024">
        <v>2022</v>
      </c>
      <c r="C2024" t="s">
        <v>19</v>
      </c>
      <c r="D2024">
        <v>352</v>
      </c>
      <c r="E2024" t="s">
        <v>53</v>
      </c>
      <c r="F2024" t="s">
        <v>54</v>
      </c>
      <c r="G2024" t="s">
        <v>15</v>
      </c>
      <c r="H2024">
        <v>0.46280219742872031</v>
      </c>
      <c r="I2024">
        <v>3</v>
      </c>
      <c r="J2024" t="s">
        <v>16</v>
      </c>
      <c r="K2024" s="59" t="s">
        <v>17</v>
      </c>
    </row>
    <row r="2025" spans="1:11" x14ac:dyDescent="0.2">
      <c r="A2025" t="s">
        <v>2064</v>
      </c>
      <c r="B2025">
        <v>2023</v>
      </c>
      <c r="C2025" t="s">
        <v>33</v>
      </c>
      <c r="D2025">
        <v>67</v>
      </c>
      <c r="E2025" t="s">
        <v>20</v>
      </c>
      <c r="F2025" t="s">
        <v>21</v>
      </c>
      <c r="G2025" t="s">
        <v>167</v>
      </c>
      <c r="H2025">
        <v>-0.1968197345888941</v>
      </c>
      <c r="I2025">
        <v>3</v>
      </c>
      <c r="J2025" t="s">
        <v>16</v>
      </c>
      <c r="K2025" s="59" t="s">
        <v>4376</v>
      </c>
    </row>
    <row r="2026" spans="1:11" x14ac:dyDescent="0.2">
      <c r="A2026" t="s">
        <v>2065</v>
      </c>
      <c r="B2026">
        <v>2023</v>
      </c>
      <c r="C2026" t="s">
        <v>12</v>
      </c>
      <c r="D2026">
        <v>159</v>
      </c>
      <c r="E2026" t="s">
        <v>25</v>
      </c>
      <c r="F2026" t="s">
        <v>26</v>
      </c>
      <c r="G2026" t="s">
        <v>41</v>
      </c>
      <c r="H2026">
        <v>-0.27187383684368882</v>
      </c>
      <c r="I2026">
        <v>2</v>
      </c>
      <c r="J2026" t="s">
        <v>17</v>
      </c>
      <c r="K2026" s="59" t="s">
        <v>16</v>
      </c>
    </row>
    <row r="2027" spans="1:11" x14ac:dyDescent="0.2">
      <c r="A2027" t="s">
        <v>2066</v>
      </c>
      <c r="B2027">
        <v>2023</v>
      </c>
      <c r="C2027" t="s">
        <v>33</v>
      </c>
      <c r="D2027">
        <v>46</v>
      </c>
      <c r="E2027" t="s">
        <v>20</v>
      </c>
      <c r="F2027" t="s">
        <v>21</v>
      </c>
      <c r="G2027" t="s">
        <v>167</v>
      </c>
      <c r="H2027">
        <v>-0.83775489425324057</v>
      </c>
      <c r="I2027">
        <v>3</v>
      </c>
      <c r="J2027" t="s">
        <v>23</v>
      </c>
      <c r="K2027" s="59" t="s">
        <v>4376</v>
      </c>
    </row>
    <row r="2028" spans="1:11" x14ac:dyDescent="0.2">
      <c r="A2028" t="s">
        <v>2067</v>
      </c>
      <c r="B2028">
        <v>2021</v>
      </c>
      <c r="C2028" t="s">
        <v>19</v>
      </c>
      <c r="D2028">
        <v>237</v>
      </c>
      <c r="E2028" t="s">
        <v>38</v>
      </c>
      <c r="F2028" t="s">
        <v>39</v>
      </c>
      <c r="G2028" t="s">
        <v>15</v>
      </c>
      <c r="H2028">
        <v>0.79275080770806206</v>
      </c>
      <c r="I2028">
        <v>3</v>
      </c>
      <c r="J2028" t="s">
        <v>23</v>
      </c>
      <c r="K2028" s="59" t="s">
        <v>23</v>
      </c>
    </row>
    <row r="2029" spans="1:11" x14ac:dyDescent="0.2">
      <c r="A2029" t="s">
        <v>2068</v>
      </c>
      <c r="B2029">
        <v>2024</v>
      </c>
      <c r="C2029" t="s">
        <v>33</v>
      </c>
      <c r="D2029">
        <v>230</v>
      </c>
      <c r="E2029" t="s">
        <v>25</v>
      </c>
      <c r="F2029" t="s">
        <v>26</v>
      </c>
      <c r="G2029" t="s">
        <v>15</v>
      </c>
      <c r="H2029">
        <v>0.35970225732901118</v>
      </c>
      <c r="I2029">
        <v>2</v>
      </c>
      <c r="J2029" t="s">
        <v>17</v>
      </c>
      <c r="K2029" s="59" t="s">
        <v>4376</v>
      </c>
    </row>
    <row r="2030" spans="1:11" x14ac:dyDescent="0.2">
      <c r="A2030" t="s">
        <v>2069</v>
      </c>
      <c r="B2030">
        <v>2024</v>
      </c>
      <c r="C2030" t="s">
        <v>33</v>
      </c>
      <c r="D2030">
        <v>176</v>
      </c>
      <c r="E2030" t="s">
        <v>29</v>
      </c>
      <c r="F2030" t="s">
        <v>30</v>
      </c>
      <c r="G2030" t="s">
        <v>15</v>
      </c>
      <c r="H2030">
        <v>0.38200307877548229</v>
      </c>
      <c r="I2030">
        <v>4</v>
      </c>
      <c r="J2030" t="s">
        <v>17</v>
      </c>
      <c r="K2030" s="59" t="s">
        <v>17</v>
      </c>
    </row>
    <row r="2031" spans="1:11" x14ac:dyDescent="0.2">
      <c r="A2031" t="s">
        <v>2070</v>
      </c>
      <c r="B2031">
        <v>2021</v>
      </c>
      <c r="C2031" t="s">
        <v>19</v>
      </c>
      <c r="D2031">
        <v>91</v>
      </c>
      <c r="E2031" t="s">
        <v>25</v>
      </c>
      <c r="F2031" t="s">
        <v>26</v>
      </c>
      <c r="G2031" t="s">
        <v>15</v>
      </c>
      <c r="H2031">
        <v>0.69029355547504967</v>
      </c>
      <c r="I2031">
        <v>2</v>
      </c>
      <c r="J2031" t="s">
        <v>23</v>
      </c>
      <c r="K2031" s="59" t="s">
        <v>17</v>
      </c>
    </row>
    <row r="2032" spans="1:11" x14ac:dyDescent="0.2">
      <c r="A2032" t="s">
        <v>2071</v>
      </c>
      <c r="B2032">
        <v>2023</v>
      </c>
      <c r="C2032" t="s">
        <v>33</v>
      </c>
      <c r="D2032">
        <v>70</v>
      </c>
      <c r="E2032" t="s">
        <v>53</v>
      </c>
      <c r="F2032" t="s">
        <v>54</v>
      </c>
      <c r="G2032" t="s">
        <v>15</v>
      </c>
      <c r="H2032">
        <v>-1.068629387250613</v>
      </c>
      <c r="I2032">
        <v>3</v>
      </c>
      <c r="J2032" t="s">
        <v>16</v>
      </c>
      <c r="K2032" s="59" t="s">
        <v>4376</v>
      </c>
    </row>
    <row r="2033" spans="1:11" x14ac:dyDescent="0.2">
      <c r="A2033" t="s">
        <v>2072</v>
      </c>
      <c r="B2033">
        <v>2024</v>
      </c>
      <c r="C2033" t="s">
        <v>19</v>
      </c>
      <c r="D2033">
        <v>176</v>
      </c>
      <c r="E2033" t="s">
        <v>29</v>
      </c>
      <c r="F2033" t="s">
        <v>30</v>
      </c>
      <c r="G2033" t="s">
        <v>15</v>
      </c>
      <c r="H2033">
        <v>0.38200307877548229</v>
      </c>
      <c r="I2033">
        <v>4</v>
      </c>
      <c r="J2033" t="s">
        <v>17</v>
      </c>
      <c r="K2033" s="59" t="s">
        <v>17</v>
      </c>
    </row>
    <row r="2034" spans="1:11" x14ac:dyDescent="0.2">
      <c r="A2034" t="s">
        <v>2073</v>
      </c>
      <c r="B2034">
        <v>2024</v>
      </c>
      <c r="C2034" t="s">
        <v>33</v>
      </c>
      <c r="D2034">
        <v>230</v>
      </c>
      <c r="E2034" t="s">
        <v>25</v>
      </c>
      <c r="F2034" t="s">
        <v>26</v>
      </c>
      <c r="G2034" t="s">
        <v>15</v>
      </c>
      <c r="H2034">
        <v>0.35970225732901118</v>
      </c>
      <c r="I2034">
        <v>2</v>
      </c>
      <c r="J2034" t="s">
        <v>17</v>
      </c>
      <c r="K2034" s="59" t="s">
        <v>4376</v>
      </c>
    </row>
    <row r="2035" spans="1:11" x14ac:dyDescent="0.2">
      <c r="A2035" t="s">
        <v>2074</v>
      </c>
      <c r="B2035">
        <v>2022</v>
      </c>
      <c r="C2035" t="s">
        <v>19</v>
      </c>
      <c r="D2035">
        <v>352</v>
      </c>
      <c r="E2035" t="s">
        <v>53</v>
      </c>
      <c r="F2035" t="s">
        <v>54</v>
      </c>
      <c r="G2035" t="s">
        <v>36</v>
      </c>
      <c r="H2035">
        <v>5.4377775466296963E-2</v>
      </c>
      <c r="I2035">
        <v>3</v>
      </c>
      <c r="J2035" t="s">
        <v>16</v>
      </c>
      <c r="K2035" s="59" t="s">
        <v>16</v>
      </c>
    </row>
    <row r="2036" spans="1:11" x14ac:dyDescent="0.2">
      <c r="A2036" t="s">
        <v>2075</v>
      </c>
      <c r="B2036">
        <v>2024</v>
      </c>
      <c r="C2036" t="s">
        <v>33</v>
      </c>
      <c r="D2036">
        <v>230</v>
      </c>
      <c r="E2036" t="s">
        <v>25</v>
      </c>
      <c r="F2036" t="s">
        <v>26</v>
      </c>
      <c r="G2036" t="s">
        <v>15</v>
      </c>
      <c r="H2036">
        <v>0.35970225732901118</v>
      </c>
      <c r="I2036">
        <v>2</v>
      </c>
      <c r="J2036" t="s">
        <v>17</v>
      </c>
      <c r="K2036" s="59" t="s">
        <v>4376</v>
      </c>
    </row>
    <row r="2037" spans="1:11" x14ac:dyDescent="0.2">
      <c r="A2037" t="s">
        <v>2076</v>
      </c>
      <c r="B2037">
        <v>2023</v>
      </c>
      <c r="C2037" t="s">
        <v>12</v>
      </c>
      <c r="D2037">
        <v>393</v>
      </c>
      <c r="E2037" t="s">
        <v>38</v>
      </c>
      <c r="F2037" t="s">
        <v>39</v>
      </c>
      <c r="G2037" t="s">
        <v>15</v>
      </c>
      <c r="H2037">
        <v>-5.0426212774462454E-3</v>
      </c>
      <c r="I2037">
        <v>3</v>
      </c>
      <c r="J2037" t="s">
        <v>16</v>
      </c>
      <c r="K2037" s="59" t="s">
        <v>16</v>
      </c>
    </row>
    <row r="2038" spans="1:11" x14ac:dyDescent="0.2">
      <c r="A2038" t="s">
        <v>2077</v>
      </c>
      <c r="B2038">
        <v>2023</v>
      </c>
      <c r="C2038" t="s">
        <v>19</v>
      </c>
      <c r="D2038">
        <v>147</v>
      </c>
      <c r="E2038" t="s">
        <v>29</v>
      </c>
      <c r="F2038" t="s">
        <v>30</v>
      </c>
      <c r="G2038" t="s">
        <v>15</v>
      </c>
      <c r="H2038">
        <v>-9.9322984110851928E-2</v>
      </c>
      <c r="I2038">
        <v>4</v>
      </c>
      <c r="J2038" t="s">
        <v>23</v>
      </c>
      <c r="K2038" s="59" t="s">
        <v>17</v>
      </c>
    </row>
    <row r="2039" spans="1:11" x14ac:dyDescent="0.2">
      <c r="A2039" t="s">
        <v>2078</v>
      </c>
      <c r="B2039">
        <v>2022</v>
      </c>
      <c r="C2039" t="s">
        <v>19</v>
      </c>
      <c r="D2039">
        <v>353</v>
      </c>
      <c r="E2039" t="s">
        <v>53</v>
      </c>
      <c r="F2039" t="s">
        <v>54</v>
      </c>
      <c r="G2039" t="s">
        <v>15</v>
      </c>
      <c r="H2039">
        <v>0.46280219742872031</v>
      </c>
      <c r="I2039">
        <v>3</v>
      </c>
      <c r="J2039" t="s">
        <v>16</v>
      </c>
      <c r="K2039" s="59" t="s">
        <v>17</v>
      </c>
    </row>
    <row r="2040" spans="1:11" x14ac:dyDescent="0.2">
      <c r="A2040" t="s">
        <v>2079</v>
      </c>
      <c r="B2040">
        <v>2022</v>
      </c>
      <c r="C2040" t="s">
        <v>19</v>
      </c>
      <c r="D2040">
        <v>353</v>
      </c>
      <c r="E2040" t="s">
        <v>53</v>
      </c>
      <c r="F2040" t="s">
        <v>54</v>
      </c>
      <c r="G2040" t="s">
        <v>15</v>
      </c>
      <c r="H2040">
        <v>0.46280219742872031</v>
      </c>
      <c r="I2040">
        <v>3</v>
      </c>
      <c r="J2040" t="s">
        <v>16</v>
      </c>
      <c r="K2040" s="59" t="s">
        <v>23</v>
      </c>
    </row>
    <row r="2041" spans="1:11" x14ac:dyDescent="0.2">
      <c r="A2041" t="s">
        <v>2080</v>
      </c>
      <c r="B2041">
        <v>2020</v>
      </c>
      <c r="C2041" t="s">
        <v>33</v>
      </c>
      <c r="D2041">
        <v>108</v>
      </c>
      <c r="E2041" t="s">
        <v>13</v>
      </c>
      <c r="F2041" t="s">
        <v>14</v>
      </c>
      <c r="G2041" t="s">
        <v>41</v>
      </c>
      <c r="H2041">
        <v>1.6550614002054611</v>
      </c>
      <c r="I2041">
        <v>4</v>
      </c>
      <c r="J2041" t="s">
        <v>23</v>
      </c>
      <c r="K2041" s="59" t="s">
        <v>4376</v>
      </c>
    </row>
    <row r="2042" spans="1:11" x14ac:dyDescent="0.2">
      <c r="A2042" t="s">
        <v>2081</v>
      </c>
      <c r="B2042">
        <v>2024</v>
      </c>
      <c r="C2042" t="s">
        <v>33</v>
      </c>
      <c r="D2042">
        <v>230</v>
      </c>
      <c r="E2042" t="s">
        <v>25</v>
      </c>
      <c r="F2042" t="s">
        <v>26</v>
      </c>
      <c r="G2042" t="s">
        <v>15</v>
      </c>
      <c r="H2042">
        <v>0.35970225732901118</v>
      </c>
      <c r="I2042">
        <v>2</v>
      </c>
      <c r="J2042" t="s">
        <v>17</v>
      </c>
      <c r="K2042" s="59" t="s">
        <v>4376</v>
      </c>
    </row>
    <row r="2043" spans="1:11" x14ac:dyDescent="0.2">
      <c r="A2043" t="s">
        <v>2082</v>
      </c>
      <c r="B2043">
        <v>2022</v>
      </c>
      <c r="C2043" t="s">
        <v>19</v>
      </c>
      <c r="D2043">
        <v>72</v>
      </c>
      <c r="E2043" t="s">
        <v>25</v>
      </c>
      <c r="F2043" t="s">
        <v>26</v>
      </c>
      <c r="G2043" t="s">
        <v>15</v>
      </c>
      <c r="H2043">
        <v>-1.405779440516616</v>
      </c>
      <c r="I2043">
        <v>2</v>
      </c>
      <c r="J2043" t="s">
        <v>23</v>
      </c>
      <c r="K2043" s="59" t="s">
        <v>17</v>
      </c>
    </row>
    <row r="2044" spans="1:11" x14ac:dyDescent="0.2">
      <c r="A2044" t="s">
        <v>2083</v>
      </c>
      <c r="B2044">
        <v>2022</v>
      </c>
      <c r="C2044" t="s">
        <v>33</v>
      </c>
      <c r="D2044">
        <v>289</v>
      </c>
      <c r="E2044" t="s">
        <v>53</v>
      </c>
      <c r="F2044" t="s">
        <v>54</v>
      </c>
      <c r="G2044" t="s">
        <v>15</v>
      </c>
      <c r="H2044">
        <v>0.87591915940331022</v>
      </c>
      <c r="I2044">
        <v>3</v>
      </c>
      <c r="J2044" t="s">
        <v>23</v>
      </c>
      <c r="K2044" s="59" t="s">
        <v>4376</v>
      </c>
    </row>
    <row r="2045" spans="1:11" x14ac:dyDescent="0.2">
      <c r="A2045" t="s">
        <v>2084</v>
      </c>
      <c r="B2045">
        <v>2022</v>
      </c>
      <c r="C2045" t="s">
        <v>19</v>
      </c>
      <c r="D2045">
        <v>353</v>
      </c>
      <c r="E2045" t="s">
        <v>53</v>
      </c>
      <c r="F2045" t="s">
        <v>54</v>
      </c>
      <c r="G2045" t="s">
        <v>15</v>
      </c>
      <c r="H2045">
        <v>0.46280219742872031</v>
      </c>
      <c r="I2045">
        <v>3</v>
      </c>
      <c r="J2045" t="s">
        <v>16</v>
      </c>
      <c r="K2045" s="59" t="s">
        <v>17</v>
      </c>
    </row>
    <row r="2046" spans="1:11" x14ac:dyDescent="0.2">
      <c r="A2046" t="s">
        <v>2085</v>
      </c>
      <c r="B2046">
        <v>2023</v>
      </c>
      <c r="C2046" t="s">
        <v>33</v>
      </c>
      <c r="D2046">
        <v>73</v>
      </c>
      <c r="E2046" t="s">
        <v>53</v>
      </c>
      <c r="F2046" t="s">
        <v>54</v>
      </c>
      <c r="G2046" t="s">
        <v>15</v>
      </c>
      <c r="H2046">
        <v>-0.24001829480070361</v>
      </c>
      <c r="I2046">
        <v>3</v>
      </c>
      <c r="J2046" t="s">
        <v>16</v>
      </c>
      <c r="K2046" s="59" t="s">
        <v>4376</v>
      </c>
    </row>
    <row r="2047" spans="1:11" x14ac:dyDescent="0.2">
      <c r="A2047" t="s">
        <v>2086</v>
      </c>
      <c r="B2047">
        <v>2021</v>
      </c>
      <c r="C2047" t="s">
        <v>19</v>
      </c>
      <c r="D2047">
        <v>382</v>
      </c>
      <c r="E2047" t="s">
        <v>29</v>
      </c>
      <c r="F2047" t="s">
        <v>30</v>
      </c>
      <c r="G2047" t="s">
        <v>15</v>
      </c>
      <c r="H2047">
        <v>-0.1911280323988247</v>
      </c>
      <c r="I2047">
        <v>4</v>
      </c>
      <c r="J2047" t="s">
        <v>17</v>
      </c>
      <c r="K2047" s="59" t="s">
        <v>17</v>
      </c>
    </row>
    <row r="2048" spans="1:11" x14ac:dyDescent="0.2">
      <c r="A2048" t="s">
        <v>2087</v>
      </c>
      <c r="B2048">
        <v>2021</v>
      </c>
      <c r="C2048" t="s">
        <v>33</v>
      </c>
      <c r="D2048">
        <v>319</v>
      </c>
      <c r="E2048" t="s">
        <v>38</v>
      </c>
      <c r="F2048" t="s">
        <v>39</v>
      </c>
      <c r="G2048" t="s">
        <v>15</v>
      </c>
      <c r="H2048">
        <v>0.6155305486394721</v>
      </c>
      <c r="I2048">
        <v>3</v>
      </c>
      <c r="J2048" t="s">
        <v>16</v>
      </c>
      <c r="K2048" s="59" t="s">
        <v>4376</v>
      </c>
    </row>
    <row r="2049" spans="1:11" x14ac:dyDescent="0.2">
      <c r="A2049" t="s">
        <v>2088</v>
      </c>
      <c r="B2049">
        <v>2022</v>
      </c>
      <c r="C2049" t="s">
        <v>19</v>
      </c>
      <c r="D2049">
        <v>353</v>
      </c>
      <c r="E2049" t="s">
        <v>53</v>
      </c>
      <c r="F2049" t="s">
        <v>54</v>
      </c>
      <c r="G2049" t="s">
        <v>15</v>
      </c>
      <c r="H2049">
        <v>0.46058692577733279</v>
      </c>
      <c r="I2049">
        <v>3</v>
      </c>
      <c r="J2049" t="s">
        <v>16</v>
      </c>
      <c r="K2049" s="59" t="s">
        <v>17</v>
      </c>
    </row>
    <row r="2050" spans="1:11" x14ac:dyDescent="0.2">
      <c r="A2050" t="s">
        <v>2089</v>
      </c>
      <c r="B2050">
        <v>2022</v>
      </c>
      <c r="C2050" t="s">
        <v>19</v>
      </c>
      <c r="D2050">
        <v>353</v>
      </c>
      <c r="E2050" t="s">
        <v>53</v>
      </c>
      <c r="F2050" t="s">
        <v>54</v>
      </c>
      <c r="G2050" t="s">
        <v>15</v>
      </c>
      <c r="H2050">
        <v>0.46058692577733279</v>
      </c>
      <c r="I2050">
        <v>3</v>
      </c>
      <c r="J2050" t="s">
        <v>16</v>
      </c>
      <c r="K2050" s="59" t="s">
        <v>17</v>
      </c>
    </row>
    <row r="2051" spans="1:11" x14ac:dyDescent="0.2">
      <c r="A2051" t="s">
        <v>2090</v>
      </c>
      <c r="B2051">
        <v>2021</v>
      </c>
      <c r="C2051" t="s">
        <v>33</v>
      </c>
      <c r="D2051">
        <v>311</v>
      </c>
      <c r="E2051" t="s">
        <v>38</v>
      </c>
      <c r="F2051" t="s">
        <v>39</v>
      </c>
      <c r="G2051" t="s">
        <v>15</v>
      </c>
      <c r="H2051">
        <v>0.60221472720671299</v>
      </c>
      <c r="I2051">
        <v>3</v>
      </c>
      <c r="J2051" t="s">
        <v>23</v>
      </c>
      <c r="K2051" s="59" t="s">
        <v>4376</v>
      </c>
    </row>
    <row r="2052" spans="1:11" x14ac:dyDescent="0.2">
      <c r="A2052" t="s">
        <v>2091</v>
      </c>
      <c r="B2052">
        <v>2023</v>
      </c>
      <c r="C2052" t="s">
        <v>12</v>
      </c>
      <c r="D2052">
        <v>131</v>
      </c>
      <c r="E2052" t="s">
        <v>25</v>
      </c>
      <c r="F2052" t="s">
        <v>26</v>
      </c>
      <c r="G2052" t="s">
        <v>147</v>
      </c>
      <c r="H2052">
        <v>0.48908106877418711</v>
      </c>
      <c r="I2052">
        <v>2</v>
      </c>
      <c r="J2052" t="s">
        <v>23</v>
      </c>
      <c r="K2052" s="59" t="s">
        <v>23</v>
      </c>
    </row>
    <row r="2053" spans="1:11" x14ac:dyDescent="0.2">
      <c r="A2053" t="s">
        <v>2092</v>
      </c>
      <c r="B2053">
        <v>2025</v>
      </c>
      <c r="C2053" t="s">
        <v>33</v>
      </c>
      <c r="D2053">
        <v>926</v>
      </c>
      <c r="E2053" t="s">
        <v>20</v>
      </c>
      <c r="F2053" t="s">
        <v>21</v>
      </c>
      <c r="G2053" t="s">
        <v>48</v>
      </c>
      <c r="H2053">
        <v>1.4786833131182811</v>
      </c>
      <c r="I2053">
        <v>3</v>
      </c>
      <c r="J2053" t="s">
        <v>16</v>
      </c>
      <c r="K2053" s="59" t="s">
        <v>4376</v>
      </c>
    </row>
    <row r="2054" spans="1:11" x14ac:dyDescent="0.2">
      <c r="A2054" t="s">
        <v>2093</v>
      </c>
      <c r="B2054">
        <v>2025</v>
      </c>
      <c r="C2054" t="s">
        <v>33</v>
      </c>
      <c r="D2054">
        <v>939</v>
      </c>
      <c r="E2054" t="s">
        <v>20</v>
      </c>
      <c r="F2054" t="s">
        <v>21</v>
      </c>
      <c r="G2054" t="s">
        <v>48</v>
      </c>
      <c r="H2054">
        <v>1.4211604685661641</v>
      </c>
      <c r="I2054">
        <v>3</v>
      </c>
      <c r="J2054" t="s">
        <v>16</v>
      </c>
      <c r="K2054" s="59" t="s">
        <v>4376</v>
      </c>
    </row>
    <row r="2055" spans="1:11" x14ac:dyDescent="0.2">
      <c r="A2055" t="s">
        <v>2094</v>
      </c>
      <c r="B2055">
        <v>2020</v>
      </c>
      <c r="C2055" t="s">
        <v>33</v>
      </c>
      <c r="D2055">
        <v>59</v>
      </c>
      <c r="E2055" t="s">
        <v>13</v>
      </c>
      <c r="F2055" t="s">
        <v>14</v>
      </c>
      <c r="G2055" t="s">
        <v>41</v>
      </c>
      <c r="H2055">
        <v>-1.184346142820724</v>
      </c>
      <c r="I2055">
        <v>4</v>
      </c>
      <c r="J2055" t="s">
        <v>16</v>
      </c>
      <c r="K2055" s="59" t="s">
        <v>4376</v>
      </c>
    </row>
    <row r="2056" spans="1:11" x14ac:dyDescent="0.2">
      <c r="A2056" t="s">
        <v>2095</v>
      </c>
      <c r="B2056">
        <v>2022</v>
      </c>
      <c r="C2056" t="s">
        <v>19</v>
      </c>
      <c r="D2056">
        <v>353</v>
      </c>
      <c r="E2056" t="s">
        <v>53</v>
      </c>
      <c r="F2056" t="s">
        <v>54</v>
      </c>
      <c r="G2056" t="s">
        <v>15</v>
      </c>
      <c r="H2056">
        <v>0.46058692577733279</v>
      </c>
      <c r="I2056">
        <v>3</v>
      </c>
      <c r="J2056" t="s">
        <v>16</v>
      </c>
      <c r="K2056" s="59" t="s">
        <v>17</v>
      </c>
    </row>
    <row r="2057" spans="1:11" x14ac:dyDescent="0.2">
      <c r="A2057" t="s">
        <v>2096</v>
      </c>
      <c r="B2057">
        <v>2023</v>
      </c>
      <c r="C2057" t="s">
        <v>19</v>
      </c>
      <c r="D2057">
        <v>66</v>
      </c>
      <c r="E2057" t="s">
        <v>20</v>
      </c>
      <c r="F2057" t="s">
        <v>21</v>
      </c>
      <c r="G2057" t="s">
        <v>48</v>
      </c>
      <c r="H2057">
        <v>0.3672686074626354</v>
      </c>
      <c r="I2057">
        <v>3</v>
      </c>
      <c r="J2057" t="s">
        <v>23</v>
      </c>
      <c r="K2057" s="59" t="s">
        <v>16</v>
      </c>
    </row>
    <row r="2058" spans="1:11" x14ac:dyDescent="0.2">
      <c r="A2058" t="s">
        <v>2097</v>
      </c>
      <c r="B2058">
        <v>2023</v>
      </c>
      <c r="C2058" t="s">
        <v>19</v>
      </c>
      <c r="D2058">
        <v>216</v>
      </c>
      <c r="E2058" t="s">
        <v>25</v>
      </c>
      <c r="F2058" t="s">
        <v>26</v>
      </c>
      <c r="G2058" t="s">
        <v>15</v>
      </c>
      <c r="H2058">
        <v>0.53842590219148811</v>
      </c>
      <c r="I2058">
        <v>2</v>
      </c>
      <c r="J2058" t="s">
        <v>23</v>
      </c>
      <c r="K2058" s="59" t="s">
        <v>17</v>
      </c>
    </row>
    <row r="2059" spans="1:11" x14ac:dyDescent="0.2">
      <c r="A2059" t="s">
        <v>2098</v>
      </c>
      <c r="B2059">
        <v>2022</v>
      </c>
      <c r="C2059" t="s">
        <v>19</v>
      </c>
      <c r="D2059">
        <v>87</v>
      </c>
      <c r="E2059" t="s">
        <v>20</v>
      </c>
      <c r="F2059" t="s">
        <v>21</v>
      </c>
      <c r="G2059" t="s">
        <v>15</v>
      </c>
      <c r="H2059">
        <v>-0.53480846957944006</v>
      </c>
      <c r="I2059">
        <v>3</v>
      </c>
      <c r="J2059" t="s">
        <v>23</v>
      </c>
      <c r="K2059" s="59" t="s">
        <v>16</v>
      </c>
    </row>
    <row r="2060" spans="1:11" x14ac:dyDescent="0.2">
      <c r="A2060" t="s">
        <v>2099</v>
      </c>
      <c r="B2060">
        <v>2022</v>
      </c>
      <c r="C2060" t="s">
        <v>19</v>
      </c>
      <c r="D2060">
        <v>353</v>
      </c>
      <c r="E2060" t="s">
        <v>53</v>
      </c>
      <c r="F2060" t="s">
        <v>54</v>
      </c>
      <c r="G2060" t="s">
        <v>15</v>
      </c>
      <c r="H2060">
        <v>0.46058692577733279</v>
      </c>
      <c r="I2060">
        <v>3</v>
      </c>
      <c r="J2060" t="s">
        <v>16</v>
      </c>
      <c r="K2060" s="59" t="s">
        <v>17</v>
      </c>
    </row>
    <row r="2061" spans="1:11" x14ac:dyDescent="0.2">
      <c r="A2061" t="s">
        <v>2100</v>
      </c>
      <c r="B2061">
        <v>2022</v>
      </c>
      <c r="C2061" t="s">
        <v>19</v>
      </c>
      <c r="D2061">
        <v>353</v>
      </c>
      <c r="E2061" t="s">
        <v>53</v>
      </c>
      <c r="F2061" t="s">
        <v>54</v>
      </c>
      <c r="G2061" t="s">
        <v>15</v>
      </c>
      <c r="H2061">
        <v>0.46058692577733279</v>
      </c>
      <c r="I2061">
        <v>3</v>
      </c>
      <c r="J2061" t="s">
        <v>16</v>
      </c>
      <c r="K2061" s="59" t="s">
        <v>16</v>
      </c>
    </row>
    <row r="2062" spans="1:11" x14ac:dyDescent="0.2">
      <c r="A2062" t="s">
        <v>2101</v>
      </c>
      <c r="B2062">
        <v>2025</v>
      </c>
      <c r="C2062" t="s">
        <v>33</v>
      </c>
      <c r="D2062">
        <v>914</v>
      </c>
      <c r="E2062" t="s">
        <v>20</v>
      </c>
      <c r="F2062" t="s">
        <v>21</v>
      </c>
      <c r="G2062" t="s">
        <v>41</v>
      </c>
      <c r="H2062">
        <v>1.3168941080722929</v>
      </c>
      <c r="I2062">
        <v>3</v>
      </c>
      <c r="J2062" t="s">
        <v>16</v>
      </c>
      <c r="K2062" s="59" t="s">
        <v>4376</v>
      </c>
    </row>
    <row r="2063" spans="1:11" x14ac:dyDescent="0.2">
      <c r="A2063" t="s">
        <v>2102</v>
      </c>
      <c r="B2063">
        <v>2022</v>
      </c>
      <c r="C2063" t="s">
        <v>19</v>
      </c>
      <c r="D2063">
        <v>353</v>
      </c>
      <c r="E2063" t="s">
        <v>53</v>
      </c>
      <c r="F2063" t="s">
        <v>54</v>
      </c>
      <c r="G2063" t="s">
        <v>15</v>
      </c>
      <c r="H2063">
        <v>0.46058692577733279</v>
      </c>
      <c r="I2063">
        <v>3</v>
      </c>
      <c r="J2063" t="s">
        <v>16</v>
      </c>
      <c r="K2063" s="59" t="s">
        <v>16</v>
      </c>
    </row>
    <row r="2064" spans="1:11" x14ac:dyDescent="0.2">
      <c r="A2064" t="s">
        <v>2103</v>
      </c>
      <c r="B2064">
        <v>2024</v>
      </c>
      <c r="C2064" t="s">
        <v>19</v>
      </c>
      <c r="D2064">
        <v>114</v>
      </c>
      <c r="E2064" t="s">
        <v>25</v>
      </c>
      <c r="F2064" t="s">
        <v>26</v>
      </c>
      <c r="G2064" t="s">
        <v>15</v>
      </c>
      <c r="H2064">
        <v>8.7313652518543006E-2</v>
      </c>
      <c r="I2064">
        <v>2</v>
      </c>
      <c r="J2064" t="s">
        <v>16</v>
      </c>
      <c r="K2064" s="59" t="s">
        <v>17</v>
      </c>
    </row>
    <row r="2065" spans="1:11" x14ac:dyDescent="0.2">
      <c r="A2065" t="s">
        <v>2104</v>
      </c>
      <c r="B2065">
        <v>2020</v>
      </c>
      <c r="C2065" t="s">
        <v>33</v>
      </c>
      <c r="D2065">
        <v>94</v>
      </c>
      <c r="E2065" t="s">
        <v>13</v>
      </c>
      <c r="F2065" t="s">
        <v>14</v>
      </c>
      <c r="G2065" t="s">
        <v>41</v>
      </c>
      <c r="H2065">
        <v>-1.794936682850248</v>
      </c>
      <c r="I2065">
        <v>4</v>
      </c>
      <c r="J2065" t="s">
        <v>16</v>
      </c>
      <c r="K2065" s="59" t="s">
        <v>4376</v>
      </c>
    </row>
    <row r="2066" spans="1:11" x14ac:dyDescent="0.2">
      <c r="A2066" t="s">
        <v>2105</v>
      </c>
      <c r="B2066">
        <v>2024</v>
      </c>
      <c r="C2066" t="s">
        <v>33</v>
      </c>
      <c r="D2066">
        <v>108</v>
      </c>
      <c r="E2066" t="s">
        <v>13</v>
      </c>
      <c r="F2066" t="s">
        <v>14</v>
      </c>
      <c r="G2066" t="s">
        <v>15</v>
      </c>
      <c r="H2066">
        <v>0.27579817663931799</v>
      </c>
      <c r="I2066">
        <v>4</v>
      </c>
      <c r="J2066" t="s">
        <v>23</v>
      </c>
      <c r="K2066" s="59" t="s">
        <v>17</v>
      </c>
    </row>
    <row r="2067" spans="1:11" x14ac:dyDescent="0.2">
      <c r="A2067" t="s">
        <v>2106</v>
      </c>
      <c r="B2067">
        <v>2022</v>
      </c>
      <c r="C2067" t="s">
        <v>19</v>
      </c>
      <c r="D2067">
        <v>353</v>
      </c>
      <c r="E2067" t="s">
        <v>53</v>
      </c>
      <c r="F2067" t="s">
        <v>54</v>
      </c>
      <c r="G2067" t="s">
        <v>15</v>
      </c>
      <c r="H2067">
        <v>0.46058692577733279</v>
      </c>
      <c r="I2067">
        <v>3</v>
      </c>
      <c r="J2067" t="s">
        <v>16</v>
      </c>
      <c r="K2067" s="59" t="s">
        <v>17</v>
      </c>
    </row>
    <row r="2068" spans="1:11" x14ac:dyDescent="0.2">
      <c r="A2068" t="s">
        <v>2107</v>
      </c>
      <c r="B2068">
        <v>2023</v>
      </c>
      <c r="C2068" t="s">
        <v>12</v>
      </c>
      <c r="D2068">
        <v>149</v>
      </c>
      <c r="E2068" t="s">
        <v>25</v>
      </c>
      <c r="F2068" t="s">
        <v>26</v>
      </c>
      <c r="G2068" t="s">
        <v>15</v>
      </c>
      <c r="H2068">
        <v>-0.71255764732172089</v>
      </c>
      <c r="I2068">
        <v>2</v>
      </c>
      <c r="J2068" t="s">
        <v>16</v>
      </c>
      <c r="K2068" s="59" t="s">
        <v>17</v>
      </c>
    </row>
    <row r="2069" spans="1:11" x14ac:dyDescent="0.2">
      <c r="A2069" t="s">
        <v>2108</v>
      </c>
      <c r="B2069">
        <v>2022</v>
      </c>
      <c r="C2069" t="s">
        <v>19</v>
      </c>
      <c r="D2069">
        <v>353</v>
      </c>
      <c r="E2069" t="s">
        <v>53</v>
      </c>
      <c r="F2069" t="s">
        <v>54</v>
      </c>
      <c r="G2069" t="s">
        <v>15</v>
      </c>
      <c r="H2069">
        <v>0.46058692577733279</v>
      </c>
      <c r="I2069">
        <v>3</v>
      </c>
      <c r="J2069" t="s">
        <v>16</v>
      </c>
      <c r="K2069" s="59" t="s">
        <v>17</v>
      </c>
    </row>
    <row r="2070" spans="1:11" x14ac:dyDescent="0.2">
      <c r="A2070" t="s">
        <v>2109</v>
      </c>
      <c r="B2070">
        <v>2023</v>
      </c>
      <c r="C2070" t="s">
        <v>33</v>
      </c>
      <c r="D2070">
        <v>70</v>
      </c>
      <c r="E2070" t="s">
        <v>53</v>
      </c>
      <c r="F2070" t="s">
        <v>54</v>
      </c>
      <c r="G2070" t="s">
        <v>22</v>
      </c>
      <c r="H2070">
        <v>-1.068629387250613</v>
      </c>
      <c r="I2070">
        <v>3</v>
      </c>
      <c r="J2070" t="s">
        <v>16</v>
      </c>
      <c r="K2070" s="59" t="s">
        <v>4376</v>
      </c>
    </row>
    <row r="2071" spans="1:11" x14ac:dyDescent="0.2">
      <c r="A2071" t="s">
        <v>2110</v>
      </c>
      <c r="B2071">
        <v>2022</v>
      </c>
      <c r="C2071" t="s">
        <v>19</v>
      </c>
      <c r="D2071">
        <v>113</v>
      </c>
      <c r="E2071" t="s">
        <v>20</v>
      </c>
      <c r="F2071" t="s">
        <v>21</v>
      </c>
      <c r="G2071" t="s">
        <v>15</v>
      </c>
      <c r="H2071">
        <v>-0.45773139250535377</v>
      </c>
      <c r="I2071">
        <v>3</v>
      </c>
      <c r="J2071" t="s">
        <v>16</v>
      </c>
      <c r="K2071" s="59" t="s">
        <v>23</v>
      </c>
    </row>
    <row r="2072" spans="1:11" x14ac:dyDescent="0.2">
      <c r="A2072" t="s">
        <v>2111</v>
      </c>
      <c r="B2072">
        <v>2023</v>
      </c>
      <c r="C2072" t="s">
        <v>12</v>
      </c>
      <c r="D2072">
        <v>393</v>
      </c>
      <c r="E2072" t="s">
        <v>38</v>
      </c>
      <c r="F2072" t="s">
        <v>39</v>
      </c>
      <c r="G2072" t="s">
        <v>15</v>
      </c>
      <c r="H2072">
        <v>-5.0426212774462454E-3</v>
      </c>
      <c r="I2072">
        <v>3</v>
      </c>
      <c r="J2072" t="s">
        <v>16</v>
      </c>
      <c r="K2072" s="59" t="s">
        <v>4376</v>
      </c>
    </row>
    <row r="2073" spans="1:11" x14ac:dyDescent="0.2">
      <c r="A2073" t="s">
        <v>2112</v>
      </c>
      <c r="B2073">
        <v>2018</v>
      </c>
      <c r="C2073" t="s">
        <v>19</v>
      </c>
      <c r="D2073">
        <v>79</v>
      </c>
      <c r="E2073" t="s">
        <v>20</v>
      </c>
      <c r="F2073" t="s">
        <v>21</v>
      </c>
      <c r="G2073" t="s">
        <v>15</v>
      </c>
      <c r="H2073">
        <v>0.59632266150780178</v>
      </c>
      <c r="I2073">
        <v>3</v>
      </c>
      <c r="J2073" t="s">
        <v>23</v>
      </c>
      <c r="K2073" s="59" t="s">
        <v>17</v>
      </c>
    </row>
    <row r="2074" spans="1:11" x14ac:dyDescent="0.2">
      <c r="A2074" t="s">
        <v>2113</v>
      </c>
      <c r="B2074">
        <v>2024</v>
      </c>
      <c r="C2074" t="s">
        <v>19</v>
      </c>
      <c r="D2074">
        <v>179</v>
      </c>
      <c r="E2074" t="s">
        <v>20</v>
      </c>
      <c r="F2074" t="s">
        <v>21</v>
      </c>
      <c r="G2074" t="s">
        <v>167</v>
      </c>
      <c r="H2074">
        <v>-0.49283396495596171</v>
      </c>
      <c r="I2074">
        <v>3</v>
      </c>
      <c r="J2074" t="s">
        <v>23</v>
      </c>
      <c r="K2074" s="59" t="s">
        <v>17</v>
      </c>
    </row>
    <row r="2075" spans="1:11" x14ac:dyDescent="0.2">
      <c r="A2075" t="s">
        <v>2114</v>
      </c>
      <c r="B2075">
        <v>2022</v>
      </c>
      <c r="C2075" t="s">
        <v>19</v>
      </c>
      <c r="D2075">
        <v>353</v>
      </c>
      <c r="E2075" t="s">
        <v>53</v>
      </c>
      <c r="F2075" t="s">
        <v>54</v>
      </c>
      <c r="G2075" t="s">
        <v>15</v>
      </c>
      <c r="H2075">
        <v>0.46058692577733279</v>
      </c>
      <c r="I2075">
        <v>3</v>
      </c>
      <c r="J2075" t="s">
        <v>16</v>
      </c>
      <c r="K2075" s="59" t="s">
        <v>17</v>
      </c>
    </row>
    <row r="2076" spans="1:11" x14ac:dyDescent="0.2">
      <c r="A2076" t="s">
        <v>2115</v>
      </c>
      <c r="B2076">
        <v>2024</v>
      </c>
      <c r="C2076" t="s">
        <v>19</v>
      </c>
      <c r="D2076">
        <v>188</v>
      </c>
      <c r="E2076" t="s">
        <v>20</v>
      </c>
      <c r="F2076" t="s">
        <v>21</v>
      </c>
      <c r="G2076" t="s">
        <v>48</v>
      </c>
      <c r="H2076">
        <v>-1.893906028624265</v>
      </c>
      <c r="I2076">
        <v>3</v>
      </c>
      <c r="J2076" t="s">
        <v>16</v>
      </c>
      <c r="K2076" s="59" t="s">
        <v>17</v>
      </c>
    </row>
    <row r="2077" spans="1:11" x14ac:dyDescent="0.2">
      <c r="A2077" t="s">
        <v>2116</v>
      </c>
      <c r="B2077">
        <v>2022</v>
      </c>
      <c r="C2077" t="s">
        <v>19</v>
      </c>
      <c r="D2077">
        <v>110</v>
      </c>
      <c r="E2077" t="s">
        <v>25</v>
      </c>
      <c r="F2077" t="s">
        <v>26</v>
      </c>
      <c r="G2077" t="s">
        <v>15</v>
      </c>
      <c r="H2077">
        <v>-0.33131057917355772</v>
      </c>
      <c r="I2077">
        <v>2</v>
      </c>
      <c r="J2077" t="s">
        <v>23</v>
      </c>
      <c r="K2077" s="59" t="s">
        <v>16</v>
      </c>
    </row>
    <row r="2078" spans="1:11" x14ac:dyDescent="0.2">
      <c r="A2078" t="s">
        <v>2117</v>
      </c>
      <c r="B2078">
        <v>2022</v>
      </c>
      <c r="C2078" t="s">
        <v>19</v>
      </c>
      <c r="D2078">
        <v>353</v>
      </c>
      <c r="E2078" t="s">
        <v>53</v>
      </c>
      <c r="F2078" t="s">
        <v>54</v>
      </c>
      <c r="G2078" t="s">
        <v>15</v>
      </c>
      <c r="H2078">
        <v>0.46058692577733279</v>
      </c>
      <c r="I2078">
        <v>3</v>
      </c>
      <c r="J2078" t="s">
        <v>16</v>
      </c>
      <c r="K2078" s="59" t="s">
        <v>17</v>
      </c>
    </row>
    <row r="2079" spans="1:11" x14ac:dyDescent="0.2">
      <c r="A2079" t="s">
        <v>2118</v>
      </c>
      <c r="B2079">
        <v>2022</v>
      </c>
      <c r="C2079" t="s">
        <v>19</v>
      </c>
      <c r="D2079">
        <v>353</v>
      </c>
      <c r="E2079" t="s">
        <v>53</v>
      </c>
      <c r="F2079" t="s">
        <v>54</v>
      </c>
      <c r="G2079" t="s">
        <v>15</v>
      </c>
      <c r="H2079">
        <v>0.46058692577733279</v>
      </c>
      <c r="I2079">
        <v>3</v>
      </c>
      <c r="J2079" t="s">
        <v>16</v>
      </c>
      <c r="K2079" s="59" t="s">
        <v>17</v>
      </c>
    </row>
    <row r="2080" spans="1:11" x14ac:dyDescent="0.2">
      <c r="A2080" t="s">
        <v>2119</v>
      </c>
      <c r="B2080">
        <v>2022</v>
      </c>
      <c r="C2080" t="s">
        <v>12</v>
      </c>
      <c r="D2080">
        <v>253</v>
      </c>
      <c r="E2080" t="s">
        <v>25</v>
      </c>
      <c r="F2080" t="s">
        <v>26</v>
      </c>
      <c r="G2080" t="s">
        <v>15</v>
      </c>
      <c r="H2080">
        <v>0.258898947484277</v>
      </c>
      <c r="I2080">
        <v>2</v>
      </c>
      <c r="J2080" t="s">
        <v>16</v>
      </c>
      <c r="K2080" s="59" t="s">
        <v>17</v>
      </c>
    </row>
    <row r="2081" spans="1:11" x14ac:dyDescent="0.2">
      <c r="A2081" t="s">
        <v>2120</v>
      </c>
      <c r="B2081">
        <v>2020</v>
      </c>
      <c r="C2081" t="s">
        <v>33</v>
      </c>
      <c r="D2081">
        <v>493</v>
      </c>
      <c r="E2081" t="s">
        <v>25</v>
      </c>
      <c r="F2081" t="s">
        <v>26</v>
      </c>
      <c r="G2081" t="s">
        <v>15</v>
      </c>
      <c r="H2081">
        <v>-0.75678379262606432</v>
      </c>
      <c r="I2081">
        <v>2</v>
      </c>
      <c r="J2081" t="s">
        <v>23</v>
      </c>
      <c r="K2081" s="59" t="s">
        <v>17</v>
      </c>
    </row>
    <row r="2082" spans="1:11" x14ac:dyDescent="0.2">
      <c r="A2082" t="s">
        <v>2121</v>
      </c>
      <c r="B2082">
        <v>2020</v>
      </c>
      <c r="C2082" t="s">
        <v>33</v>
      </c>
      <c r="D2082">
        <v>62</v>
      </c>
      <c r="E2082" t="s">
        <v>25</v>
      </c>
      <c r="F2082" t="s">
        <v>26</v>
      </c>
      <c r="G2082" t="s">
        <v>48</v>
      </c>
      <c r="H2082">
        <v>-1.748456543836161</v>
      </c>
      <c r="I2082">
        <v>2</v>
      </c>
      <c r="J2082" t="s">
        <v>16</v>
      </c>
      <c r="K2082" s="59" t="s">
        <v>4376</v>
      </c>
    </row>
    <row r="2083" spans="1:11" x14ac:dyDescent="0.2">
      <c r="A2083" t="s">
        <v>2122</v>
      </c>
      <c r="B2083">
        <v>2022</v>
      </c>
      <c r="C2083" t="s">
        <v>19</v>
      </c>
      <c r="D2083">
        <v>353</v>
      </c>
      <c r="E2083" t="s">
        <v>53</v>
      </c>
      <c r="F2083" t="s">
        <v>54</v>
      </c>
      <c r="G2083" t="s">
        <v>15</v>
      </c>
      <c r="H2083">
        <v>0.46058692577733279</v>
      </c>
      <c r="I2083">
        <v>3</v>
      </c>
      <c r="J2083" t="s">
        <v>16</v>
      </c>
      <c r="K2083" s="59" t="s">
        <v>16</v>
      </c>
    </row>
    <row r="2084" spans="1:11" x14ac:dyDescent="0.2">
      <c r="A2084" t="s">
        <v>2123</v>
      </c>
      <c r="B2084">
        <v>2022</v>
      </c>
      <c r="C2084" t="s">
        <v>19</v>
      </c>
      <c r="D2084">
        <v>353</v>
      </c>
      <c r="E2084" t="s">
        <v>53</v>
      </c>
      <c r="F2084" t="s">
        <v>54</v>
      </c>
      <c r="G2084" t="s">
        <v>15</v>
      </c>
      <c r="H2084">
        <v>0.46058692577733279</v>
      </c>
      <c r="I2084">
        <v>3</v>
      </c>
      <c r="J2084" t="s">
        <v>16</v>
      </c>
      <c r="K2084" s="59" t="s">
        <v>16</v>
      </c>
    </row>
    <row r="2085" spans="1:11" x14ac:dyDescent="0.2">
      <c r="A2085" t="s">
        <v>2124</v>
      </c>
      <c r="B2085">
        <v>2023</v>
      </c>
      <c r="C2085" t="s">
        <v>12</v>
      </c>
      <c r="D2085">
        <v>393</v>
      </c>
      <c r="E2085" t="s">
        <v>38</v>
      </c>
      <c r="F2085" t="s">
        <v>39</v>
      </c>
      <c r="G2085" t="s">
        <v>15</v>
      </c>
      <c r="H2085">
        <v>-5.0426212774462454E-3</v>
      </c>
      <c r="I2085">
        <v>3</v>
      </c>
      <c r="J2085" t="s">
        <v>16</v>
      </c>
      <c r="K2085" s="59" t="s">
        <v>4376</v>
      </c>
    </row>
    <row r="2086" spans="1:11" x14ac:dyDescent="0.2">
      <c r="A2086" t="s">
        <v>2125</v>
      </c>
      <c r="B2086">
        <v>2022</v>
      </c>
      <c r="C2086" t="s">
        <v>19</v>
      </c>
      <c r="D2086">
        <v>353</v>
      </c>
      <c r="E2086" t="s">
        <v>53</v>
      </c>
      <c r="F2086" t="s">
        <v>54</v>
      </c>
      <c r="G2086" t="s">
        <v>15</v>
      </c>
      <c r="H2086">
        <v>0.46058692577733279</v>
      </c>
      <c r="I2086">
        <v>3</v>
      </c>
      <c r="J2086" t="s">
        <v>16</v>
      </c>
      <c r="K2086" s="59" t="s">
        <v>16</v>
      </c>
    </row>
    <row r="2087" spans="1:11" x14ac:dyDescent="0.2">
      <c r="A2087" t="s">
        <v>2126</v>
      </c>
      <c r="B2087">
        <v>2020</v>
      </c>
      <c r="C2087" t="s">
        <v>19</v>
      </c>
      <c r="D2087">
        <v>120</v>
      </c>
      <c r="E2087" t="s">
        <v>20</v>
      </c>
      <c r="F2087" t="s">
        <v>21</v>
      </c>
      <c r="G2087" t="s">
        <v>48</v>
      </c>
      <c r="H2087">
        <v>-0.65923289399903673</v>
      </c>
      <c r="I2087">
        <v>3</v>
      </c>
      <c r="J2087" t="s">
        <v>23</v>
      </c>
      <c r="K2087" s="59" t="s">
        <v>17</v>
      </c>
    </row>
    <row r="2088" spans="1:11" x14ac:dyDescent="0.2">
      <c r="A2088" t="s">
        <v>2127</v>
      </c>
      <c r="B2088">
        <v>2022</v>
      </c>
      <c r="C2088" t="s">
        <v>33</v>
      </c>
      <c r="D2088">
        <v>353</v>
      </c>
      <c r="E2088" t="s">
        <v>53</v>
      </c>
      <c r="F2088" t="s">
        <v>54</v>
      </c>
      <c r="G2088" t="s">
        <v>15</v>
      </c>
      <c r="H2088">
        <v>0.46058692577733279</v>
      </c>
      <c r="I2088">
        <v>3</v>
      </c>
      <c r="J2088" t="s">
        <v>16</v>
      </c>
      <c r="K2088" s="59" t="s">
        <v>4376</v>
      </c>
    </row>
    <row r="2089" spans="1:11" x14ac:dyDescent="0.2">
      <c r="A2089" t="s">
        <v>2128</v>
      </c>
      <c r="B2089">
        <v>2022</v>
      </c>
      <c r="C2089" t="s">
        <v>33</v>
      </c>
      <c r="D2089">
        <v>353</v>
      </c>
      <c r="E2089" t="s">
        <v>53</v>
      </c>
      <c r="F2089" t="s">
        <v>54</v>
      </c>
      <c r="G2089" t="s">
        <v>15</v>
      </c>
      <c r="H2089">
        <v>0.46058692577733279</v>
      </c>
      <c r="I2089">
        <v>3</v>
      </c>
      <c r="J2089" t="s">
        <v>16</v>
      </c>
      <c r="K2089" s="59" t="s">
        <v>4376</v>
      </c>
    </row>
    <row r="2090" spans="1:11" x14ac:dyDescent="0.2">
      <c r="A2090" t="s">
        <v>2129</v>
      </c>
      <c r="B2090">
        <v>2022</v>
      </c>
      <c r="C2090" t="s">
        <v>19</v>
      </c>
      <c r="D2090">
        <v>353</v>
      </c>
      <c r="E2090" t="s">
        <v>53</v>
      </c>
      <c r="F2090" t="s">
        <v>54</v>
      </c>
      <c r="G2090" t="s">
        <v>15</v>
      </c>
      <c r="H2090">
        <v>0.46058692577733279</v>
      </c>
      <c r="I2090">
        <v>3</v>
      </c>
      <c r="J2090" t="s">
        <v>16</v>
      </c>
      <c r="K2090" s="59" t="s">
        <v>16</v>
      </c>
    </row>
    <row r="2091" spans="1:11" x14ac:dyDescent="0.2">
      <c r="A2091" t="s">
        <v>2130</v>
      </c>
      <c r="B2091">
        <v>2021</v>
      </c>
      <c r="C2091" t="s">
        <v>33</v>
      </c>
      <c r="D2091">
        <v>398</v>
      </c>
      <c r="E2091" t="s">
        <v>29</v>
      </c>
      <c r="F2091" t="s">
        <v>30</v>
      </c>
      <c r="G2091" t="s">
        <v>15</v>
      </c>
      <c r="H2091">
        <v>0.43743819565275671</v>
      </c>
      <c r="I2091">
        <v>4</v>
      </c>
      <c r="J2091" t="s">
        <v>23</v>
      </c>
      <c r="K2091" s="59" t="s">
        <v>4376</v>
      </c>
    </row>
    <row r="2092" spans="1:11" x14ac:dyDescent="0.2">
      <c r="A2092" t="s">
        <v>2131</v>
      </c>
      <c r="B2092">
        <v>2024</v>
      </c>
      <c r="C2092" t="s">
        <v>19</v>
      </c>
      <c r="D2092">
        <v>261</v>
      </c>
      <c r="E2092" t="s">
        <v>20</v>
      </c>
      <c r="F2092" t="s">
        <v>21</v>
      </c>
      <c r="G2092" t="s">
        <v>15</v>
      </c>
      <c r="H2092">
        <v>0.28129818822783531</v>
      </c>
      <c r="I2092">
        <v>3</v>
      </c>
      <c r="J2092" t="s">
        <v>17</v>
      </c>
      <c r="K2092" s="59" t="s">
        <v>17</v>
      </c>
    </row>
    <row r="2093" spans="1:11" x14ac:dyDescent="0.2">
      <c r="A2093" t="s">
        <v>2132</v>
      </c>
      <c r="B2093">
        <v>2022</v>
      </c>
      <c r="C2093" t="s">
        <v>33</v>
      </c>
      <c r="D2093">
        <v>130</v>
      </c>
      <c r="E2093" t="s">
        <v>20</v>
      </c>
      <c r="F2093" t="s">
        <v>21</v>
      </c>
      <c r="G2093" t="s">
        <v>48</v>
      </c>
      <c r="H2093">
        <v>-0.9635941783485118</v>
      </c>
      <c r="I2093">
        <v>3</v>
      </c>
      <c r="J2093" t="s">
        <v>23</v>
      </c>
      <c r="K2093" s="59" t="s">
        <v>17</v>
      </c>
    </row>
    <row r="2094" spans="1:11" x14ac:dyDescent="0.2">
      <c r="A2094" t="s">
        <v>2133</v>
      </c>
      <c r="B2094">
        <v>2020</v>
      </c>
      <c r="C2094" t="s">
        <v>33</v>
      </c>
      <c r="D2094">
        <v>59</v>
      </c>
      <c r="E2094" t="s">
        <v>20</v>
      </c>
      <c r="F2094" t="s">
        <v>21</v>
      </c>
      <c r="G2094" t="s">
        <v>41</v>
      </c>
      <c r="H2094">
        <v>-0.65290622835058254</v>
      </c>
      <c r="I2094">
        <v>3</v>
      </c>
      <c r="J2094" t="s">
        <v>16</v>
      </c>
      <c r="K2094" s="59" t="s">
        <v>4376</v>
      </c>
    </row>
    <row r="2095" spans="1:11" x14ac:dyDescent="0.2">
      <c r="A2095" t="s">
        <v>2134</v>
      </c>
      <c r="B2095">
        <v>2020</v>
      </c>
      <c r="C2095" t="s">
        <v>19</v>
      </c>
      <c r="D2095">
        <v>76</v>
      </c>
      <c r="E2095" t="s">
        <v>20</v>
      </c>
      <c r="F2095" t="s">
        <v>21</v>
      </c>
      <c r="G2095" t="s">
        <v>15</v>
      </c>
      <c r="H2095">
        <v>-1.519384349769292</v>
      </c>
      <c r="I2095">
        <v>3</v>
      </c>
      <c r="J2095" t="s">
        <v>16</v>
      </c>
      <c r="K2095" s="59" t="s">
        <v>17</v>
      </c>
    </row>
    <row r="2096" spans="1:11" x14ac:dyDescent="0.2">
      <c r="A2096" t="s">
        <v>2135</v>
      </c>
      <c r="B2096">
        <v>2024</v>
      </c>
      <c r="C2096" t="s">
        <v>33</v>
      </c>
      <c r="D2096">
        <v>230</v>
      </c>
      <c r="E2096" t="s">
        <v>25</v>
      </c>
      <c r="F2096" t="s">
        <v>26</v>
      </c>
      <c r="G2096" t="s">
        <v>15</v>
      </c>
      <c r="H2096">
        <v>0.35970225732901118</v>
      </c>
      <c r="I2096">
        <v>2</v>
      </c>
      <c r="J2096" t="s">
        <v>17</v>
      </c>
      <c r="K2096" s="59" t="s">
        <v>4376</v>
      </c>
    </row>
    <row r="2097" spans="1:11" x14ac:dyDescent="0.2">
      <c r="A2097" t="s">
        <v>2136</v>
      </c>
      <c r="B2097">
        <v>2022</v>
      </c>
      <c r="C2097" t="s">
        <v>19</v>
      </c>
      <c r="D2097">
        <v>353</v>
      </c>
      <c r="E2097" t="s">
        <v>53</v>
      </c>
      <c r="F2097" t="s">
        <v>54</v>
      </c>
      <c r="G2097" t="s">
        <v>15</v>
      </c>
      <c r="H2097">
        <v>0.46058692577733279</v>
      </c>
      <c r="I2097">
        <v>3</v>
      </c>
      <c r="J2097" t="s">
        <v>16</v>
      </c>
      <c r="K2097" s="59" t="s">
        <v>4376</v>
      </c>
    </row>
    <row r="2098" spans="1:11" x14ac:dyDescent="0.2">
      <c r="A2098" t="s">
        <v>2137</v>
      </c>
      <c r="B2098">
        <v>2023</v>
      </c>
      <c r="C2098" t="s">
        <v>12</v>
      </c>
      <c r="D2098">
        <v>393</v>
      </c>
      <c r="E2098" t="s">
        <v>38</v>
      </c>
      <c r="F2098" t="s">
        <v>39</v>
      </c>
      <c r="G2098" t="s">
        <v>15</v>
      </c>
      <c r="H2098">
        <v>-5.0426212774462454E-3</v>
      </c>
      <c r="I2098">
        <v>3</v>
      </c>
      <c r="J2098" t="s">
        <v>16</v>
      </c>
      <c r="K2098" s="59" t="s">
        <v>17</v>
      </c>
    </row>
    <row r="2099" spans="1:11" x14ac:dyDescent="0.2">
      <c r="A2099" t="s">
        <v>2138</v>
      </c>
      <c r="B2099">
        <v>2022</v>
      </c>
      <c r="C2099" t="s">
        <v>19</v>
      </c>
      <c r="D2099">
        <v>353</v>
      </c>
      <c r="E2099" t="s">
        <v>53</v>
      </c>
      <c r="F2099" t="s">
        <v>54</v>
      </c>
      <c r="G2099" t="s">
        <v>15</v>
      </c>
      <c r="H2099">
        <v>0.46058692577733279</v>
      </c>
      <c r="I2099">
        <v>3</v>
      </c>
      <c r="J2099" t="s">
        <v>16</v>
      </c>
      <c r="K2099" s="59" t="s">
        <v>16</v>
      </c>
    </row>
    <row r="2100" spans="1:11" x14ac:dyDescent="0.2">
      <c r="A2100" t="s">
        <v>2139</v>
      </c>
      <c r="B2100">
        <v>2023</v>
      </c>
      <c r="C2100" t="s">
        <v>33</v>
      </c>
      <c r="D2100">
        <v>70</v>
      </c>
      <c r="E2100" t="s">
        <v>53</v>
      </c>
      <c r="F2100" t="s">
        <v>54</v>
      </c>
      <c r="G2100" t="s">
        <v>22</v>
      </c>
      <c r="H2100">
        <v>-1.068629387250613</v>
      </c>
      <c r="I2100">
        <v>3</v>
      </c>
      <c r="J2100" t="s">
        <v>16</v>
      </c>
      <c r="K2100" s="59" t="s">
        <v>4376</v>
      </c>
    </row>
    <row r="2101" spans="1:11" x14ac:dyDescent="0.2">
      <c r="A2101" t="s">
        <v>2140</v>
      </c>
      <c r="B2101">
        <v>2020</v>
      </c>
      <c r="C2101" t="s">
        <v>33</v>
      </c>
      <c r="D2101">
        <v>58</v>
      </c>
      <c r="E2101" t="s">
        <v>29</v>
      </c>
      <c r="F2101" t="s">
        <v>30</v>
      </c>
      <c r="G2101" t="s">
        <v>15</v>
      </c>
      <c r="H2101">
        <v>-0.44312731474394779</v>
      </c>
      <c r="I2101">
        <v>4</v>
      </c>
      <c r="J2101" t="s">
        <v>23</v>
      </c>
      <c r="K2101" s="59" t="s">
        <v>4376</v>
      </c>
    </row>
    <row r="2102" spans="1:11" x14ac:dyDescent="0.2">
      <c r="A2102" t="s">
        <v>2141</v>
      </c>
      <c r="B2102">
        <v>2022</v>
      </c>
      <c r="C2102" t="s">
        <v>19</v>
      </c>
      <c r="D2102">
        <v>353</v>
      </c>
      <c r="E2102" t="s">
        <v>53</v>
      </c>
      <c r="F2102" t="s">
        <v>54</v>
      </c>
      <c r="G2102" t="s">
        <v>15</v>
      </c>
      <c r="H2102">
        <v>0.46058692577733279</v>
      </c>
      <c r="I2102">
        <v>3</v>
      </c>
      <c r="J2102" t="s">
        <v>16</v>
      </c>
      <c r="K2102" s="59" t="s">
        <v>16</v>
      </c>
    </row>
    <row r="2103" spans="1:11" x14ac:dyDescent="0.2">
      <c r="A2103" t="s">
        <v>2142</v>
      </c>
      <c r="B2103">
        <v>2022</v>
      </c>
      <c r="C2103" t="s">
        <v>19</v>
      </c>
      <c r="D2103">
        <v>76</v>
      </c>
      <c r="E2103" t="s">
        <v>25</v>
      </c>
      <c r="F2103" t="s">
        <v>26</v>
      </c>
      <c r="G2103" t="s">
        <v>15</v>
      </c>
      <c r="H2103">
        <v>-1.369986112943856</v>
      </c>
      <c r="I2103">
        <v>2</v>
      </c>
      <c r="J2103" t="s">
        <v>23</v>
      </c>
      <c r="K2103" s="59" t="s">
        <v>17</v>
      </c>
    </row>
    <row r="2104" spans="1:11" x14ac:dyDescent="0.2">
      <c r="A2104" t="s">
        <v>2143</v>
      </c>
      <c r="B2104">
        <v>2022</v>
      </c>
      <c r="C2104" t="s">
        <v>19</v>
      </c>
      <c r="D2104">
        <v>353</v>
      </c>
      <c r="E2104" t="s">
        <v>53</v>
      </c>
      <c r="F2104" t="s">
        <v>54</v>
      </c>
      <c r="G2104" t="s">
        <v>15</v>
      </c>
      <c r="H2104">
        <v>0.46058692577733279</v>
      </c>
      <c r="I2104">
        <v>3</v>
      </c>
      <c r="J2104" t="s">
        <v>16</v>
      </c>
      <c r="K2104" s="59" t="s">
        <v>16</v>
      </c>
    </row>
    <row r="2105" spans="1:11" x14ac:dyDescent="0.2">
      <c r="A2105" t="s">
        <v>2144</v>
      </c>
      <c r="B2105">
        <v>2022</v>
      </c>
      <c r="C2105" t="s">
        <v>19</v>
      </c>
      <c r="D2105">
        <v>353</v>
      </c>
      <c r="E2105" t="s">
        <v>53</v>
      </c>
      <c r="F2105" t="s">
        <v>54</v>
      </c>
      <c r="G2105" t="s">
        <v>15</v>
      </c>
      <c r="H2105">
        <v>0.46058692577733279</v>
      </c>
      <c r="I2105">
        <v>3</v>
      </c>
      <c r="J2105" t="s">
        <v>16</v>
      </c>
      <c r="K2105" s="59" t="s">
        <v>17</v>
      </c>
    </row>
    <row r="2106" spans="1:11" x14ac:dyDescent="0.2">
      <c r="A2106" t="s">
        <v>2145</v>
      </c>
      <c r="B2106">
        <v>2022</v>
      </c>
      <c r="C2106" t="s">
        <v>12</v>
      </c>
      <c r="D2106">
        <v>353</v>
      </c>
      <c r="E2106" t="s">
        <v>53</v>
      </c>
      <c r="F2106" t="s">
        <v>54</v>
      </c>
      <c r="G2106" t="s">
        <v>15</v>
      </c>
      <c r="H2106">
        <v>0.46058692577733279</v>
      </c>
      <c r="I2106">
        <v>3</v>
      </c>
      <c r="J2106" t="s">
        <v>16</v>
      </c>
      <c r="K2106" s="59" t="s">
        <v>16</v>
      </c>
    </row>
    <row r="2107" spans="1:11" x14ac:dyDescent="0.2">
      <c r="A2107" t="s">
        <v>2146</v>
      </c>
      <c r="B2107">
        <v>2022</v>
      </c>
      <c r="C2107" t="s">
        <v>19</v>
      </c>
      <c r="D2107">
        <v>353</v>
      </c>
      <c r="E2107" t="s">
        <v>53</v>
      </c>
      <c r="F2107" t="s">
        <v>54</v>
      </c>
      <c r="G2107" t="s">
        <v>15</v>
      </c>
      <c r="H2107">
        <v>0.46058692577733279</v>
      </c>
      <c r="I2107">
        <v>3</v>
      </c>
      <c r="J2107" t="s">
        <v>16</v>
      </c>
      <c r="K2107" s="59" t="s">
        <v>16</v>
      </c>
    </row>
    <row r="2108" spans="1:11" x14ac:dyDescent="0.2">
      <c r="A2108" t="s">
        <v>2147</v>
      </c>
      <c r="B2108">
        <v>2024</v>
      </c>
      <c r="C2108" t="s">
        <v>33</v>
      </c>
      <c r="D2108">
        <v>230</v>
      </c>
      <c r="E2108" t="s">
        <v>25</v>
      </c>
      <c r="F2108" t="s">
        <v>26</v>
      </c>
      <c r="G2108" t="s">
        <v>15</v>
      </c>
      <c r="H2108">
        <v>0.35970225732901118</v>
      </c>
      <c r="I2108">
        <v>2</v>
      </c>
      <c r="J2108" t="s">
        <v>17</v>
      </c>
      <c r="K2108" s="59" t="s">
        <v>4376</v>
      </c>
    </row>
    <row r="2109" spans="1:11" x14ac:dyDescent="0.2">
      <c r="A2109" t="s">
        <v>2148</v>
      </c>
      <c r="B2109">
        <v>2022</v>
      </c>
      <c r="C2109" t="s">
        <v>19</v>
      </c>
      <c r="D2109">
        <v>353</v>
      </c>
      <c r="E2109" t="s">
        <v>53</v>
      </c>
      <c r="F2109" t="s">
        <v>54</v>
      </c>
      <c r="G2109" t="s">
        <v>15</v>
      </c>
      <c r="H2109">
        <v>0.46058692577733279</v>
      </c>
      <c r="I2109">
        <v>3</v>
      </c>
      <c r="J2109" t="s">
        <v>16</v>
      </c>
      <c r="K2109" s="59" t="s">
        <v>4376</v>
      </c>
    </row>
    <row r="2110" spans="1:11" x14ac:dyDescent="0.2">
      <c r="A2110" t="s">
        <v>2149</v>
      </c>
      <c r="B2110">
        <v>2021</v>
      </c>
      <c r="C2110" t="s">
        <v>33</v>
      </c>
      <c r="D2110">
        <v>132</v>
      </c>
      <c r="E2110" t="s">
        <v>25</v>
      </c>
      <c r="F2110" t="s">
        <v>26</v>
      </c>
      <c r="G2110" t="s">
        <v>15</v>
      </c>
      <c r="H2110">
        <v>2.3094561073872759</v>
      </c>
      <c r="I2110">
        <v>2</v>
      </c>
      <c r="J2110" t="s">
        <v>16</v>
      </c>
      <c r="K2110" s="59" t="s">
        <v>17</v>
      </c>
    </row>
    <row r="2111" spans="1:11" x14ac:dyDescent="0.2">
      <c r="A2111" t="s">
        <v>2150</v>
      </c>
      <c r="B2111">
        <v>2023</v>
      </c>
      <c r="C2111" t="s">
        <v>33</v>
      </c>
      <c r="D2111">
        <v>132</v>
      </c>
      <c r="E2111" t="s">
        <v>20</v>
      </c>
      <c r="F2111" t="s">
        <v>21</v>
      </c>
      <c r="G2111" t="s">
        <v>48</v>
      </c>
      <c r="H2111">
        <v>2.1572836224081962</v>
      </c>
      <c r="I2111">
        <v>3</v>
      </c>
      <c r="J2111" t="s">
        <v>16</v>
      </c>
      <c r="K2111" s="59" t="s">
        <v>4376</v>
      </c>
    </row>
    <row r="2112" spans="1:11" x14ac:dyDescent="0.2">
      <c r="A2112" t="s">
        <v>2151</v>
      </c>
      <c r="B2112">
        <v>2022</v>
      </c>
      <c r="C2112" t="s">
        <v>19</v>
      </c>
      <c r="D2112">
        <v>145</v>
      </c>
      <c r="E2112" t="s">
        <v>20</v>
      </c>
      <c r="F2112" t="s">
        <v>21</v>
      </c>
      <c r="G2112" t="s">
        <v>15</v>
      </c>
      <c r="H2112">
        <v>-0.46068328056351038</v>
      </c>
      <c r="I2112">
        <v>3</v>
      </c>
      <c r="J2112" t="s">
        <v>23</v>
      </c>
      <c r="K2112" s="59" t="s">
        <v>23</v>
      </c>
    </row>
    <row r="2113" spans="1:11" x14ac:dyDescent="0.2">
      <c r="A2113" t="s">
        <v>2152</v>
      </c>
      <c r="B2113">
        <v>2022</v>
      </c>
      <c r="C2113" t="s">
        <v>19</v>
      </c>
      <c r="D2113">
        <v>353</v>
      </c>
      <c r="E2113" t="s">
        <v>53</v>
      </c>
      <c r="F2113" t="s">
        <v>54</v>
      </c>
      <c r="G2113" t="s">
        <v>15</v>
      </c>
      <c r="H2113">
        <v>0.46058692577733279</v>
      </c>
      <c r="I2113">
        <v>3</v>
      </c>
      <c r="J2113" t="s">
        <v>16</v>
      </c>
      <c r="K2113" s="59" t="s">
        <v>17</v>
      </c>
    </row>
    <row r="2114" spans="1:11" x14ac:dyDescent="0.2">
      <c r="A2114" t="s">
        <v>2153</v>
      </c>
      <c r="B2114">
        <v>2022</v>
      </c>
      <c r="C2114" t="s">
        <v>33</v>
      </c>
      <c r="D2114">
        <v>353</v>
      </c>
      <c r="E2114" t="s">
        <v>53</v>
      </c>
      <c r="F2114" t="s">
        <v>54</v>
      </c>
      <c r="G2114" t="s">
        <v>15</v>
      </c>
      <c r="H2114">
        <v>0.46058692577733279</v>
      </c>
      <c r="I2114">
        <v>3</v>
      </c>
      <c r="J2114" t="s">
        <v>16</v>
      </c>
      <c r="K2114" s="59" t="s">
        <v>4376</v>
      </c>
    </row>
    <row r="2115" spans="1:11" x14ac:dyDescent="0.2">
      <c r="A2115" t="s">
        <v>2154</v>
      </c>
      <c r="B2115">
        <v>2024</v>
      </c>
      <c r="C2115" t="s">
        <v>19</v>
      </c>
      <c r="D2115">
        <v>73</v>
      </c>
      <c r="E2115" t="s">
        <v>25</v>
      </c>
      <c r="F2115" t="s">
        <v>26</v>
      </c>
      <c r="G2115" t="s">
        <v>15</v>
      </c>
      <c r="H2115">
        <v>-0.13665031143673101</v>
      </c>
      <c r="I2115">
        <v>2</v>
      </c>
      <c r="J2115" t="s">
        <v>16</v>
      </c>
      <c r="K2115" s="59" t="s">
        <v>16</v>
      </c>
    </row>
    <row r="2116" spans="1:11" x14ac:dyDescent="0.2">
      <c r="A2116" t="s">
        <v>2155</v>
      </c>
      <c r="B2116">
        <v>2022</v>
      </c>
      <c r="C2116" t="s">
        <v>19</v>
      </c>
      <c r="D2116">
        <v>353</v>
      </c>
      <c r="E2116" t="s">
        <v>53</v>
      </c>
      <c r="F2116" t="s">
        <v>54</v>
      </c>
      <c r="G2116" t="s">
        <v>15</v>
      </c>
      <c r="H2116">
        <v>0.46058692577733279</v>
      </c>
      <c r="I2116">
        <v>3</v>
      </c>
      <c r="J2116" t="s">
        <v>16</v>
      </c>
      <c r="K2116" s="59" t="s">
        <v>16</v>
      </c>
    </row>
    <row r="2117" spans="1:11" x14ac:dyDescent="0.2">
      <c r="A2117" t="s">
        <v>2156</v>
      </c>
      <c r="B2117">
        <v>2022</v>
      </c>
      <c r="C2117" t="s">
        <v>19</v>
      </c>
      <c r="D2117">
        <v>353</v>
      </c>
      <c r="E2117" t="s">
        <v>53</v>
      </c>
      <c r="F2117" t="s">
        <v>54</v>
      </c>
      <c r="G2117" t="s">
        <v>15</v>
      </c>
      <c r="H2117">
        <v>0.46058692577733279</v>
      </c>
      <c r="I2117">
        <v>3</v>
      </c>
      <c r="J2117" t="s">
        <v>16</v>
      </c>
      <c r="K2117" s="59" t="s">
        <v>17</v>
      </c>
    </row>
    <row r="2118" spans="1:11" x14ac:dyDescent="0.2">
      <c r="A2118" t="s">
        <v>2157</v>
      </c>
      <c r="B2118">
        <v>2022</v>
      </c>
      <c r="C2118" t="s">
        <v>19</v>
      </c>
      <c r="D2118">
        <v>353</v>
      </c>
      <c r="E2118" t="s">
        <v>53</v>
      </c>
      <c r="F2118" t="s">
        <v>54</v>
      </c>
      <c r="G2118" t="s">
        <v>15</v>
      </c>
      <c r="H2118">
        <v>0.46058692577733279</v>
      </c>
      <c r="I2118">
        <v>3</v>
      </c>
      <c r="J2118" t="s">
        <v>16</v>
      </c>
      <c r="K2118" s="59" t="s">
        <v>16</v>
      </c>
    </row>
    <row r="2119" spans="1:11" x14ac:dyDescent="0.2">
      <c r="A2119" t="s">
        <v>2158</v>
      </c>
      <c r="B2119">
        <v>2022</v>
      </c>
      <c r="C2119" t="s">
        <v>19</v>
      </c>
      <c r="D2119">
        <v>353</v>
      </c>
      <c r="E2119" t="s">
        <v>53</v>
      </c>
      <c r="F2119" t="s">
        <v>54</v>
      </c>
      <c r="G2119" t="s">
        <v>15</v>
      </c>
      <c r="H2119">
        <v>0.46058692577733279</v>
      </c>
      <c r="I2119">
        <v>3</v>
      </c>
      <c r="J2119" t="s">
        <v>16</v>
      </c>
      <c r="K2119" s="59" t="s">
        <v>16</v>
      </c>
    </row>
    <row r="2120" spans="1:11" x14ac:dyDescent="0.2">
      <c r="A2120" t="s">
        <v>2159</v>
      </c>
      <c r="B2120">
        <v>2020</v>
      </c>
      <c r="C2120" t="s">
        <v>19</v>
      </c>
      <c r="D2120">
        <v>64</v>
      </c>
      <c r="E2120" t="s">
        <v>25</v>
      </c>
      <c r="F2120" t="s">
        <v>26</v>
      </c>
      <c r="G2120" t="s">
        <v>15</v>
      </c>
      <c r="H2120">
        <v>-0.31004176740210432</v>
      </c>
      <c r="I2120">
        <v>2</v>
      </c>
      <c r="J2120" t="s">
        <v>23</v>
      </c>
      <c r="K2120" s="59" t="s">
        <v>16</v>
      </c>
    </row>
    <row r="2121" spans="1:11" x14ac:dyDescent="0.2">
      <c r="A2121" t="s">
        <v>2160</v>
      </c>
      <c r="B2121">
        <v>2022</v>
      </c>
      <c r="C2121" t="s">
        <v>19</v>
      </c>
      <c r="D2121">
        <v>353</v>
      </c>
      <c r="E2121" t="s">
        <v>53</v>
      </c>
      <c r="F2121" t="s">
        <v>54</v>
      </c>
      <c r="G2121" t="s">
        <v>15</v>
      </c>
      <c r="H2121">
        <v>0.46058692577733279</v>
      </c>
      <c r="I2121">
        <v>3</v>
      </c>
      <c r="J2121" t="s">
        <v>16</v>
      </c>
      <c r="K2121" s="59" t="s">
        <v>17</v>
      </c>
    </row>
    <row r="2122" spans="1:11" x14ac:dyDescent="0.2">
      <c r="A2122" t="s">
        <v>2161</v>
      </c>
      <c r="B2122">
        <v>2022</v>
      </c>
      <c r="C2122" t="s">
        <v>33</v>
      </c>
      <c r="D2122">
        <v>353</v>
      </c>
      <c r="E2122" t="s">
        <v>53</v>
      </c>
      <c r="F2122" t="s">
        <v>54</v>
      </c>
      <c r="G2122" t="s">
        <v>15</v>
      </c>
      <c r="H2122">
        <v>0.46058692577733279</v>
      </c>
      <c r="I2122">
        <v>3</v>
      </c>
      <c r="J2122" t="s">
        <v>16</v>
      </c>
      <c r="K2122" s="59" t="s">
        <v>16</v>
      </c>
    </row>
    <row r="2123" spans="1:11" x14ac:dyDescent="0.2">
      <c r="A2123" t="s">
        <v>2162</v>
      </c>
      <c r="B2123">
        <v>2021</v>
      </c>
      <c r="C2123" t="s">
        <v>19</v>
      </c>
      <c r="D2123">
        <v>154</v>
      </c>
      <c r="E2123" t="s">
        <v>25</v>
      </c>
      <c r="F2123" t="s">
        <v>26</v>
      </c>
      <c r="G2123" t="s">
        <v>15</v>
      </c>
      <c r="H2123">
        <v>1.518606534749267</v>
      </c>
      <c r="I2123">
        <v>2</v>
      </c>
      <c r="J2123" t="s">
        <v>23</v>
      </c>
      <c r="K2123" s="59" t="s">
        <v>16</v>
      </c>
    </row>
    <row r="2124" spans="1:11" x14ac:dyDescent="0.2">
      <c r="A2124" t="s">
        <v>2163</v>
      </c>
      <c r="B2124">
        <v>2023</v>
      </c>
      <c r="C2124" t="s">
        <v>12</v>
      </c>
      <c r="D2124">
        <v>396</v>
      </c>
      <c r="E2124" t="s">
        <v>38</v>
      </c>
      <c r="F2124" t="s">
        <v>39</v>
      </c>
      <c r="G2124" t="s">
        <v>15</v>
      </c>
      <c r="H2124">
        <v>0.1245455135341255</v>
      </c>
      <c r="I2124">
        <v>3</v>
      </c>
      <c r="J2124" t="s">
        <v>16</v>
      </c>
      <c r="K2124" s="59" t="s">
        <v>4376</v>
      </c>
    </row>
    <row r="2125" spans="1:11" x14ac:dyDescent="0.2">
      <c r="A2125" t="s">
        <v>2164</v>
      </c>
      <c r="B2125">
        <v>2019</v>
      </c>
      <c r="C2125" t="s">
        <v>19</v>
      </c>
      <c r="D2125">
        <v>81</v>
      </c>
      <c r="E2125" t="s">
        <v>25</v>
      </c>
      <c r="F2125" t="s">
        <v>26</v>
      </c>
      <c r="G2125" t="s">
        <v>15</v>
      </c>
      <c r="H2125">
        <v>0.61178622633785529</v>
      </c>
      <c r="I2125">
        <v>2</v>
      </c>
      <c r="J2125" t="s">
        <v>16</v>
      </c>
      <c r="K2125" s="59" t="s">
        <v>17</v>
      </c>
    </row>
    <row r="2126" spans="1:11" x14ac:dyDescent="0.2">
      <c r="A2126" t="s">
        <v>2165</v>
      </c>
      <c r="B2126">
        <v>2021</v>
      </c>
      <c r="C2126" t="s">
        <v>33</v>
      </c>
      <c r="D2126">
        <v>319</v>
      </c>
      <c r="E2126" t="s">
        <v>38</v>
      </c>
      <c r="F2126" t="s">
        <v>39</v>
      </c>
      <c r="G2126" t="s">
        <v>15</v>
      </c>
      <c r="H2126">
        <v>0.6155305486394721</v>
      </c>
      <c r="I2126">
        <v>3</v>
      </c>
      <c r="J2126" t="s">
        <v>16</v>
      </c>
      <c r="K2126" s="59" t="s">
        <v>4376</v>
      </c>
    </row>
    <row r="2127" spans="1:11" x14ac:dyDescent="0.2">
      <c r="A2127" t="s">
        <v>2166</v>
      </c>
      <c r="B2127">
        <v>2021</v>
      </c>
      <c r="C2127" t="s">
        <v>33</v>
      </c>
      <c r="D2127">
        <v>398</v>
      </c>
      <c r="E2127" t="s">
        <v>29</v>
      </c>
      <c r="F2127" t="s">
        <v>30</v>
      </c>
      <c r="G2127" t="s">
        <v>15</v>
      </c>
      <c r="H2127">
        <v>0.43743819565275671</v>
      </c>
      <c r="I2127">
        <v>4</v>
      </c>
      <c r="J2127" t="s">
        <v>23</v>
      </c>
      <c r="K2127" s="59" t="s">
        <v>4376</v>
      </c>
    </row>
    <row r="2128" spans="1:11" x14ac:dyDescent="0.2">
      <c r="A2128" t="s">
        <v>2167</v>
      </c>
      <c r="B2128">
        <v>2022</v>
      </c>
      <c r="C2128" t="s">
        <v>33</v>
      </c>
      <c r="D2128">
        <v>353</v>
      </c>
      <c r="E2128" t="s">
        <v>53</v>
      </c>
      <c r="F2128" t="s">
        <v>54</v>
      </c>
      <c r="G2128" t="s">
        <v>15</v>
      </c>
      <c r="H2128">
        <v>0.46058692577733279</v>
      </c>
      <c r="I2128">
        <v>3</v>
      </c>
      <c r="J2128" t="s">
        <v>16</v>
      </c>
      <c r="K2128" s="59" t="s">
        <v>4376</v>
      </c>
    </row>
    <row r="2129" spans="1:11" x14ac:dyDescent="0.2">
      <c r="A2129" t="s">
        <v>2168</v>
      </c>
      <c r="B2129">
        <v>2022</v>
      </c>
      <c r="C2129" t="s">
        <v>19</v>
      </c>
      <c r="D2129">
        <v>353</v>
      </c>
      <c r="E2129" t="s">
        <v>53</v>
      </c>
      <c r="F2129" t="s">
        <v>54</v>
      </c>
      <c r="G2129" t="s">
        <v>15</v>
      </c>
      <c r="H2129">
        <v>0.46058692577733279</v>
      </c>
      <c r="I2129">
        <v>3</v>
      </c>
      <c r="J2129" t="s">
        <v>16</v>
      </c>
      <c r="K2129" s="59" t="s">
        <v>17</v>
      </c>
    </row>
    <row r="2130" spans="1:11" x14ac:dyDescent="0.2">
      <c r="A2130" t="s">
        <v>2169</v>
      </c>
      <c r="B2130">
        <v>2022</v>
      </c>
      <c r="C2130" t="s">
        <v>19</v>
      </c>
      <c r="D2130">
        <v>353</v>
      </c>
      <c r="E2130" t="s">
        <v>53</v>
      </c>
      <c r="F2130" t="s">
        <v>54</v>
      </c>
      <c r="G2130" t="s">
        <v>15</v>
      </c>
      <c r="H2130">
        <v>0.46058692577733279</v>
      </c>
      <c r="I2130">
        <v>3</v>
      </c>
      <c r="J2130" t="s">
        <v>16</v>
      </c>
      <c r="K2130" s="59" t="s">
        <v>17</v>
      </c>
    </row>
    <row r="2131" spans="1:11" x14ac:dyDescent="0.2">
      <c r="A2131" t="s">
        <v>2170</v>
      </c>
      <c r="B2131">
        <v>2022</v>
      </c>
      <c r="C2131" t="s">
        <v>19</v>
      </c>
      <c r="D2131">
        <v>353</v>
      </c>
      <c r="E2131" t="s">
        <v>53</v>
      </c>
      <c r="F2131" t="s">
        <v>54</v>
      </c>
      <c r="G2131" t="s">
        <v>15</v>
      </c>
      <c r="H2131">
        <v>0.46058692577733279</v>
      </c>
      <c r="I2131">
        <v>3</v>
      </c>
      <c r="J2131" t="s">
        <v>16</v>
      </c>
      <c r="K2131" s="59" t="s">
        <v>17</v>
      </c>
    </row>
    <row r="2132" spans="1:11" x14ac:dyDescent="0.2">
      <c r="A2132" t="s">
        <v>2171</v>
      </c>
      <c r="B2132">
        <v>2022</v>
      </c>
      <c r="C2132" t="s">
        <v>19</v>
      </c>
      <c r="D2132">
        <v>353</v>
      </c>
      <c r="E2132" t="s">
        <v>53</v>
      </c>
      <c r="F2132" t="s">
        <v>54</v>
      </c>
      <c r="G2132" t="s">
        <v>15</v>
      </c>
      <c r="H2132">
        <v>0.46058692577733279</v>
      </c>
      <c r="I2132">
        <v>3</v>
      </c>
      <c r="J2132" t="s">
        <v>16</v>
      </c>
      <c r="K2132" s="59" t="s">
        <v>17</v>
      </c>
    </row>
    <row r="2133" spans="1:11" x14ac:dyDescent="0.2">
      <c r="A2133" t="s">
        <v>2172</v>
      </c>
      <c r="B2133">
        <v>2022</v>
      </c>
      <c r="C2133" t="s">
        <v>33</v>
      </c>
      <c r="D2133">
        <v>353</v>
      </c>
      <c r="E2133" t="s">
        <v>53</v>
      </c>
      <c r="F2133" t="s">
        <v>54</v>
      </c>
      <c r="G2133" t="s">
        <v>15</v>
      </c>
      <c r="H2133">
        <v>0.46058692577733279</v>
      </c>
      <c r="I2133">
        <v>3</v>
      </c>
      <c r="J2133" t="s">
        <v>16</v>
      </c>
      <c r="K2133" s="59" t="s">
        <v>4376</v>
      </c>
    </row>
    <row r="2134" spans="1:11" x14ac:dyDescent="0.2">
      <c r="A2134" t="s">
        <v>2173</v>
      </c>
      <c r="B2134">
        <v>2024</v>
      </c>
      <c r="C2134" t="s">
        <v>33</v>
      </c>
      <c r="D2134">
        <v>598</v>
      </c>
      <c r="E2134" t="s">
        <v>53</v>
      </c>
      <c r="F2134" t="s">
        <v>54</v>
      </c>
      <c r="G2134" t="s">
        <v>15</v>
      </c>
      <c r="H2134">
        <v>-0.340911879999171</v>
      </c>
      <c r="I2134">
        <v>3</v>
      </c>
      <c r="J2134" t="s">
        <v>16</v>
      </c>
      <c r="K2134" s="59" t="s">
        <v>17</v>
      </c>
    </row>
    <row r="2135" spans="1:11" x14ac:dyDescent="0.2">
      <c r="A2135" t="s">
        <v>2174</v>
      </c>
      <c r="B2135">
        <v>2023</v>
      </c>
      <c r="C2135" t="s">
        <v>12</v>
      </c>
      <c r="D2135">
        <v>393</v>
      </c>
      <c r="E2135" t="s">
        <v>38</v>
      </c>
      <c r="F2135" t="s">
        <v>39</v>
      </c>
      <c r="G2135" t="s">
        <v>15</v>
      </c>
      <c r="H2135">
        <v>-5.0426212774462454E-3</v>
      </c>
      <c r="I2135">
        <v>3</v>
      </c>
      <c r="J2135" t="s">
        <v>16</v>
      </c>
      <c r="K2135" s="59" t="s">
        <v>23</v>
      </c>
    </row>
    <row r="2136" spans="1:11" x14ac:dyDescent="0.2">
      <c r="A2136" t="s">
        <v>2175</v>
      </c>
      <c r="B2136">
        <v>2022</v>
      </c>
      <c r="C2136" t="s">
        <v>19</v>
      </c>
      <c r="D2136">
        <v>353</v>
      </c>
      <c r="E2136" t="s">
        <v>53</v>
      </c>
      <c r="F2136" t="s">
        <v>54</v>
      </c>
      <c r="G2136" t="s">
        <v>15</v>
      </c>
      <c r="H2136">
        <v>0.46058692577733279</v>
      </c>
      <c r="I2136">
        <v>3</v>
      </c>
      <c r="J2136" t="s">
        <v>16</v>
      </c>
      <c r="K2136" s="59" t="s">
        <v>4376</v>
      </c>
    </row>
    <row r="2137" spans="1:11" x14ac:dyDescent="0.2">
      <c r="A2137" t="s">
        <v>2176</v>
      </c>
      <c r="B2137">
        <v>2022</v>
      </c>
      <c r="C2137" t="s">
        <v>19</v>
      </c>
      <c r="D2137">
        <v>353</v>
      </c>
      <c r="E2137" t="s">
        <v>53</v>
      </c>
      <c r="F2137" t="s">
        <v>54</v>
      </c>
      <c r="G2137" t="s">
        <v>15</v>
      </c>
      <c r="H2137">
        <v>0.46058692577733279</v>
      </c>
      <c r="I2137">
        <v>3</v>
      </c>
      <c r="J2137" t="s">
        <v>16</v>
      </c>
      <c r="K2137" s="59" t="s">
        <v>16</v>
      </c>
    </row>
    <row r="2138" spans="1:11" x14ac:dyDescent="0.2">
      <c r="A2138" t="s">
        <v>2177</v>
      </c>
      <c r="B2138">
        <v>2020</v>
      </c>
      <c r="C2138" t="s">
        <v>33</v>
      </c>
      <c r="D2138">
        <v>61</v>
      </c>
      <c r="E2138" t="s">
        <v>13</v>
      </c>
      <c r="F2138" t="s">
        <v>14</v>
      </c>
      <c r="G2138" t="s">
        <v>41</v>
      </c>
      <c r="H2138">
        <v>-0.33491349264303921</v>
      </c>
      <c r="I2138">
        <v>4</v>
      </c>
      <c r="J2138" t="s">
        <v>16</v>
      </c>
      <c r="K2138" s="59" t="s">
        <v>4376</v>
      </c>
    </row>
    <row r="2139" spans="1:11" x14ac:dyDescent="0.2">
      <c r="A2139" t="s">
        <v>2178</v>
      </c>
      <c r="B2139">
        <v>2021</v>
      </c>
      <c r="C2139" t="s">
        <v>33</v>
      </c>
      <c r="D2139">
        <v>398</v>
      </c>
      <c r="E2139" t="s">
        <v>29</v>
      </c>
      <c r="F2139" t="s">
        <v>30</v>
      </c>
      <c r="G2139" t="s">
        <v>15</v>
      </c>
      <c r="H2139">
        <v>0.43743819565275671</v>
      </c>
      <c r="I2139">
        <v>4</v>
      </c>
      <c r="J2139" t="s">
        <v>23</v>
      </c>
      <c r="K2139" s="59" t="s">
        <v>4376</v>
      </c>
    </row>
    <row r="2140" spans="1:11" x14ac:dyDescent="0.2">
      <c r="A2140" t="s">
        <v>2179</v>
      </c>
      <c r="B2140">
        <v>2022</v>
      </c>
      <c r="C2140" t="s">
        <v>19</v>
      </c>
      <c r="D2140">
        <v>353</v>
      </c>
      <c r="E2140" t="s">
        <v>53</v>
      </c>
      <c r="F2140" t="s">
        <v>54</v>
      </c>
      <c r="G2140" t="s">
        <v>15</v>
      </c>
      <c r="H2140">
        <v>0.46058692577733279</v>
      </c>
      <c r="I2140">
        <v>3</v>
      </c>
      <c r="J2140" t="s">
        <v>16</v>
      </c>
      <c r="K2140" s="59" t="s">
        <v>16</v>
      </c>
    </row>
    <row r="2141" spans="1:11" x14ac:dyDescent="0.2">
      <c r="A2141" t="s">
        <v>2180</v>
      </c>
      <c r="B2141">
        <v>2022</v>
      </c>
      <c r="C2141" t="s">
        <v>19</v>
      </c>
      <c r="D2141">
        <v>353</v>
      </c>
      <c r="E2141" t="s">
        <v>53</v>
      </c>
      <c r="F2141" t="s">
        <v>54</v>
      </c>
      <c r="G2141" t="s">
        <v>15</v>
      </c>
      <c r="H2141">
        <v>0.46058692577733279</v>
      </c>
      <c r="I2141">
        <v>3</v>
      </c>
      <c r="J2141" t="s">
        <v>16</v>
      </c>
      <c r="K2141" s="59" t="s">
        <v>16</v>
      </c>
    </row>
    <row r="2142" spans="1:11" x14ac:dyDescent="0.2">
      <c r="A2142" t="s">
        <v>2181</v>
      </c>
      <c r="B2142">
        <v>2022</v>
      </c>
      <c r="C2142" t="s">
        <v>12</v>
      </c>
      <c r="D2142">
        <v>353</v>
      </c>
      <c r="E2142" t="s">
        <v>53</v>
      </c>
      <c r="F2142" t="s">
        <v>54</v>
      </c>
      <c r="G2142" t="s">
        <v>15</v>
      </c>
      <c r="H2142">
        <v>0.46058692577733279</v>
      </c>
      <c r="I2142">
        <v>3</v>
      </c>
      <c r="J2142" t="s">
        <v>16</v>
      </c>
      <c r="K2142" s="59" t="s">
        <v>17</v>
      </c>
    </row>
    <row r="2143" spans="1:11" x14ac:dyDescent="0.2">
      <c r="A2143" t="s">
        <v>2182</v>
      </c>
      <c r="B2143">
        <v>2021</v>
      </c>
      <c r="C2143" t="s">
        <v>12</v>
      </c>
      <c r="D2143">
        <v>285</v>
      </c>
      <c r="E2143" t="s">
        <v>20</v>
      </c>
      <c r="F2143" t="s">
        <v>21</v>
      </c>
      <c r="G2143" t="s">
        <v>36</v>
      </c>
      <c r="H2143">
        <v>2.7108285863899372E-2</v>
      </c>
      <c r="I2143">
        <v>3</v>
      </c>
      <c r="J2143" t="s">
        <v>23</v>
      </c>
      <c r="K2143" s="59" t="s">
        <v>17</v>
      </c>
    </row>
    <row r="2144" spans="1:11" x14ac:dyDescent="0.2">
      <c r="A2144" t="s">
        <v>2183</v>
      </c>
      <c r="B2144">
        <v>2022</v>
      </c>
      <c r="C2144" t="s">
        <v>19</v>
      </c>
      <c r="D2144">
        <v>353</v>
      </c>
      <c r="E2144" t="s">
        <v>53</v>
      </c>
      <c r="F2144" t="s">
        <v>54</v>
      </c>
      <c r="G2144" t="s">
        <v>15</v>
      </c>
      <c r="H2144">
        <v>0.46058692577733279</v>
      </c>
      <c r="I2144">
        <v>3</v>
      </c>
      <c r="J2144" t="s">
        <v>16</v>
      </c>
      <c r="K2144" s="59" t="s">
        <v>17</v>
      </c>
    </row>
    <row r="2145" spans="1:11" x14ac:dyDescent="0.2">
      <c r="A2145" t="s">
        <v>2184</v>
      </c>
      <c r="B2145">
        <v>2020</v>
      </c>
      <c r="C2145" t="s">
        <v>33</v>
      </c>
      <c r="D2145">
        <v>97</v>
      </c>
      <c r="E2145" t="s">
        <v>13</v>
      </c>
      <c r="F2145" t="s">
        <v>14</v>
      </c>
      <c r="G2145" t="s">
        <v>41</v>
      </c>
      <c r="H2145">
        <v>-1.515796826319207</v>
      </c>
      <c r="I2145">
        <v>4</v>
      </c>
      <c r="J2145" t="s">
        <v>16</v>
      </c>
      <c r="K2145" s="59" t="s">
        <v>4376</v>
      </c>
    </row>
    <row r="2146" spans="1:11" x14ac:dyDescent="0.2">
      <c r="A2146" t="s">
        <v>2185</v>
      </c>
      <c r="B2146">
        <v>2022</v>
      </c>
      <c r="C2146" t="s">
        <v>19</v>
      </c>
      <c r="D2146">
        <v>353</v>
      </c>
      <c r="E2146" t="s">
        <v>53</v>
      </c>
      <c r="F2146" t="s">
        <v>54</v>
      </c>
      <c r="G2146" t="s">
        <v>15</v>
      </c>
      <c r="H2146">
        <v>0.46058692577733279</v>
      </c>
      <c r="I2146">
        <v>3</v>
      </c>
      <c r="J2146" t="s">
        <v>16</v>
      </c>
      <c r="K2146" s="59" t="s">
        <v>17</v>
      </c>
    </row>
    <row r="2147" spans="1:11" x14ac:dyDescent="0.2">
      <c r="A2147" t="s">
        <v>2186</v>
      </c>
      <c r="B2147">
        <v>2022</v>
      </c>
      <c r="C2147" t="s">
        <v>19</v>
      </c>
      <c r="D2147">
        <v>353</v>
      </c>
      <c r="E2147" t="s">
        <v>53</v>
      </c>
      <c r="F2147" t="s">
        <v>54</v>
      </c>
      <c r="G2147" t="s">
        <v>15</v>
      </c>
      <c r="H2147">
        <v>0.46058692577733279</v>
      </c>
      <c r="I2147">
        <v>3</v>
      </c>
      <c r="J2147" t="s">
        <v>16</v>
      </c>
      <c r="K2147" s="59" t="s">
        <v>17</v>
      </c>
    </row>
    <row r="2148" spans="1:11" x14ac:dyDescent="0.2">
      <c r="A2148" t="s">
        <v>2187</v>
      </c>
      <c r="B2148">
        <v>2022</v>
      </c>
      <c r="C2148" t="s">
        <v>33</v>
      </c>
      <c r="D2148">
        <v>353</v>
      </c>
      <c r="E2148" t="s">
        <v>53</v>
      </c>
      <c r="F2148" t="s">
        <v>54</v>
      </c>
      <c r="G2148" t="s">
        <v>15</v>
      </c>
      <c r="H2148">
        <v>0.46058692577733279</v>
      </c>
      <c r="I2148">
        <v>3</v>
      </c>
      <c r="J2148" t="s">
        <v>16</v>
      </c>
      <c r="K2148" s="59" t="s">
        <v>17</v>
      </c>
    </row>
    <row r="2149" spans="1:11" x14ac:dyDescent="0.2">
      <c r="A2149" t="s">
        <v>2188</v>
      </c>
      <c r="B2149">
        <v>2022</v>
      </c>
      <c r="C2149" t="s">
        <v>19</v>
      </c>
      <c r="D2149">
        <v>353</v>
      </c>
      <c r="E2149" t="s">
        <v>53</v>
      </c>
      <c r="F2149" t="s">
        <v>54</v>
      </c>
      <c r="G2149" t="s">
        <v>15</v>
      </c>
      <c r="H2149">
        <v>0.46058692577733279</v>
      </c>
      <c r="I2149">
        <v>3</v>
      </c>
      <c r="J2149" t="s">
        <v>16</v>
      </c>
      <c r="K2149" s="59" t="s">
        <v>17</v>
      </c>
    </row>
    <row r="2150" spans="1:11" x14ac:dyDescent="0.2">
      <c r="A2150" t="s">
        <v>2189</v>
      </c>
      <c r="B2150">
        <v>2021</v>
      </c>
      <c r="C2150" t="s">
        <v>12</v>
      </c>
      <c r="D2150">
        <v>51</v>
      </c>
      <c r="E2150" t="s">
        <v>20</v>
      </c>
      <c r="F2150" t="s">
        <v>21</v>
      </c>
      <c r="G2150" t="s">
        <v>15</v>
      </c>
      <c r="H2150">
        <v>0.28492891483201988</v>
      </c>
      <c r="I2150">
        <v>3</v>
      </c>
      <c r="J2150" t="s">
        <v>23</v>
      </c>
      <c r="K2150" s="59" t="s">
        <v>17</v>
      </c>
    </row>
    <row r="2151" spans="1:11" x14ac:dyDescent="0.2">
      <c r="A2151" t="s">
        <v>2190</v>
      </c>
      <c r="B2151">
        <v>2022</v>
      </c>
      <c r="C2151" t="s">
        <v>19</v>
      </c>
      <c r="D2151">
        <v>353</v>
      </c>
      <c r="E2151" t="s">
        <v>53</v>
      </c>
      <c r="F2151" t="s">
        <v>54</v>
      </c>
      <c r="G2151" t="s">
        <v>15</v>
      </c>
      <c r="H2151">
        <v>0.46058692577733279</v>
      </c>
      <c r="I2151">
        <v>3</v>
      </c>
      <c r="J2151" t="s">
        <v>16</v>
      </c>
      <c r="K2151" s="59" t="s">
        <v>17</v>
      </c>
    </row>
    <row r="2152" spans="1:11" x14ac:dyDescent="0.2">
      <c r="A2152" t="s">
        <v>2191</v>
      </c>
      <c r="B2152">
        <v>2024</v>
      </c>
      <c r="C2152" t="s">
        <v>33</v>
      </c>
      <c r="D2152">
        <v>596</v>
      </c>
      <c r="E2152" t="s">
        <v>53</v>
      </c>
      <c r="F2152" t="s">
        <v>54</v>
      </c>
      <c r="G2152" t="s">
        <v>15</v>
      </c>
      <c r="H2152">
        <v>-0.34369613422991568</v>
      </c>
      <c r="I2152">
        <v>3</v>
      </c>
      <c r="J2152" t="s">
        <v>16</v>
      </c>
      <c r="K2152" s="59" t="s">
        <v>4376</v>
      </c>
    </row>
    <row r="2153" spans="1:11" x14ac:dyDescent="0.2">
      <c r="A2153" t="s">
        <v>2192</v>
      </c>
      <c r="B2153">
        <v>2022</v>
      </c>
      <c r="C2153" t="s">
        <v>19</v>
      </c>
      <c r="D2153">
        <v>353</v>
      </c>
      <c r="E2153" t="s">
        <v>53</v>
      </c>
      <c r="F2153" t="s">
        <v>54</v>
      </c>
      <c r="G2153" t="s">
        <v>15</v>
      </c>
      <c r="H2153">
        <v>0.46058692577733279</v>
      </c>
      <c r="I2153">
        <v>3</v>
      </c>
      <c r="J2153" t="s">
        <v>16</v>
      </c>
      <c r="K2153" s="59" t="s">
        <v>16</v>
      </c>
    </row>
    <row r="2154" spans="1:11" x14ac:dyDescent="0.2">
      <c r="A2154" t="s">
        <v>2193</v>
      </c>
      <c r="B2154">
        <v>2022</v>
      </c>
      <c r="C2154" t="s">
        <v>33</v>
      </c>
      <c r="D2154">
        <v>353</v>
      </c>
      <c r="E2154" t="s">
        <v>53</v>
      </c>
      <c r="F2154" t="s">
        <v>54</v>
      </c>
      <c r="G2154" t="s">
        <v>15</v>
      </c>
      <c r="H2154">
        <v>0.46058692577733279</v>
      </c>
      <c r="I2154">
        <v>3</v>
      </c>
      <c r="J2154" t="s">
        <v>16</v>
      </c>
      <c r="K2154" s="59" t="s">
        <v>16</v>
      </c>
    </row>
    <row r="2155" spans="1:11" x14ac:dyDescent="0.2">
      <c r="A2155" t="s">
        <v>2194</v>
      </c>
      <c r="B2155">
        <v>2020</v>
      </c>
      <c r="C2155" t="s">
        <v>19</v>
      </c>
      <c r="D2155">
        <v>132</v>
      </c>
      <c r="E2155" t="s">
        <v>20</v>
      </c>
      <c r="F2155" t="s">
        <v>21</v>
      </c>
      <c r="G2155" t="s">
        <v>15</v>
      </c>
      <c r="H2155">
        <v>-0.2289713347465385</v>
      </c>
      <c r="I2155">
        <v>3</v>
      </c>
      <c r="J2155" t="s">
        <v>23</v>
      </c>
      <c r="K2155" s="59" t="s">
        <v>4376</v>
      </c>
    </row>
    <row r="2156" spans="1:11" x14ac:dyDescent="0.2">
      <c r="A2156" t="s">
        <v>2195</v>
      </c>
      <c r="B2156">
        <v>2022</v>
      </c>
      <c r="C2156" t="s">
        <v>33</v>
      </c>
      <c r="D2156">
        <v>353</v>
      </c>
      <c r="E2156" t="s">
        <v>53</v>
      </c>
      <c r="F2156" t="s">
        <v>54</v>
      </c>
      <c r="G2156" t="s">
        <v>15</v>
      </c>
      <c r="H2156">
        <v>0.46058692577733279</v>
      </c>
      <c r="I2156">
        <v>3</v>
      </c>
      <c r="J2156" t="s">
        <v>16</v>
      </c>
      <c r="K2156" s="59" t="s">
        <v>17</v>
      </c>
    </row>
    <row r="2157" spans="1:11" x14ac:dyDescent="0.2">
      <c r="A2157" t="s">
        <v>2196</v>
      </c>
      <c r="B2157">
        <v>2021</v>
      </c>
      <c r="C2157" t="s">
        <v>33</v>
      </c>
      <c r="D2157">
        <v>382</v>
      </c>
      <c r="E2157" t="s">
        <v>29</v>
      </c>
      <c r="F2157" t="s">
        <v>30</v>
      </c>
      <c r="G2157" t="s">
        <v>15</v>
      </c>
      <c r="H2157">
        <v>-0.1911280323988247</v>
      </c>
      <c r="I2157">
        <v>4</v>
      </c>
      <c r="J2157" t="s">
        <v>23</v>
      </c>
      <c r="K2157" s="59" t="s">
        <v>23</v>
      </c>
    </row>
    <row r="2158" spans="1:11" x14ac:dyDescent="0.2">
      <c r="A2158" t="s">
        <v>2197</v>
      </c>
      <c r="B2158">
        <v>2023</v>
      </c>
      <c r="C2158" t="s">
        <v>19</v>
      </c>
      <c r="D2158">
        <v>138</v>
      </c>
      <c r="E2158" t="s">
        <v>25</v>
      </c>
      <c r="F2158" t="s">
        <v>26</v>
      </c>
      <c r="G2158" t="s">
        <v>15</v>
      </c>
      <c r="H2158">
        <v>-0.58799753650690134</v>
      </c>
      <c r="I2158">
        <v>2</v>
      </c>
      <c r="J2158" t="s">
        <v>23</v>
      </c>
      <c r="K2158" s="59" t="s">
        <v>17</v>
      </c>
    </row>
    <row r="2159" spans="1:11" x14ac:dyDescent="0.2">
      <c r="A2159" t="s">
        <v>2198</v>
      </c>
      <c r="B2159">
        <v>2022</v>
      </c>
      <c r="C2159" t="s">
        <v>19</v>
      </c>
      <c r="D2159">
        <v>353</v>
      </c>
      <c r="E2159" t="s">
        <v>53</v>
      </c>
      <c r="F2159" t="s">
        <v>54</v>
      </c>
      <c r="G2159" t="s">
        <v>15</v>
      </c>
      <c r="H2159">
        <v>0.46058692577733279</v>
      </c>
      <c r="I2159">
        <v>3</v>
      </c>
      <c r="J2159" t="s">
        <v>16</v>
      </c>
      <c r="K2159" s="59" t="s">
        <v>17</v>
      </c>
    </row>
    <row r="2160" spans="1:11" x14ac:dyDescent="0.2">
      <c r="A2160" t="s">
        <v>2199</v>
      </c>
      <c r="B2160">
        <v>2023</v>
      </c>
      <c r="C2160" t="s">
        <v>33</v>
      </c>
      <c r="D2160">
        <v>58</v>
      </c>
      <c r="E2160" t="s">
        <v>20</v>
      </c>
      <c r="F2160" t="s">
        <v>21</v>
      </c>
      <c r="G2160" t="s">
        <v>15</v>
      </c>
      <c r="H2160">
        <v>-0.82513212655849921</v>
      </c>
      <c r="I2160">
        <v>3</v>
      </c>
      <c r="J2160" t="s">
        <v>23</v>
      </c>
      <c r="K2160" s="59" t="s">
        <v>23</v>
      </c>
    </row>
    <row r="2161" spans="1:11" x14ac:dyDescent="0.2">
      <c r="A2161" t="s">
        <v>2200</v>
      </c>
      <c r="B2161">
        <v>2022</v>
      </c>
      <c r="C2161" t="s">
        <v>19</v>
      </c>
      <c r="D2161">
        <v>353</v>
      </c>
      <c r="E2161" t="s">
        <v>53</v>
      </c>
      <c r="F2161" t="s">
        <v>54</v>
      </c>
      <c r="G2161" t="s">
        <v>15</v>
      </c>
      <c r="H2161">
        <v>0.46058692577733279</v>
      </c>
      <c r="I2161">
        <v>3</v>
      </c>
      <c r="J2161" t="s">
        <v>16</v>
      </c>
      <c r="K2161" s="59" t="s">
        <v>17</v>
      </c>
    </row>
    <row r="2162" spans="1:11" x14ac:dyDescent="0.2">
      <c r="A2162" t="s">
        <v>2201</v>
      </c>
      <c r="B2162">
        <v>2020</v>
      </c>
      <c r="C2162" t="s">
        <v>19</v>
      </c>
      <c r="D2162">
        <v>72</v>
      </c>
      <c r="E2162" t="s">
        <v>25</v>
      </c>
      <c r="F2162" t="s">
        <v>26</v>
      </c>
      <c r="G2162" t="s">
        <v>15</v>
      </c>
      <c r="H2162">
        <v>-1.405779440516616</v>
      </c>
      <c r="I2162">
        <v>2</v>
      </c>
      <c r="J2162" t="s">
        <v>23</v>
      </c>
      <c r="K2162" s="59" t="s">
        <v>23</v>
      </c>
    </row>
    <row r="2163" spans="1:11" x14ac:dyDescent="0.2">
      <c r="A2163" t="s">
        <v>2202</v>
      </c>
      <c r="B2163">
        <v>2023</v>
      </c>
      <c r="C2163" t="s">
        <v>19</v>
      </c>
      <c r="D2163">
        <v>395</v>
      </c>
      <c r="E2163" t="s">
        <v>38</v>
      </c>
      <c r="F2163" t="s">
        <v>39</v>
      </c>
      <c r="G2163" t="s">
        <v>15</v>
      </c>
      <c r="H2163">
        <v>1.173666381899163E-3</v>
      </c>
      <c r="I2163">
        <v>3</v>
      </c>
      <c r="J2163" t="s">
        <v>16</v>
      </c>
      <c r="K2163" s="59" t="s">
        <v>17</v>
      </c>
    </row>
    <row r="2164" spans="1:11" x14ac:dyDescent="0.2">
      <c r="A2164" t="s">
        <v>2203</v>
      </c>
      <c r="B2164">
        <v>2024</v>
      </c>
      <c r="C2164" t="s">
        <v>33</v>
      </c>
      <c r="D2164">
        <v>67</v>
      </c>
      <c r="E2164" t="s">
        <v>13</v>
      </c>
      <c r="F2164" t="s">
        <v>14</v>
      </c>
      <c r="G2164" t="s">
        <v>41</v>
      </c>
      <c r="H2164">
        <v>0.43610998982593668</v>
      </c>
      <c r="I2164">
        <v>4</v>
      </c>
      <c r="J2164" t="s">
        <v>16</v>
      </c>
      <c r="K2164" s="59" t="s">
        <v>17</v>
      </c>
    </row>
    <row r="2165" spans="1:11" x14ac:dyDescent="0.2">
      <c r="A2165" t="s">
        <v>2204</v>
      </c>
      <c r="B2165">
        <v>2022</v>
      </c>
      <c r="C2165" t="s">
        <v>19</v>
      </c>
      <c r="D2165">
        <v>353</v>
      </c>
      <c r="E2165" t="s">
        <v>53</v>
      </c>
      <c r="F2165" t="s">
        <v>54</v>
      </c>
      <c r="G2165" t="s">
        <v>15</v>
      </c>
      <c r="H2165">
        <v>0.46058692577733279</v>
      </c>
      <c r="I2165">
        <v>3</v>
      </c>
      <c r="J2165" t="s">
        <v>16</v>
      </c>
      <c r="K2165" s="59" t="s">
        <v>17</v>
      </c>
    </row>
    <row r="2166" spans="1:11" x14ac:dyDescent="0.2">
      <c r="A2166" t="s">
        <v>2205</v>
      </c>
      <c r="B2166">
        <v>2022</v>
      </c>
      <c r="C2166" t="s">
        <v>19</v>
      </c>
      <c r="D2166">
        <v>353</v>
      </c>
      <c r="E2166" t="s">
        <v>53</v>
      </c>
      <c r="F2166" t="s">
        <v>54</v>
      </c>
      <c r="G2166" t="s">
        <v>15</v>
      </c>
      <c r="H2166">
        <v>0.46058692577733279</v>
      </c>
      <c r="I2166">
        <v>3</v>
      </c>
      <c r="J2166" t="s">
        <v>16</v>
      </c>
      <c r="K2166" s="59" t="s">
        <v>4376</v>
      </c>
    </row>
    <row r="2167" spans="1:11" x14ac:dyDescent="0.2">
      <c r="A2167" t="s">
        <v>2206</v>
      </c>
      <c r="B2167">
        <v>2022</v>
      </c>
      <c r="C2167" t="s">
        <v>19</v>
      </c>
      <c r="D2167">
        <v>353</v>
      </c>
      <c r="E2167" t="s">
        <v>53</v>
      </c>
      <c r="F2167" t="s">
        <v>54</v>
      </c>
      <c r="G2167" t="s">
        <v>15</v>
      </c>
      <c r="H2167">
        <v>0.46058692577733279</v>
      </c>
      <c r="I2167">
        <v>3</v>
      </c>
      <c r="J2167" t="s">
        <v>16</v>
      </c>
      <c r="K2167" s="59" t="s">
        <v>23</v>
      </c>
    </row>
    <row r="2168" spans="1:11" x14ac:dyDescent="0.2">
      <c r="A2168" t="s">
        <v>2207</v>
      </c>
      <c r="B2168">
        <v>2024</v>
      </c>
      <c r="C2168" t="s">
        <v>19</v>
      </c>
      <c r="D2168">
        <v>216</v>
      </c>
      <c r="E2168" t="s">
        <v>25</v>
      </c>
      <c r="F2168" t="s">
        <v>26</v>
      </c>
      <c r="G2168" t="s">
        <v>15</v>
      </c>
      <c r="H2168">
        <v>0.29388235713748501</v>
      </c>
      <c r="I2168">
        <v>2</v>
      </c>
      <c r="J2168" t="s">
        <v>17</v>
      </c>
      <c r="K2168" s="59" t="s">
        <v>23</v>
      </c>
    </row>
    <row r="2169" spans="1:11" x14ac:dyDescent="0.2">
      <c r="A2169" t="s">
        <v>2208</v>
      </c>
      <c r="B2169">
        <v>2022</v>
      </c>
      <c r="C2169" t="s">
        <v>19</v>
      </c>
      <c r="D2169">
        <v>353</v>
      </c>
      <c r="E2169" t="s">
        <v>53</v>
      </c>
      <c r="F2169" t="s">
        <v>54</v>
      </c>
      <c r="G2169" t="s">
        <v>15</v>
      </c>
      <c r="H2169">
        <v>0.46058692577733279</v>
      </c>
      <c r="I2169">
        <v>3</v>
      </c>
      <c r="J2169" t="s">
        <v>16</v>
      </c>
      <c r="K2169" s="59" t="s">
        <v>17</v>
      </c>
    </row>
    <row r="2170" spans="1:11" x14ac:dyDescent="0.2">
      <c r="A2170" t="s">
        <v>2209</v>
      </c>
      <c r="B2170">
        <v>2020</v>
      </c>
      <c r="C2170" t="s">
        <v>33</v>
      </c>
      <c r="D2170">
        <v>232</v>
      </c>
      <c r="E2170" t="s">
        <v>25</v>
      </c>
      <c r="F2170" t="s">
        <v>26</v>
      </c>
      <c r="G2170" t="s">
        <v>15</v>
      </c>
      <c r="H2170">
        <v>-0.43592093576124541</v>
      </c>
      <c r="I2170">
        <v>2</v>
      </c>
      <c r="J2170" t="s">
        <v>16</v>
      </c>
      <c r="K2170" s="59" t="s">
        <v>23</v>
      </c>
    </row>
    <row r="2171" spans="1:11" x14ac:dyDescent="0.2">
      <c r="A2171" t="s">
        <v>2210</v>
      </c>
      <c r="B2171">
        <v>2020</v>
      </c>
      <c r="C2171" t="s">
        <v>19</v>
      </c>
      <c r="D2171">
        <v>145</v>
      </c>
      <c r="E2171" t="s">
        <v>13</v>
      </c>
      <c r="F2171" t="s">
        <v>14</v>
      </c>
      <c r="G2171" t="s">
        <v>34</v>
      </c>
      <c r="H2171">
        <v>-0.1463178206722105</v>
      </c>
      <c r="I2171">
        <v>4</v>
      </c>
      <c r="J2171" t="s">
        <v>16</v>
      </c>
      <c r="K2171" s="59" t="s">
        <v>4376</v>
      </c>
    </row>
    <row r="2172" spans="1:11" x14ac:dyDescent="0.2">
      <c r="A2172" t="s">
        <v>2211</v>
      </c>
      <c r="B2172">
        <v>2022</v>
      </c>
      <c r="C2172" t="s">
        <v>19</v>
      </c>
      <c r="D2172">
        <v>353</v>
      </c>
      <c r="E2172" t="s">
        <v>53</v>
      </c>
      <c r="F2172" t="s">
        <v>54</v>
      </c>
      <c r="G2172" t="s">
        <v>15</v>
      </c>
      <c r="H2172">
        <v>0.46058692577733279</v>
      </c>
      <c r="I2172">
        <v>3</v>
      </c>
      <c r="J2172" t="s">
        <v>16</v>
      </c>
      <c r="K2172" s="59" t="s">
        <v>17</v>
      </c>
    </row>
    <row r="2173" spans="1:11" x14ac:dyDescent="0.2">
      <c r="A2173" t="s">
        <v>2212</v>
      </c>
      <c r="B2173">
        <v>2022</v>
      </c>
      <c r="C2173" t="s">
        <v>19</v>
      </c>
      <c r="D2173">
        <v>353</v>
      </c>
      <c r="E2173" t="s">
        <v>53</v>
      </c>
      <c r="F2173" t="s">
        <v>54</v>
      </c>
      <c r="G2173" t="s">
        <v>15</v>
      </c>
      <c r="H2173">
        <v>0.46058692577733279</v>
      </c>
      <c r="I2173">
        <v>3</v>
      </c>
      <c r="J2173" t="s">
        <v>16</v>
      </c>
      <c r="K2173" s="59" t="s">
        <v>16</v>
      </c>
    </row>
    <row r="2174" spans="1:11" x14ac:dyDescent="0.2">
      <c r="A2174" t="s">
        <v>2213</v>
      </c>
      <c r="B2174">
        <v>2021</v>
      </c>
      <c r="C2174" t="s">
        <v>19</v>
      </c>
      <c r="D2174">
        <v>301</v>
      </c>
      <c r="E2174" t="s">
        <v>29</v>
      </c>
      <c r="F2174" t="s">
        <v>30</v>
      </c>
      <c r="G2174" t="s">
        <v>15</v>
      </c>
      <c r="H2174">
        <v>0.79886582966811115</v>
      </c>
      <c r="I2174">
        <v>4</v>
      </c>
      <c r="J2174" t="s">
        <v>16</v>
      </c>
      <c r="K2174" s="59" t="s">
        <v>16</v>
      </c>
    </row>
    <row r="2175" spans="1:11" x14ac:dyDescent="0.2">
      <c r="A2175" t="s">
        <v>2214</v>
      </c>
      <c r="B2175">
        <v>2021</v>
      </c>
      <c r="C2175" t="s">
        <v>19</v>
      </c>
      <c r="D2175">
        <v>99</v>
      </c>
      <c r="E2175" t="s">
        <v>25</v>
      </c>
      <c r="F2175" t="s">
        <v>26</v>
      </c>
      <c r="G2175" t="s">
        <v>15</v>
      </c>
      <c r="H2175">
        <v>-0.31004176740210432</v>
      </c>
      <c r="I2175">
        <v>2</v>
      </c>
      <c r="J2175" t="s">
        <v>23</v>
      </c>
      <c r="K2175" s="59" t="s">
        <v>16</v>
      </c>
    </row>
    <row r="2176" spans="1:11" x14ac:dyDescent="0.2">
      <c r="A2176" t="s">
        <v>2215</v>
      </c>
      <c r="B2176">
        <v>2024</v>
      </c>
      <c r="C2176" t="s">
        <v>19</v>
      </c>
      <c r="D2176">
        <v>588</v>
      </c>
      <c r="E2176" t="s">
        <v>53</v>
      </c>
      <c r="F2176" t="s">
        <v>54</v>
      </c>
      <c r="G2176" t="s">
        <v>15</v>
      </c>
      <c r="H2176">
        <v>-0.19468476924995909</v>
      </c>
      <c r="I2176">
        <v>3</v>
      </c>
      <c r="J2176" t="s">
        <v>16</v>
      </c>
      <c r="K2176" s="59" t="s">
        <v>16</v>
      </c>
    </row>
    <row r="2177" spans="1:11" x14ac:dyDescent="0.2">
      <c r="A2177" t="s">
        <v>2216</v>
      </c>
      <c r="B2177">
        <v>2024</v>
      </c>
      <c r="C2177" t="s">
        <v>19</v>
      </c>
      <c r="D2177">
        <v>94</v>
      </c>
      <c r="E2177" t="s">
        <v>13</v>
      </c>
      <c r="F2177" t="s">
        <v>14</v>
      </c>
      <c r="G2177" t="s">
        <v>15</v>
      </c>
      <c r="H2177">
        <v>-0.57439805916749342</v>
      </c>
      <c r="I2177">
        <v>4</v>
      </c>
      <c r="J2177" t="s">
        <v>23</v>
      </c>
      <c r="K2177" s="59" t="s">
        <v>17</v>
      </c>
    </row>
    <row r="2178" spans="1:11" x14ac:dyDescent="0.2">
      <c r="A2178" t="s">
        <v>2217</v>
      </c>
      <c r="B2178">
        <v>2021</v>
      </c>
      <c r="C2178" t="s">
        <v>33</v>
      </c>
      <c r="D2178">
        <v>158</v>
      </c>
      <c r="E2178" t="s">
        <v>20</v>
      </c>
      <c r="F2178" t="s">
        <v>21</v>
      </c>
      <c r="G2178" t="s">
        <v>36</v>
      </c>
      <c r="H2178">
        <v>0.30266361786015239</v>
      </c>
      <c r="I2178">
        <v>3</v>
      </c>
      <c r="J2178" t="s">
        <v>16</v>
      </c>
      <c r="K2178" s="59" t="s">
        <v>4376</v>
      </c>
    </row>
    <row r="2179" spans="1:11" x14ac:dyDescent="0.2">
      <c r="A2179" t="s">
        <v>2218</v>
      </c>
      <c r="B2179">
        <v>2023</v>
      </c>
      <c r="C2179" t="s">
        <v>33</v>
      </c>
      <c r="D2179">
        <v>70</v>
      </c>
      <c r="E2179" t="s">
        <v>53</v>
      </c>
      <c r="F2179" t="s">
        <v>54</v>
      </c>
      <c r="G2179" t="s">
        <v>15</v>
      </c>
      <c r="H2179">
        <v>-1.068629387250613</v>
      </c>
      <c r="I2179">
        <v>3</v>
      </c>
      <c r="J2179" t="s">
        <v>16</v>
      </c>
      <c r="K2179" s="59" t="s">
        <v>16</v>
      </c>
    </row>
    <row r="2180" spans="1:11" x14ac:dyDescent="0.2">
      <c r="A2180" t="s">
        <v>2219</v>
      </c>
      <c r="B2180">
        <v>2022</v>
      </c>
      <c r="C2180" t="s">
        <v>33</v>
      </c>
      <c r="D2180">
        <v>353</v>
      </c>
      <c r="E2180" t="s">
        <v>53</v>
      </c>
      <c r="F2180" t="s">
        <v>54</v>
      </c>
      <c r="G2180" t="s">
        <v>15</v>
      </c>
      <c r="H2180">
        <v>0.46058692577733279</v>
      </c>
      <c r="I2180">
        <v>3</v>
      </c>
      <c r="J2180" t="s">
        <v>16</v>
      </c>
      <c r="K2180" s="59" t="s">
        <v>17</v>
      </c>
    </row>
    <row r="2181" spans="1:11" x14ac:dyDescent="0.2">
      <c r="A2181" t="s">
        <v>2220</v>
      </c>
      <c r="B2181">
        <v>2024</v>
      </c>
      <c r="C2181" t="s">
        <v>33</v>
      </c>
      <c r="D2181">
        <v>171</v>
      </c>
      <c r="E2181" t="s">
        <v>20</v>
      </c>
      <c r="F2181" t="s">
        <v>21</v>
      </c>
      <c r="G2181" t="s">
        <v>15</v>
      </c>
      <c r="H2181">
        <v>0.35199833719295759</v>
      </c>
      <c r="I2181">
        <v>3</v>
      </c>
      <c r="J2181" t="s">
        <v>17</v>
      </c>
      <c r="K2181" s="59" t="s">
        <v>16</v>
      </c>
    </row>
    <row r="2182" spans="1:11" x14ac:dyDescent="0.2">
      <c r="A2182" t="s">
        <v>2221</v>
      </c>
      <c r="B2182">
        <v>2023</v>
      </c>
      <c r="C2182" t="s">
        <v>12</v>
      </c>
      <c r="D2182">
        <v>393</v>
      </c>
      <c r="E2182" t="s">
        <v>38</v>
      </c>
      <c r="F2182" t="s">
        <v>39</v>
      </c>
      <c r="G2182" t="s">
        <v>15</v>
      </c>
      <c r="H2182">
        <v>-5.0426212774462454E-3</v>
      </c>
      <c r="I2182">
        <v>3</v>
      </c>
      <c r="J2182" t="s">
        <v>16</v>
      </c>
      <c r="K2182" s="59" t="s">
        <v>4376</v>
      </c>
    </row>
    <row r="2183" spans="1:11" x14ac:dyDescent="0.2">
      <c r="A2183" t="s">
        <v>2222</v>
      </c>
      <c r="B2183">
        <v>2022</v>
      </c>
      <c r="C2183" t="s">
        <v>33</v>
      </c>
      <c r="D2183">
        <v>353</v>
      </c>
      <c r="E2183" t="s">
        <v>53</v>
      </c>
      <c r="F2183" t="s">
        <v>54</v>
      </c>
      <c r="G2183" t="s">
        <v>15</v>
      </c>
      <c r="H2183">
        <v>0.46058692577733279</v>
      </c>
      <c r="I2183">
        <v>3</v>
      </c>
      <c r="J2183" t="s">
        <v>16</v>
      </c>
      <c r="K2183" s="59" t="s">
        <v>17</v>
      </c>
    </row>
    <row r="2184" spans="1:11" x14ac:dyDescent="0.2">
      <c r="A2184" t="s">
        <v>2223</v>
      </c>
      <c r="B2184">
        <v>2022</v>
      </c>
      <c r="C2184" t="s">
        <v>33</v>
      </c>
      <c r="D2184">
        <v>353</v>
      </c>
      <c r="E2184" t="s">
        <v>53</v>
      </c>
      <c r="F2184" t="s">
        <v>54</v>
      </c>
      <c r="G2184" t="s">
        <v>15</v>
      </c>
      <c r="H2184">
        <v>0.46058692577733279</v>
      </c>
      <c r="I2184">
        <v>3</v>
      </c>
      <c r="J2184" t="s">
        <v>16</v>
      </c>
      <c r="K2184" s="59" t="s">
        <v>4376</v>
      </c>
    </row>
    <row r="2185" spans="1:11" x14ac:dyDescent="0.2">
      <c r="A2185" t="s">
        <v>2224</v>
      </c>
      <c r="B2185">
        <v>2021</v>
      </c>
      <c r="C2185" t="s">
        <v>33</v>
      </c>
      <c r="D2185">
        <v>367</v>
      </c>
      <c r="E2185" t="s">
        <v>38</v>
      </c>
      <c r="F2185" t="s">
        <v>39</v>
      </c>
      <c r="G2185" t="s">
        <v>15</v>
      </c>
      <c r="H2185">
        <v>0.69029355547504967</v>
      </c>
      <c r="I2185">
        <v>3</v>
      </c>
      <c r="J2185" t="s">
        <v>23</v>
      </c>
      <c r="K2185" s="59" t="s">
        <v>4376</v>
      </c>
    </row>
    <row r="2186" spans="1:11" x14ac:dyDescent="0.2">
      <c r="A2186" t="s">
        <v>2225</v>
      </c>
      <c r="B2186">
        <v>2022</v>
      </c>
      <c r="C2186" t="s">
        <v>19</v>
      </c>
      <c r="D2186">
        <v>353</v>
      </c>
      <c r="E2186" t="s">
        <v>53</v>
      </c>
      <c r="F2186" t="s">
        <v>54</v>
      </c>
      <c r="G2186" t="s">
        <v>15</v>
      </c>
      <c r="H2186">
        <v>0.46058692577733279</v>
      </c>
      <c r="I2186">
        <v>3</v>
      </c>
      <c r="J2186" t="s">
        <v>16</v>
      </c>
      <c r="K2186" s="59" t="s">
        <v>17</v>
      </c>
    </row>
    <row r="2187" spans="1:11" x14ac:dyDescent="0.2">
      <c r="A2187" t="s">
        <v>2226</v>
      </c>
      <c r="B2187">
        <v>2022</v>
      </c>
      <c r="C2187" t="s">
        <v>19</v>
      </c>
      <c r="D2187">
        <v>353</v>
      </c>
      <c r="E2187" t="s">
        <v>53</v>
      </c>
      <c r="F2187" t="s">
        <v>54</v>
      </c>
      <c r="G2187" t="s">
        <v>15</v>
      </c>
      <c r="H2187">
        <v>0.46058692577733279</v>
      </c>
      <c r="I2187">
        <v>3</v>
      </c>
      <c r="J2187" t="s">
        <v>16</v>
      </c>
      <c r="K2187" s="59" t="s">
        <v>23</v>
      </c>
    </row>
    <row r="2188" spans="1:11" x14ac:dyDescent="0.2">
      <c r="A2188" t="s">
        <v>2227</v>
      </c>
      <c r="B2188">
        <v>2022</v>
      </c>
      <c r="C2188" t="s">
        <v>19</v>
      </c>
      <c r="D2188">
        <v>353</v>
      </c>
      <c r="E2188" t="s">
        <v>53</v>
      </c>
      <c r="F2188" t="s">
        <v>54</v>
      </c>
      <c r="G2188" t="s">
        <v>15</v>
      </c>
      <c r="H2188">
        <v>0.46058692577733279</v>
      </c>
      <c r="I2188">
        <v>3</v>
      </c>
      <c r="J2188" t="s">
        <v>16</v>
      </c>
      <c r="K2188" s="59" t="s">
        <v>17</v>
      </c>
    </row>
    <row r="2189" spans="1:11" x14ac:dyDescent="0.2">
      <c r="A2189" t="s">
        <v>2228</v>
      </c>
      <c r="B2189">
        <v>2023</v>
      </c>
      <c r="C2189" t="s">
        <v>33</v>
      </c>
      <c r="D2189">
        <v>36</v>
      </c>
      <c r="E2189" t="s">
        <v>20</v>
      </c>
      <c r="F2189" t="s">
        <v>21</v>
      </c>
      <c r="G2189" t="s">
        <v>41</v>
      </c>
      <c r="H2189">
        <v>-1.405779440516616</v>
      </c>
      <c r="I2189">
        <v>3</v>
      </c>
      <c r="J2189" t="s">
        <v>17</v>
      </c>
      <c r="K2189" s="59" t="s">
        <v>4376</v>
      </c>
    </row>
    <row r="2190" spans="1:11" x14ac:dyDescent="0.2">
      <c r="A2190" t="s">
        <v>2229</v>
      </c>
      <c r="B2190">
        <v>2022</v>
      </c>
      <c r="C2190" t="s">
        <v>33</v>
      </c>
      <c r="D2190">
        <v>353</v>
      </c>
      <c r="E2190" t="s">
        <v>53</v>
      </c>
      <c r="F2190" t="s">
        <v>54</v>
      </c>
      <c r="G2190" t="s">
        <v>15</v>
      </c>
      <c r="H2190">
        <v>0.46058692577733279</v>
      </c>
      <c r="I2190">
        <v>3</v>
      </c>
      <c r="J2190" t="s">
        <v>16</v>
      </c>
      <c r="K2190" s="59" t="s">
        <v>17</v>
      </c>
    </row>
    <row r="2191" spans="1:11" x14ac:dyDescent="0.2">
      <c r="A2191" t="s">
        <v>2230</v>
      </c>
      <c r="B2191">
        <v>2022</v>
      </c>
      <c r="C2191" t="s">
        <v>19</v>
      </c>
      <c r="D2191">
        <v>353</v>
      </c>
      <c r="E2191" t="s">
        <v>53</v>
      </c>
      <c r="F2191" t="s">
        <v>54</v>
      </c>
      <c r="G2191" t="s">
        <v>15</v>
      </c>
      <c r="H2191">
        <v>0.46058692577733279</v>
      </c>
      <c r="I2191">
        <v>3</v>
      </c>
      <c r="J2191" t="s">
        <v>16</v>
      </c>
      <c r="K2191" s="59" t="s">
        <v>16</v>
      </c>
    </row>
    <row r="2192" spans="1:11" x14ac:dyDescent="0.2">
      <c r="A2192" t="s">
        <v>2231</v>
      </c>
      <c r="B2192">
        <v>2022</v>
      </c>
      <c r="C2192" t="s">
        <v>33</v>
      </c>
      <c r="D2192">
        <v>353</v>
      </c>
      <c r="E2192" t="s">
        <v>53</v>
      </c>
      <c r="F2192" t="s">
        <v>54</v>
      </c>
      <c r="G2192" t="s">
        <v>15</v>
      </c>
      <c r="H2192">
        <v>0.46058692577733279</v>
      </c>
      <c r="I2192">
        <v>3</v>
      </c>
      <c r="J2192" t="s">
        <v>16</v>
      </c>
      <c r="K2192" s="59" t="s">
        <v>17</v>
      </c>
    </row>
    <row r="2193" spans="1:11" x14ac:dyDescent="0.2">
      <c r="A2193" t="s">
        <v>2232</v>
      </c>
      <c r="B2193">
        <v>2021</v>
      </c>
      <c r="C2193" t="s">
        <v>33</v>
      </c>
      <c r="D2193">
        <v>143</v>
      </c>
      <c r="E2193" t="s">
        <v>38</v>
      </c>
      <c r="F2193" t="s">
        <v>39</v>
      </c>
      <c r="G2193" t="s">
        <v>15</v>
      </c>
      <c r="H2193">
        <v>-0.49694016649521522</v>
      </c>
      <c r="I2193">
        <v>3</v>
      </c>
      <c r="J2193" t="s">
        <v>17</v>
      </c>
      <c r="K2193" s="59" t="s">
        <v>4376</v>
      </c>
    </row>
    <row r="2194" spans="1:11" x14ac:dyDescent="0.2">
      <c r="A2194" t="s">
        <v>2233</v>
      </c>
      <c r="B2194">
        <v>2021</v>
      </c>
      <c r="C2194" t="s">
        <v>33</v>
      </c>
      <c r="D2194">
        <v>411</v>
      </c>
      <c r="E2194" t="s">
        <v>29</v>
      </c>
      <c r="F2194" t="s">
        <v>30</v>
      </c>
      <c r="G2194" t="s">
        <v>15</v>
      </c>
      <c r="H2194">
        <v>0.34487221106710803</v>
      </c>
      <c r="I2194">
        <v>4</v>
      </c>
      <c r="J2194" t="s">
        <v>23</v>
      </c>
      <c r="K2194" s="59" t="s">
        <v>4376</v>
      </c>
    </row>
    <row r="2195" spans="1:11" x14ac:dyDescent="0.2">
      <c r="A2195" t="s">
        <v>2234</v>
      </c>
      <c r="B2195">
        <v>2023</v>
      </c>
      <c r="C2195" t="s">
        <v>33</v>
      </c>
      <c r="D2195">
        <v>70</v>
      </c>
      <c r="E2195" t="s">
        <v>53</v>
      </c>
      <c r="F2195" t="s">
        <v>54</v>
      </c>
      <c r="G2195" t="s">
        <v>15</v>
      </c>
      <c r="H2195">
        <v>-1.068629387250613</v>
      </c>
      <c r="I2195">
        <v>3</v>
      </c>
      <c r="J2195" t="s">
        <v>16</v>
      </c>
      <c r="K2195" s="59" t="s">
        <v>16</v>
      </c>
    </row>
    <row r="2196" spans="1:11" x14ac:dyDescent="0.2">
      <c r="A2196" t="s">
        <v>2235</v>
      </c>
      <c r="B2196">
        <v>2024</v>
      </c>
      <c r="C2196" t="s">
        <v>33</v>
      </c>
      <c r="D2196">
        <v>167</v>
      </c>
      <c r="E2196" t="s">
        <v>20</v>
      </c>
      <c r="F2196" t="s">
        <v>21</v>
      </c>
      <c r="G2196" t="s">
        <v>15</v>
      </c>
      <c r="H2196">
        <v>0.32527536422102149</v>
      </c>
      <c r="I2196">
        <v>3</v>
      </c>
      <c r="J2196" t="s">
        <v>17</v>
      </c>
      <c r="K2196" s="59" t="s">
        <v>16</v>
      </c>
    </row>
    <row r="2197" spans="1:11" x14ac:dyDescent="0.2">
      <c r="A2197" t="s">
        <v>2236</v>
      </c>
      <c r="B2197">
        <v>2022</v>
      </c>
      <c r="C2197" t="s">
        <v>19</v>
      </c>
      <c r="D2197">
        <v>107</v>
      </c>
      <c r="E2197" t="s">
        <v>25</v>
      </c>
      <c r="F2197" t="s">
        <v>26</v>
      </c>
      <c r="G2197" t="s">
        <v>15</v>
      </c>
      <c r="H2197">
        <v>0.32802258574150089</v>
      </c>
      <c r="I2197">
        <v>2</v>
      </c>
      <c r="J2197" t="s">
        <v>23</v>
      </c>
      <c r="K2197" s="59" t="s">
        <v>4376</v>
      </c>
    </row>
    <row r="2198" spans="1:11" x14ac:dyDescent="0.2">
      <c r="A2198" t="s">
        <v>2237</v>
      </c>
      <c r="B2198">
        <v>2023</v>
      </c>
      <c r="C2198" t="s">
        <v>33</v>
      </c>
      <c r="D2198">
        <v>70</v>
      </c>
      <c r="E2198" t="s">
        <v>53</v>
      </c>
      <c r="F2198" t="s">
        <v>54</v>
      </c>
      <c r="G2198" t="s">
        <v>15</v>
      </c>
      <c r="H2198">
        <v>-1.068629387250613</v>
      </c>
      <c r="I2198">
        <v>3</v>
      </c>
      <c r="J2198" t="s">
        <v>16</v>
      </c>
      <c r="K2198" s="59" t="s">
        <v>17</v>
      </c>
    </row>
    <row r="2199" spans="1:11" x14ac:dyDescent="0.2">
      <c r="A2199" t="s">
        <v>2238</v>
      </c>
      <c r="B2199">
        <v>2022</v>
      </c>
      <c r="C2199" t="s">
        <v>33</v>
      </c>
      <c r="D2199">
        <v>353</v>
      </c>
      <c r="E2199" t="s">
        <v>53</v>
      </c>
      <c r="F2199" t="s">
        <v>54</v>
      </c>
      <c r="G2199" t="s">
        <v>15</v>
      </c>
      <c r="H2199">
        <v>0.46058692577733279</v>
      </c>
      <c r="I2199">
        <v>3</v>
      </c>
      <c r="J2199" t="s">
        <v>16</v>
      </c>
      <c r="K2199" s="59" t="s">
        <v>4376</v>
      </c>
    </row>
    <row r="2200" spans="1:11" x14ac:dyDescent="0.2">
      <c r="A2200" t="s">
        <v>2239</v>
      </c>
      <c r="B2200">
        <v>2020</v>
      </c>
      <c r="C2200" t="s">
        <v>19</v>
      </c>
      <c r="D2200">
        <v>34</v>
      </c>
      <c r="E2200" t="s">
        <v>20</v>
      </c>
      <c r="F2200" t="s">
        <v>21</v>
      </c>
      <c r="G2200" t="s">
        <v>15</v>
      </c>
      <c r="H2200">
        <v>-3.068542203214863</v>
      </c>
      <c r="I2200">
        <v>3</v>
      </c>
      <c r="J2200" t="s">
        <v>17</v>
      </c>
      <c r="K2200" s="59" t="s">
        <v>23</v>
      </c>
    </row>
    <row r="2201" spans="1:11" x14ac:dyDescent="0.2">
      <c r="A2201" t="s">
        <v>2240</v>
      </c>
      <c r="B2201">
        <v>2023</v>
      </c>
      <c r="C2201" t="s">
        <v>33</v>
      </c>
      <c r="D2201">
        <v>72</v>
      </c>
      <c r="E2201" t="s">
        <v>53</v>
      </c>
      <c r="F2201" t="s">
        <v>54</v>
      </c>
      <c r="G2201" t="s">
        <v>15</v>
      </c>
      <c r="H2201">
        <v>-0.99751179788981514</v>
      </c>
      <c r="I2201">
        <v>3</v>
      </c>
      <c r="J2201" t="s">
        <v>16</v>
      </c>
      <c r="K2201" s="59" t="s">
        <v>17</v>
      </c>
    </row>
    <row r="2202" spans="1:11" x14ac:dyDescent="0.2">
      <c r="A2202" t="s">
        <v>2241</v>
      </c>
      <c r="B2202">
        <v>2024</v>
      </c>
      <c r="C2202" t="s">
        <v>19</v>
      </c>
      <c r="D2202">
        <v>154</v>
      </c>
      <c r="E2202" t="s">
        <v>25</v>
      </c>
      <c r="F2202" t="s">
        <v>26</v>
      </c>
      <c r="G2202" t="s">
        <v>15</v>
      </c>
      <c r="H2202">
        <v>-1.4580376987728469</v>
      </c>
      <c r="I2202">
        <v>2</v>
      </c>
      <c r="J2202" t="s">
        <v>23</v>
      </c>
      <c r="K2202" s="59" t="s">
        <v>23</v>
      </c>
    </row>
    <row r="2203" spans="1:11" x14ac:dyDescent="0.2">
      <c r="A2203" t="s">
        <v>2242</v>
      </c>
      <c r="B2203">
        <v>2022</v>
      </c>
      <c r="C2203" t="s">
        <v>19</v>
      </c>
      <c r="D2203">
        <v>353</v>
      </c>
      <c r="E2203" t="s">
        <v>53</v>
      </c>
      <c r="F2203" t="s">
        <v>54</v>
      </c>
      <c r="G2203" t="s">
        <v>15</v>
      </c>
      <c r="H2203">
        <v>0.46058692577733279</v>
      </c>
      <c r="I2203">
        <v>3</v>
      </c>
      <c r="J2203" t="s">
        <v>16</v>
      </c>
      <c r="K2203" s="59" t="s">
        <v>16</v>
      </c>
    </row>
    <row r="2204" spans="1:11" x14ac:dyDescent="0.2">
      <c r="A2204" t="s">
        <v>2243</v>
      </c>
      <c r="B2204">
        <v>2024</v>
      </c>
      <c r="C2204" t="s">
        <v>33</v>
      </c>
      <c r="D2204">
        <v>95</v>
      </c>
      <c r="E2204" t="s">
        <v>25</v>
      </c>
      <c r="F2204" t="s">
        <v>26</v>
      </c>
      <c r="G2204" t="s">
        <v>15</v>
      </c>
      <c r="H2204">
        <v>0.66024472310180182</v>
      </c>
      <c r="I2204">
        <v>2</v>
      </c>
      <c r="J2204" t="s">
        <v>17</v>
      </c>
      <c r="K2204" s="59" t="s">
        <v>16</v>
      </c>
    </row>
    <row r="2205" spans="1:11" x14ac:dyDescent="0.2">
      <c r="A2205" t="s">
        <v>2244</v>
      </c>
      <c r="B2205">
        <v>2023</v>
      </c>
      <c r="C2205" t="s">
        <v>33</v>
      </c>
      <c r="D2205">
        <v>70</v>
      </c>
      <c r="E2205" t="s">
        <v>53</v>
      </c>
      <c r="F2205" t="s">
        <v>54</v>
      </c>
      <c r="G2205" t="s">
        <v>15</v>
      </c>
      <c r="H2205">
        <v>-1.068629387250613</v>
      </c>
      <c r="I2205">
        <v>3</v>
      </c>
      <c r="J2205" t="s">
        <v>16</v>
      </c>
      <c r="K2205" s="59" t="s">
        <v>4376</v>
      </c>
    </row>
    <row r="2206" spans="1:11" x14ac:dyDescent="0.2">
      <c r="A2206" t="s">
        <v>2245</v>
      </c>
      <c r="B2206">
        <v>2022</v>
      </c>
      <c r="C2206" t="s">
        <v>19</v>
      </c>
      <c r="D2206">
        <v>353</v>
      </c>
      <c r="E2206" t="s">
        <v>53</v>
      </c>
      <c r="F2206" t="s">
        <v>54</v>
      </c>
      <c r="G2206" t="s">
        <v>15</v>
      </c>
      <c r="H2206">
        <v>0.46058692577733279</v>
      </c>
      <c r="I2206">
        <v>3</v>
      </c>
      <c r="J2206" t="s">
        <v>16</v>
      </c>
      <c r="K2206" s="59" t="s">
        <v>23</v>
      </c>
    </row>
    <row r="2207" spans="1:11" x14ac:dyDescent="0.2">
      <c r="A2207" t="s">
        <v>2246</v>
      </c>
      <c r="B2207">
        <v>2023</v>
      </c>
      <c r="C2207" t="s">
        <v>33</v>
      </c>
      <c r="D2207">
        <v>70</v>
      </c>
      <c r="E2207" t="s">
        <v>53</v>
      </c>
      <c r="F2207" t="s">
        <v>54</v>
      </c>
      <c r="G2207" t="s">
        <v>15</v>
      </c>
      <c r="H2207">
        <v>-1.068629387250613</v>
      </c>
      <c r="I2207">
        <v>3</v>
      </c>
      <c r="J2207" t="s">
        <v>16</v>
      </c>
      <c r="K2207" s="59" t="s">
        <v>4376</v>
      </c>
    </row>
    <row r="2208" spans="1:11" x14ac:dyDescent="0.2">
      <c r="A2208" t="s">
        <v>2247</v>
      </c>
      <c r="B2208">
        <v>2021</v>
      </c>
      <c r="C2208" t="s">
        <v>19</v>
      </c>
      <c r="D2208">
        <v>155</v>
      </c>
      <c r="E2208" t="s">
        <v>53</v>
      </c>
      <c r="F2208" t="s">
        <v>54</v>
      </c>
      <c r="G2208" t="s">
        <v>48</v>
      </c>
      <c r="H2208">
        <v>-0.31004176740210432</v>
      </c>
      <c r="I2208">
        <v>3</v>
      </c>
      <c r="J2208" t="s">
        <v>23</v>
      </c>
      <c r="K2208" s="59" t="s">
        <v>17</v>
      </c>
    </row>
    <row r="2209" spans="1:11" x14ac:dyDescent="0.2">
      <c r="A2209" t="s">
        <v>2248</v>
      </c>
      <c r="B2209">
        <v>2022</v>
      </c>
      <c r="C2209" t="s">
        <v>19</v>
      </c>
      <c r="D2209">
        <v>353</v>
      </c>
      <c r="E2209" t="s">
        <v>53</v>
      </c>
      <c r="F2209" t="s">
        <v>54</v>
      </c>
      <c r="G2209" t="s">
        <v>15</v>
      </c>
      <c r="H2209">
        <v>0.46058692577733279</v>
      </c>
      <c r="I2209">
        <v>3</v>
      </c>
      <c r="J2209" t="s">
        <v>16</v>
      </c>
      <c r="K2209" s="59" t="s">
        <v>17</v>
      </c>
    </row>
    <row r="2210" spans="1:11" x14ac:dyDescent="0.2">
      <c r="A2210" t="s">
        <v>2249</v>
      </c>
      <c r="B2210">
        <v>2021</v>
      </c>
      <c r="C2210" t="s">
        <v>33</v>
      </c>
      <c r="D2210">
        <v>319</v>
      </c>
      <c r="E2210" t="s">
        <v>38</v>
      </c>
      <c r="F2210" t="s">
        <v>39</v>
      </c>
      <c r="G2210" t="s">
        <v>15</v>
      </c>
      <c r="H2210">
        <v>0.6155305486394721</v>
      </c>
      <c r="I2210">
        <v>3</v>
      </c>
      <c r="J2210" t="s">
        <v>16</v>
      </c>
      <c r="K2210" s="59" t="s">
        <v>23</v>
      </c>
    </row>
    <row r="2211" spans="1:11" x14ac:dyDescent="0.2">
      <c r="A2211" t="s">
        <v>2250</v>
      </c>
      <c r="B2211">
        <v>2022</v>
      </c>
      <c r="C2211" t="s">
        <v>19</v>
      </c>
      <c r="D2211">
        <v>353</v>
      </c>
      <c r="E2211" t="s">
        <v>53</v>
      </c>
      <c r="F2211" t="s">
        <v>54</v>
      </c>
      <c r="G2211" t="s">
        <v>15</v>
      </c>
      <c r="H2211">
        <v>0.46058692577733279</v>
      </c>
      <c r="I2211">
        <v>3</v>
      </c>
      <c r="J2211" t="s">
        <v>16</v>
      </c>
      <c r="K2211" s="59" t="s">
        <v>17</v>
      </c>
    </row>
    <row r="2212" spans="1:11" x14ac:dyDescent="0.2">
      <c r="A2212" t="s">
        <v>2251</v>
      </c>
      <c r="B2212">
        <v>2018</v>
      </c>
      <c r="C2212" t="s">
        <v>19</v>
      </c>
      <c r="D2212">
        <v>148</v>
      </c>
      <c r="E2212" t="s">
        <v>20</v>
      </c>
      <c r="F2212" t="s">
        <v>21</v>
      </c>
      <c r="G2212" t="s">
        <v>15</v>
      </c>
      <c r="H2212">
        <v>-9.0312939583915675E-2</v>
      </c>
      <c r="I2212">
        <v>3</v>
      </c>
      <c r="J2212" t="s">
        <v>23</v>
      </c>
      <c r="K2212" s="59" t="s">
        <v>23</v>
      </c>
    </row>
    <row r="2213" spans="1:11" x14ac:dyDescent="0.2">
      <c r="A2213" t="s">
        <v>2252</v>
      </c>
      <c r="B2213">
        <v>2020</v>
      </c>
      <c r="C2213" t="s">
        <v>19</v>
      </c>
      <c r="D2213">
        <v>133</v>
      </c>
      <c r="E2213" t="s">
        <v>20</v>
      </c>
      <c r="F2213" t="s">
        <v>21</v>
      </c>
      <c r="G2213" t="s">
        <v>80</v>
      </c>
      <c r="H2213">
        <v>-0.58799753650690134</v>
      </c>
      <c r="I2213">
        <v>3</v>
      </c>
      <c r="J2213" t="s">
        <v>23</v>
      </c>
      <c r="K2213" s="59" t="s">
        <v>16</v>
      </c>
    </row>
    <row r="2214" spans="1:11" x14ac:dyDescent="0.2">
      <c r="A2214" t="s">
        <v>2253</v>
      </c>
      <c r="B2214">
        <v>2022</v>
      </c>
      <c r="C2214" t="s">
        <v>19</v>
      </c>
      <c r="D2214">
        <v>353</v>
      </c>
      <c r="E2214" t="s">
        <v>53</v>
      </c>
      <c r="F2214" t="s">
        <v>54</v>
      </c>
      <c r="G2214" t="s">
        <v>15</v>
      </c>
      <c r="H2214">
        <v>0.46058692577733279</v>
      </c>
      <c r="I2214">
        <v>3</v>
      </c>
      <c r="J2214" t="s">
        <v>16</v>
      </c>
      <c r="K2214" s="59" t="s">
        <v>17</v>
      </c>
    </row>
    <row r="2215" spans="1:11" x14ac:dyDescent="0.2">
      <c r="A2215" t="s">
        <v>2254</v>
      </c>
      <c r="B2215">
        <v>2023</v>
      </c>
      <c r="C2215" t="s">
        <v>19</v>
      </c>
      <c r="D2215">
        <v>72</v>
      </c>
      <c r="E2215" t="s">
        <v>53</v>
      </c>
      <c r="F2215" t="s">
        <v>54</v>
      </c>
      <c r="G2215" t="s">
        <v>15</v>
      </c>
      <c r="H2215">
        <v>-0.26263004116157262</v>
      </c>
      <c r="I2215">
        <v>3</v>
      </c>
      <c r="J2215" t="s">
        <v>16</v>
      </c>
      <c r="K2215" s="59" t="s">
        <v>16</v>
      </c>
    </row>
    <row r="2216" spans="1:11" x14ac:dyDescent="0.2">
      <c r="A2216" t="s">
        <v>2255</v>
      </c>
      <c r="B2216">
        <v>2022</v>
      </c>
      <c r="C2216" t="s">
        <v>19</v>
      </c>
      <c r="D2216">
        <v>169</v>
      </c>
      <c r="E2216" t="s">
        <v>25</v>
      </c>
      <c r="F2216" t="s">
        <v>26</v>
      </c>
      <c r="G2216" t="s">
        <v>15</v>
      </c>
      <c r="H2216">
        <v>0.90369842435550918</v>
      </c>
      <c r="I2216">
        <v>2</v>
      </c>
      <c r="J2216" t="s">
        <v>23</v>
      </c>
      <c r="K2216" s="59" t="s">
        <v>17</v>
      </c>
    </row>
    <row r="2217" spans="1:11" x14ac:dyDescent="0.2">
      <c r="A2217" t="s">
        <v>2256</v>
      </c>
      <c r="B2217">
        <v>2022</v>
      </c>
      <c r="C2217" t="s">
        <v>33</v>
      </c>
      <c r="D2217">
        <v>353</v>
      </c>
      <c r="E2217" t="s">
        <v>53</v>
      </c>
      <c r="F2217" t="s">
        <v>54</v>
      </c>
      <c r="G2217" t="s">
        <v>15</v>
      </c>
      <c r="H2217">
        <v>0.46058692577733279</v>
      </c>
      <c r="I2217">
        <v>3</v>
      </c>
      <c r="J2217" t="s">
        <v>16</v>
      </c>
      <c r="K2217" s="59" t="s">
        <v>16</v>
      </c>
    </row>
    <row r="2218" spans="1:11" x14ac:dyDescent="0.2">
      <c r="A2218" t="s">
        <v>2257</v>
      </c>
      <c r="B2218">
        <v>2022</v>
      </c>
      <c r="C2218" t="s">
        <v>19</v>
      </c>
      <c r="D2218">
        <v>353</v>
      </c>
      <c r="E2218" t="s">
        <v>53</v>
      </c>
      <c r="F2218" t="s">
        <v>54</v>
      </c>
      <c r="G2218" t="s">
        <v>15</v>
      </c>
      <c r="H2218">
        <v>0.46058692577733279</v>
      </c>
      <c r="I2218">
        <v>3</v>
      </c>
      <c r="J2218" t="s">
        <v>16</v>
      </c>
      <c r="K2218" s="59" t="s">
        <v>17</v>
      </c>
    </row>
    <row r="2219" spans="1:11" x14ac:dyDescent="0.2">
      <c r="A2219" t="s">
        <v>2258</v>
      </c>
      <c r="B2219">
        <v>2022</v>
      </c>
      <c r="C2219" t="s">
        <v>19</v>
      </c>
      <c r="D2219">
        <v>353</v>
      </c>
      <c r="E2219" t="s">
        <v>53</v>
      </c>
      <c r="F2219" t="s">
        <v>54</v>
      </c>
      <c r="G2219" t="s">
        <v>15</v>
      </c>
      <c r="H2219">
        <v>0.46058692577733279</v>
      </c>
      <c r="I2219">
        <v>3</v>
      </c>
      <c r="J2219" t="s">
        <v>16</v>
      </c>
      <c r="K2219" s="59" t="s">
        <v>17</v>
      </c>
    </row>
    <row r="2220" spans="1:11" x14ac:dyDescent="0.2">
      <c r="A2220" t="s">
        <v>2259</v>
      </c>
      <c r="B2220">
        <v>2020</v>
      </c>
      <c r="C2220" t="s">
        <v>33</v>
      </c>
      <c r="D2220">
        <v>149</v>
      </c>
      <c r="E2220" t="s">
        <v>20</v>
      </c>
      <c r="F2220" t="s">
        <v>21</v>
      </c>
      <c r="G2220" t="s">
        <v>147</v>
      </c>
      <c r="H2220">
        <v>0.2272911299905892</v>
      </c>
      <c r="I2220">
        <v>3</v>
      </c>
      <c r="J2220" t="s">
        <v>16</v>
      </c>
      <c r="K2220" s="59" t="s">
        <v>4376</v>
      </c>
    </row>
    <row r="2221" spans="1:11" x14ac:dyDescent="0.2">
      <c r="A2221" t="s">
        <v>2260</v>
      </c>
      <c r="B2221">
        <v>2024</v>
      </c>
      <c r="C2221" t="s">
        <v>19</v>
      </c>
      <c r="D2221">
        <v>169</v>
      </c>
      <c r="E2221" t="s">
        <v>25</v>
      </c>
      <c r="F2221" t="s">
        <v>26</v>
      </c>
      <c r="G2221" t="s">
        <v>15</v>
      </c>
      <c r="H2221">
        <v>-0.82513212655849888</v>
      </c>
      <c r="I2221">
        <v>2</v>
      </c>
      <c r="J2221" t="s">
        <v>23</v>
      </c>
      <c r="K2221" s="59" t="s">
        <v>23</v>
      </c>
    </row>
    <row r="2222" spans="1:11" x14ac:dyDescent="0.2">
      <c r="A2222" t="s">
        <v>2261</v>
      </c>
      <c r="B2222">
        <v>2023</v>
      </c>
      <c r="C2222" t="s">
        <v>12</v>
      </c>
      <c r="D2222">
        <v>393</v>
      </c>
      <c r="E2222" t="s">
        <v>38</v>
      </c>
      <c r="F2222" t="s">
        <v>39</v>
      </c>
      <c r="G2222" t="s">
        <v>15</v>
      </c>
      <c r="H2222">
        <v>-5.0426212774462454E-3</v>
      </c>
      <c r="I2222">
        <v>3</v>
      </c>
      <c r="J2222" t="s">
        <v>16</v>
      </c>
      <c r="K2222" s="59" t="s">
        <v>4376</v>
      </c>
    </row>
    <row r="2223" spans="1:11" x14ac:dyDescent="0.2">
      <c r="A2223" t="s">
        <v>2262</v>
      </c>
      <c r="B2223">
        <v>2021</v>
      </c>
      <c r="C2223" t="s">
        <v>19</v>
      </c>
      <c r="D2223">
        <v>234</v>
      </c>
      <c r="E2223" t="s">
        <v>25</v>
      </c>
      <c r="F2223" t="s">
        <v>26</v>
      </c>
      <c r="G2223" t="s">
        <v>15</v>
      </c>
      <c r="H2223">
        <v>0.77365483238147925</v>
      </c>
      <c r="I2223">
        <v>2</v>
      </c>
      <c r="J2223" t="s">
        <v>23</v>
      </c>
      <c r="K2223" s="59" t="s">
        <v>16</v>
      </c>
    </row>
    <row r="2224" spans="1:11" x14ac:dyDescent="0.2">
      <c r="A2224" t="s">
        <v>2263</v>
      </c>
      <c r="B2224">
        <v>2021</v>
      </c>
      <c r="C2224" t="s">
        <v>33</v>
      </c>
      <c r="D2224">
        <v>398</v>
      </c>
      <c r="E2224" t="s">
        <v>29</v>
      </c>
      <c r="F2224" t="s">
        <v>30</v>
      </c>
      <c r="G2224" t="s">
        <v>15</v>
      </c>
      <c r="H2224">
        <v>0.43743819565275671</v>
      </c>
      <c r="I2224">
        <v>4</v>
      </c>
      <c r="J2224" t="s">
        <v>23</v>
      </c>
      <c r="K2224" s="59" t="s">
        <v>4376</v>
      </c>
    </row>
    <row r="2225" spans="1:11" x14ac:dyDescent="0.2">
      <c r="A2225" t="s">
        <v>2264</v>
      </c>
      <c r="B2225">
        <v>2023</v>
      </c>
      <c r="C2225" t="s">
        <v>19</v>
      </c>
      <c r="D2225">
        <v>59</v>
      </c>
      <c r="E2225" t="s">
        <v>25</v>
      </c>
      <c r="F2225" t="s">
        <v>26</v>
      </c>
      <c r="G2225" t="s">
        <v>147</v>
      </c>
      <c r="H2225">
        <v>0.94141351505984183</v>
      </c>
      <c r="I2225">
        <v>2</v>
      </c>
      <c r="J2225" t="s">
        <v>16</v>
      </c>
      <c r="K2225" s="59" t="s">
        <v>23</v>
      </c>
    </row>
    <row r="2226" spans="1:11" x14ac:dyDescent="0.2">
      <c r="A2226" t="s">
        <v>2265</v>
      </c>
      <c r="B2226">
        <v>2024</v>
      </c>
      <c r="C2226" t="s">
        <v>33</v>
      </c>
      <c r="D2226">
        <v>323</v>
      </c>
      <c r="E2226" t="s">
        <v>20</v>
      </c>
      <c r="F2226" t="s">
        <v>21</v>
      </c>
      <c r="G2226" t="s">
        <v>15</v>
      </c>
      <c r="H2226">
        <v>0.27271428493184913</v>
      </c>
      <c r="I2226">
        <v>3</v>
      </c>
      <c r="J2226" t="s">
        <v>23</v>
      </c>
      <c r="K2226" s="59" t="s">
        <v>17</v>
      </c>
    </row>
    <row r="2227" spans="1:11" x14ac:dyDescent="0.2">
      <c r="A2227" t="s">
        <v>2266</v>
      </c>
      <c r="B2227">
        <v>2020</v>
      </c>
      <c r="C2227" t="s">
        <v>33</v>
      </c>
      <c r="D2227">
        <v>96</v>
      </c>
      <c r="E2227" t="s">
        <v>20</v>
      </c>
      <c r="F2227" t="s">
        <v>21</v>
      </c>
      <c r="G2227" t="s">
        <v>15</v>
      </c>
      <c r="H2227">
        <v>-2.7553058899907028</v>
      </c>
      <c r="I2227">
        <v>3</v>
      </c>
      <c r="J2227" t="s">
        <v>17</v>
      </c>
      <c r="K2227" s="59" t="s">
        <v>4376</v>
      </c>
    </row>
    <row r="2228" spans="1:11" x14ac:dyDescent="0.2">
      <c r="A2228" t="s">
        <v>2267</v>
      </c>
      <c r="B2228">
        <v>2023</v>
      </c>
      <c r="C2228" t="s">
        <v>12</v>
      </c>
      <c r="D2228">
        <v>141</v>
      </c>
      <c r="E2228" t="s">
        <v>25</v>
      </c>
      <c r="F2228" t="s">
        <v>26</v>
      </c>
      <c r="G2228" t="s">
        <v>15</v>
      </c>
      <c r="H2228">
        <v>0.53524158042909076</v>
      </c>
      <c r="I2228">
        <v>2</v>
      </c>
      <c r="J2228" t="s">
        <v>23</v>
      </c>
      <c r="K2228" s="59" t="s">
        <v>17</v>
      </c>
    </row>
    <row r="2229" spans="1:11" x14ac:dyDescent="0.2">
      <c r="A2229" t="s">
        <v>2268</v>
      </c>
      <c r="B2229">
        <v>2022</v>
      </c>
      <c r="C2229" t="s">
        <v>33</v>
      </c>
      <c r="D2229">
        <v>353</v>
      </c>
      <c r="E2229" t="s">
        <v>53</v>
      </c>
      <c r="F2229" t="s">
        <v>54</v>
      </c>
      <c r="G2229" t="s">
        <v>15</v>
      </c>
      <c r="H2229">
        <v>0.46280219742872031</v>
      </c>
      <c r="I2229">
        <v>3</v>
      </c>
      <c r="J2229" t="s">
        <v>16</v>
      </c>
      <c r="K2229" s="59" t="s">
        <v>17</v>
      </c>
    </row>
    <row r="2230" spans="1:11" x14ac:dyDescent="0.2">
      <c r="A2230" t="s">
        <v>2269</v>
      </c>
      <c r="B2230">
        <v>2021</v>
      </c>
      <c r="C2230" t="s">
        <v>12</v>
      </c>
      <c r="D2230">
        <v>236</v>
      </c>
      <c r="E2230" t="s">
        <v>13</v>
      </c>
      <c r="F2230" t="s">
        <v>14</v>
      </c>
      <c r="G2230" t="s">
        <v>15</v>
      </c>
      <c r="H2230">
        <v>0.37470103989477938</v>
      </c>
      <c r="I2230">
        <v>4</v>
      </c>
      <c r="J2230" t="s">
        <v>23</v>
      </c>
      <c r="K2230" s="59" t="s">
        <v>16</v>
      </c>
    </row>
    <row r="2231" spans="1:11" x14ac:dyDescent="0.2">
      <c r="A2231" t="s">
        <v>2270</v>
      </c>
      <c r="B2231">
        <v>2023</v>
      </c>
      <c r="C2231" t="s">
        <v>19</v>
      </c>
      <c r="D2231">
        <v>44</v>
      </c>
      <c r="E2231" t="s">
        <v>20</v>
      </c>
      <c r="F2231" t="s">
        <v>21</v>
      </c>
      <c r="G2231" t="s">
        <v>22</v>
      </c>
      <c r="H2231">
        <v>-1.087131524320089</v>
      </c>
      <c r="I2231">
        <v>3</v>
      </c>
      <c r="J2231" t="s">
        <v>23</v>
      </c>
      <c r="K2231" s="59" t="s">
        <v>23</v>
      </c>
    </row>
    <row r="2232" spans="1:11" x14ac:dyDescent="0.2">
      <c r="A2232" t="s">
        <v>2271</v>
      </c>
      <c r="B2232">
        <v>2023</v>
      </c>
      <c r="C2232" t="s">
        <v>33</v>
      </c>
      <c r="D2232">
        <v>54</v>
      </c>
      <c r="E2232" t="s">
        <v>20</v>
      </c>
      <c r="F2232" t="s">
        <v>21</v>
      </c>
      <c r="G2232" t="s">
        <v>15</v>
      </c>
      <c r="H2232">
        <v>-0.56767529867140909</v>
      </c>
      <c r="I2232">
        <v>3</v>
      </c>
      <c r="J2232" t="s">
        <v>23</v>
      </c>
      <c r="K2232" s="59" t="s">
        <v>4376</v>
      </c>
    </row>
    <row r="2233" spans="1:11" x14ac:dyDescent="0.2">
      <c r="A2233" t="s">
        <v>2272</v>
      </c>
      <c r="B2233">
        <v>2023</v>
      </c>
      <c r="C2233" t="s">
        <v>12</v>
      </c>
      <c r="D2233">
        <v>156</v>
      </c>
      <c r="E2233" t="s">
        <v>13</v>
      </c>
      <c r="F2233" t="s">
        <v>14</v>
      </c>
      <c r="G2233" t="s">
        <v>22</v>
      </c>
      <c r="H2233">
        <v>-1.0037928385456121</v>
      </c>
      <c r="I2233">
        <v>4</v>
      </c>
      <c r="J2233" t="s">
        <v>23</v>
      </c>
      <c r="K2233" s="59" t="s">
        <v>17</v>
      </c>
    </row>
    <row r="2234" spans="1:11" x14ac:dyDescent="0.2">
      <c r="A2234" t="s">
        <v>2273</v>
      </c>
      <c r="B2234">
        <v>2022</v>
      </c>
      <c r="C2234" t="s">
        <v>19</v>
      </c>
      <c r="D2234">
        <v>353</v>
      </c>
      <c r="E2234" t="s">
        <v>53</v>
      </c>
      <c r="F2234" t="s">
        <v>54</v>
      </c>
      <c r="G2234" t="s">
        <v>15</v>
      </c>
      <c r="H2234">
        <v>0.46058692577733279</v>
      </c>
      <c r="I2234">
        <v>3</v>
      </c>
      <c r="J2234" t="s">
        <v>16</v>
      </c>
      <c r="K2234" s="59" t="s">
        <v>16</v>
      </c>
    </row>
    <row r="2235" spans="1:11" x14ac:dyDescent="0.2">
      <c r="A2235" t="s">
        <v>2274</v>
      </c>
      <c r="B2235">
        <v>2021</v>
      </c>
      <c r="C2235" t="s">
        <v>33</v>
      </c>
      <c r="D2235">
        <v>310</v>
      </c>
      <c r="E2235" t="s">
        <v>29</v>
      </c>
      <c r="F2235" t="s">
        <v>30</v>
      </c>
      <c r="G2235" t="s">
        <v>15</v>
      </c>
      <c r="H2235">
        <v>0.53094834150343062</v>
      </c>
      <c r="I2235">
        <v>4</v>
      </c>
      <c r="J2235" t="s">
        <v>16</v>
      </c>
      <c r="K2235" s="59" t="s">
        <v>4376</v>
      </c>
    </row>
    <row r="2236" spans="1:11" x14ac:dyDescent="0.2">
      <c r="A2236" t="s">
        <v>2275</v>
      </c>
      <c r="B2236">
        <v>2024</v>
      </c>
      <c r="C2236" t="s">
        <v>33</v>
      </c>
      <c r="D2236">
        <v>57</v>
      </c>
      <c r="E2236" t="s">
        <v>20</v>
      </c>
      <c r="F2236" t="s">
        <v>21</v>
      </c>
      <c r="G2236" t="s">
        <v>15</v>
      </c>
      <c r="H2236">
        <v>1.207133472294913</v>
      </c>
      <c r="I2236">
        <v>3</v>
      </c>
      <c r="J2236" t="s">
        <v>23</v>
      </c>
      <c r="K2236" s="59" t="s">
        <v>17</v>
      </c>
    </row>
    <row r="2237" spans="1:11" x14ac:dyDescent="0.2">
      <c r="A2237" t="s">
        <v>2276</v>
      </c>
      <c r="B2237">
        <v>2021</v>
      </c>
      <c r="C2237" t="s">
        <v>33</v>
      </c>
      <c r="D2237">
        <v>312</v>
      </c>
      <c r="E2237" t="s">
        <v>29</v>
      </c>
      <c r="F2237" t="s">
        <v>30</v>
      </c>
      <c r="G2237" t="s">
        <v>15</v>
      </c>
      <c r="H2237">
        <v>0.53524158042909076</v>
      </c>
      <c r="I2237">
        <v>4</v>
      </c>
      <c r="J2237" t="s">
        <v>16</v>
      </c>
      <c r="K2237" s="59" t="s">
        <v>4376</v>
      </c>
    </row>
    <row r="2238" spans="1:11" x14ac:dyDescent="0.2">
      <c r="A2238" t="s">
        <v>2277</v>
      </c>
      <c r="B2238">
        <v>2024</v>
      </c>
      <c r="C2238" t="s">
        <v>33</v>
      </c>
      <c r="D2238">
        <v>148</v>
      </c>
      <c r="E2238" t="s">
        <v>20</v>
      </c>
      <c r="F2238" t="s">
        <v>21</v>
      </c>
      <c r="G2238" t="s">
        <v>15</v>
      </c>
      <c r="H2238">
        <v>0.2064434205798589</v>
      </c>
      <c r="I2238">
        <v>3</v>
      </c>
      <c r="J2238" t="s">
        <v>23</v>
      </c>
      <c r="K2238" s="59" t="s">
        <v>4376</v>
      </c>
    </row>
    <row r="2239" spans="1:11" x14ac:dyDescent="0.2">
      <c r="A2239" t="s">
        <v>2278</v>
      </c>
      <c r="B2239">
        <v>2021</v>
      </c>
      <c r="C2239" t="s">
        <v>33</v>
      </c>
      <c r="D2239">
        <v>310</v>
      </c>
      <c r="E2239" t="s">
        <v>29</v>
      </c>
      <c r="F2239" t="s">
        <v>30</v>
      </c>
      <c r="G2239" t="s">
        <v>15</v>
      </c>
      <c r="H2239">
        <v>0.53094834150343062</v>
      </c>
      <c r="I2239">
        <v>4</v>
      </c>
      <c r="J2239" t="s">
        <v>16</v>
      </c>
      <c r="K2239" s="59" t="s">
        <v>4376</v>
      </c>
    </row>
    <row r="2240" spans="1:11" x14ac:dyDescent="0.2">
      <c r="A2240" t="s">
        <v>2279</v>
      </c>
      <c r="B2240">
        <v>2021</v>
      </c>
      <c r="C2240" t="s">
        <v>12</v>
      </c>
      <c r="D2240">
        <v>84</v>
      </c>
      <c r="E2240" t="s">
        <v>25</v>
      </c>
      <c r="F2240" t="s">
        <v>26</v>
      </c>
      <c r="G2240" t="s">
        <v>80</v>
      </c>
      <c r="H2240">
        <v>1.207133472294913</v>
      </c>
      <c r="I2240">
        <v>2</v>
      </c>
      <c r="J2240" t="s">
        <v>23</v>
      </c>
      <c r="K2240" s="59" t="s">
        <v>4376</v>
      </c>
    </row>
    <row r="2241" spans="1:11" x14ac:dyDescent="0.2">
      <c r="A2241" t="s">
        <v>2280</v>
      </c>
      <c r="B2241">
        <v>2021</v>
      </c>
      <c r="C2241" t="s">
        <v>19</v>
      </c>
      <c r="D2241">
        <v>382</v>
      </c>
      <c r="E2241" t="s">
        <v>29</v>
      </c>
      <c r="F2241" t="s">
        <v>30</v>
      </c>
      <c r="G2241" t="s">
        <v>15</v>
      </c>
      <c r="H2241">
        <v>-0.1911280323988247</v>
      </c>
      <c r="I2241">
        <v>4</v>
      </c>
      <c r="J2241" t="s">
        <v>23</v>
      </c>
      <c r="K2241" s="59" t="s">
        <v>16</v>
      </c>
    </row>
    <row r="2242" spans="1:11" x14ac:dyDescent="0.2">
      <c r="A2242" t="s">
        <v>2281</v>
      </c>
      <c r="B2242">
        <v>2023</v>
      </c>
      <c r="C2242" t="s">
        <v>12</v>
      </c>
      <c r="D2242">
        <v>393</v>
      </c>
      <c r="E2242" t="s">
        <v>38</v>
      </c>
      <c r="F2242" t="s">
        <v>39</v>
      </c>
      <c r="G2242" t="s">
        <v>15</v>
      </c>
      <c r="H2242">
        <v>-5.0426212774462454E-3</v>
      </c>
      <c r="I2242">
        <v>3</v>
      </c>
      <c r="J2242" t="s">
        <v>16</v>
      </c>
      <c r="K2242" s="59" t="s">
        <v>4376</v>
      </c>
    </row>
    <row r="2243" spans="1:11" x14ac:dyDescent="0.2">
      <c r="A2243" t="s">
        <v>2282</v>
      </c>
      <c r="B2243">
        <v>2021</v>
      </c>
      <c r="C2243" t="s">
        <v>33</v>
      </c>
      <c r="D2243">
        <v>143</v>
      </c>
      <c r="E2243" t="s">
        <v>38</v>
      </c>
      <c r="F2243" t="s">
        <v>39</v>
      </c>
      <c r="G2243" t="s">
        <v>15</v>
      </c>
      <c r="H2243">
        <v>-0.49694016649521522</v>
      </c>
      <c r="I2243">
        <v>3</v>
      </c>
      <c r="J2243" t="s">
        <v>17</v>
      </c>
      <c r="K2243" s="59" t="s">
        <v>4376</v>
      </c>
    </row>
    <row r="2244" spans="1:11" x14ac:dyDescent="0.2">
      <c r="A2244" t="s">
        <v>2283</v>
      </c>
      <c r="B2244">
        <v>2021</v>
      </c>
      <c r="C2244" t="s">
        <v>19</v>
      </c>
      <c r="D2244">
        <v>75</v>
      </c>
      <c r="E2244" t="s">
        <v>20</v>
      </c>
      <c r="F2244" t="s">
        <v>21</v>
      </c>
      <c r="G2244" t="s">
        <v>15</v>
      </c>
      <c r="H2244">
        <v>-0.75255121231373412</v>
      </c>
      <c r="I2244">
        <v>3</v>
      </c>
      <c r="J2244" t="s">
        <v>23</v>
      </c>
      <c r="K2244" s="59" t="s">
        <v>4376</v>
      </c>
    </row>
    <row r="2245" spans="1:11" x14ac:dyDescent="0.2">
      <c r="A2245" t="s">
        <v>2284</v>
      </c>
      <c r="B2245">
        <v>2021</v>
      </c>
      <c r="C2245" t="s">
        <v>33</v>
      </c>
      <c r="D2245">
        <v>319</v>
      </c>
      <c r="E2245" t="s">
        <v>38</v>
      </c>
      <c r="F2245" t="s">
        <v>39</v>
      </c>
      <c r="G2245" t="s">
        <v>15</v>
      </c>
      <c r="H2245">
        <v>0.6155305486394721</v>
      </c>
      <c r="I2245">
        <v>3</v>
      </c>
      <c r="J2245" t="s">
        <v>16</v>
      </c>
      <c r="K2245" s="59" t="s">
        <v>4376</v>
      </c>
    </row>
    <row r="2246" spans="1:11" x14ac:dyDescent="0.2">
      <c r="A2246" t="s">
        <v>2285</v>
      </c>
      <c r="B2246">
        <v>2021</v>
      </c>
      <c r="C2246" t="s">
        <v>12</v>
      </c>
      <c r="D2246">
        <v>110</v>
      </c>
      <c r="E2246" t="s">
        <v>25</v>
      </c>
      <c r="F2246" t="s">
        <v>26</v>
      </c>
      <c r="G2246" t="s">
        <v>48</v>
      </c>
      <c r="H2246">
        <v>0.35199833719295759</v>
      </c>
      <c r="I2246">
        <v>2</v>
      </c>
      <c r="J2246" t="s">
        <v>23</v>
      </c>
      <c r="K2246" s="59" t="s">
        <v>23</v>
      </c>
    </row>
    <row r="2247" spans="1:11" x14ac:dyDescent="0.2">
      <c r="A2247" t="s">
        <v>2286</v>
      </c>
      <c r="B2247">
        <v>2022</v>
      </c>
      <c r="C2247" t="s">
        <v>19</v>
      </c>
      <c r="D2247">
        <v>69</v>
      </c>
      <c r="E2247" t="s">
        <v>20</v>
      </c>
      <c r="F2247" t="s">
        <v>21</v>
      </c>
      <c r="G2247" t="s">
        <v>15</v>
      </c>
      <c r="H2247">
        <v>-0.17617336389942639</v>
      </c>
      <c r="I2247">
        <v>3</v>
      </c>
      <c r="J2247" t="s">
        <v>16</v>
      </c>
      <c r="K2247" s="59" t="s">
        <v>16</v>
      </c>
    </row>
    <row r="2248" spans="1:11" x14ac:dyDescent="0.2">
      <c r="A2248" t="s">
        <v>2287</v>
      </c>
      <c r="B2248">
        <v>2022</v>
      </c>
      <c r="C2248" t="s">
        <v>19</v>
      </c>
      <c r="D2248">
        <v>269</v>
      </c>
      <c r="E2248" t="s">
        <v>53</v>
      </c>
      <c r="F2248" t="s">
        <v>54</v>
      </c>
      <c r="G2248" t="s">
        <v>112</v>
      </c>
      <c r="H2248">
        <v>0.30956796789400559</v>
      </c>
      <c r="I2248">
        <v>3</v>
      </c>
      <c r="J2248" t="s">
        <v>16</v>
      </c>
      <c r="K2248" s="59" t="s">
        <v>23</v>
      </c>
    </row>
    <row r="2249" spans="1:11" x14ac:dyDescent="0.2">
      <c r="A2249" t="s">
        <v>2288</v>
      </c>
      <c r="B2249">
        <v>2021</v>
      </c>
      <c r="C2249" t="s">
        <v>33</v>
      </c>
      <c r="D2249">
        <v>319</v>
      </c>
      <c r="E2249" t="s">
        <v>38</v>
      </c>
      <c r="F2249" t="s">
        <v>39</v>
      </c>
      <c r="G2249" t="s">
        <v>15</v>
      </c>
      <c r="H2249">
        <v>0.6155305486394721</v>
      </c>
      <c r="I2249">
        <v>3</v>
      </c>
      <c r="J2249" t="s">
        <v>16</v>
      </c>
      <c r="K2249" s="59" t="s">
        <v>4376</v>
      </c>
    </row>
    <row r="2250" spans="1:11" x14ac:dyDescent="0.2">
      <c r="A2250" t="s">
        <v>2289</v>
      </c>
      <c r="B2250">
        <v>2021</v>
      </c>
      <c r="C2250" t="s">
        <v>33</v>
      </c>
      <c r="D2250">
        <v>398</v>
      </c>
      <c r="E2250" t="s">
        <v>29</v>
      </c>
      <c r="F2250" t="s">
        <v>30</v>
      </c>
      <c r="G2250" t="s">
        <v>15</v>
      </c>
      <c r="H2250">
        <v>0.43743819565275671</v>
      </c>
      <c r="I2250">
        <v>4</v>
      </c>
      <c r="J2250" t="s">
        <v>23</v>
      </c>
      <c r="K2250" s="59" t="s">
        <v>4376</v>
      </c>
    </row>
    <row r="2251" spans="1:11" x14ac:dyDescent="0.2">
      <c r="A2251" t="s">
        <v>2290</v>
      </c>
      <c r="B2251">
        <v>2023</v>
      </c>
      <c r="C2251" t="s">
        <v>12</v>
      </c>
      <c r="D2251">
        <v>393</v>
      </c>
      <c r="E2251" t="s">
        <v>38</v>
      </c>
      <c r="F2251" t="s">
        <v>39</v>
      </c>
      <c r="G2251" t="s">
        <v>15</v>
      </c>
      <c r="H2251">
        <v>-5.0426212774462454E-3</v>
      </c>
      <c r="I2251">
        <v>3</v>
      </c>
      <c r="J2251" t="s">
        <v>16</v>
      </c>
      <c r="K2251" s="59" t="s">
        <v>4376</v>
      </c>
    </row>
    <row r="2252" spans="1:11" x14ac:dyDescent="0.2">
      <c r="A2252" t="s">
        <v>2291</v>
      </c>
      <c r="B2252">
        <v>2024</v>
      </c>
      <c r="C2252" t="s">
        <v>19</v>
      </c>
      <c r="D2252">
        <v>65</v>
      </c>
      <c r="E2252" t="s">
        <v>25</v>
      </c>
      <c r="F2252" t="s">
        <v>26</v>
      </c>
      <c r="G2252" t="s">
        <v>22</v>
      </c>
      <c r="H2252">
        <v>-0.89879633803079739</v>
      </c>
      <c r="I2252">
        <v>2</v>
      </c>
      <c r="J2252" t="s">
        <v>23</v>
      </c>
      <c r="K2252" s="59" t="s">
        <v>16</v>
      </c>
    </row>
    <row r="2253" spans="1:11" x14ac:dyDescent="0.2">
      <c r="A2253" t="s">
        <v>2292</v>
      </c>
      <c r="B2253">
        <v>2022</v>
      </c>
      <c r="C2253" t="s">
        <v>12</v>
      </c>
      <c r="D2253">
        <v>243</v>
      </c>
      <c r="E2253" t="s">
        <v>20</v>
      </c>
      <c r="F2253" t="s">
        <v>21</v>
      </c>
      <c r="G2253" t="s">
        <v>15</v>
      </c>
      <c r="H2253">
        <v>1.173666381899163E-3</v>
      </c>
      <c r="I2253">
        <v>3</v>
      </c>
      <c r="J2253" t="s">
        <v>23</v>
      </c>
      <c r="K2253" s="59" t="s">
        <v>16</v>
      </c>
    </row>
    <row r="2254" spans="1:11" x14ac:dyDescent="0.2">
      <c r="A2254" t="s">
        <v>2293</v>
      </c>
      <c r="B2254">
        <v>2022</v>
      </c>
      <c r="C2254" t="s">
        <v>19</v>
      </c>
      <c r="D2254">
        <v>188</v>
      </c>
      <c r="E2254" t="s">
        <v>25</v>
      </c>
      <c r="F2254" t="s">
        <v>26</v>
      </c>
      <c r="G2254" t="s">
        <v>15</v>
      </c>
      <c r="H2254">
        <v>1.207133472294913</v>
      </c>
      <c r="I2254">
        <v>2</v>
      </c>
      <c r="J2254" t="s">
        <v>23</v>
      </c>
      <c r="K2254" s="59" t="s">
        <v>4376</v>
      </c>
    </row>
    <row r="2255" spans="1:11" x14ac:dyDescent="0.2">
      <c r="A2255" t="s">
        <v>2294</v>
      </c>
      <c r="B2255">
        <v>2022</v>
      </c>
      <c r="C2255" t="s">
        <v>12</v>
      </c>
      <c r="D2255">
        <v>120</v>
      </c>
      <c r="E2255" t="s">
        <v>25</v>
      </c>
      <c r="F2255" t="s">
        <v>26</v>
      </c>
      <c r="G2255" t="s">
        <v>15</v>
      </c>
      <c r="H2255">
        <v>-0.93679507155044439</v>
      </c>
      <c r="I2255">
        <v>2</v>
      </c>
      <c r="J2255" t="s">
        <v>23</v>
      </c>
      <c r="K2255" s="59" t="s">
        <v>17</v>
      </c>
    </row>
    <row r="2256" spans="1:11" x14ac:dyDescent="0.2">
      <c r="A2256" t="s">
        <v>2295</v>
      </c>
      <c r="B2256">
        <v>2022</v>
      </c>
      <c r="C2256" t="s">
        <v>19</v>
      </c>
      <c r="D2256">
        <v>91</v>
      </c>
      <c r="E2256" t="s">
        <v>25</v>
      </c>
      <c r="F2256" t="s">
        <v>26</v>
      </c>
      <c r="G2256" t="s">
        <v>15</v>
      </c>
      <c r="H2256">
        <v>-0.45283473113829409</v>
      </c>
      <c r="I2256">
        <v>2</v>
      </c>
      <c r="J2256" t="s">
        <v>23</v>
      </c>
      <c r="K2256" s="59" t="s">
        <v>17</v>
      </c>
    </row>
    <row r="2257" spans="1:11" x14ac:dyDescent="0.2">
      <c r="A2257" t="s">
        <v>2296</v>
      </c>
      <c r="B2257">
        <v>2023</v>
      </c>
      <c r="C2257" t="s">
        <v>19</v>
      </c>
      <c r="D2257">
        <v>81</v>
      </c>
      <c r="E2257" t="s">
        <v>20</v>
      </c>
      <c r="F2257" t="s">
        <v>21</v>
      </c>
      <c r="G2257" t="s">
        <v>15</v>
      </c>
      <c r="H2257">
        <v>0.626486158336795</v>
      </c>
      <c r="I2257">
        <v>3</v>
      </c>
      <c r="J2257" t="s">
        <v>23</v>
      </c>
      <c r="K2257" s="59" t="s">
        <v>17</v>
      </c>
    </row>
    <row r="2258" spans="1:11" x14ac:dyDescent="0.2">
      <c r="A2258" t="s">
        <v>2297</v>
      </c>
      <c r="B2258">
        <v>2022</v>
      </c>
      <c r="C2258" t="s">
        <v>19</v>
      </c>
      <c r="D2258">
        <v>69</v>
      </c>
      <c r="E2258" t="s">
        <v>20</v>
      </c>
      <c r="F2258" t="s">
        <v>21</v>
      </c>
      <c r="G2258" t="s">
        <v>15</v>
      </c>
      <c r="H2258">
        <v>-0.17617336389942639</v>
      </c>
      <c r="I2258">
        <v>3</v>
      </c>
      <c r="J2258" t="s">
        <v>16</v>
      </c>
      <c r="K2258" s="59" t="s">
        <v>4376</v>
      </c>
    </row>
    <row r="2259" spans="1:11" x14ac:dyDescent="0.2">
      <c r="A2259" t="s">
        <v>2298</v>
      </c>
      <c r="B2259">
        <v>2024</v>
      </c>
      <c r="C2259" t="s">
        <v>33</v>
      </c>
      <c r="D2259">
        <v>195</v>
      </c>
      <c r="E2259" t="s">
        <v>25</v>
      </c>
      <c r="F2259" t="s">
        <v>26</v>
      </c>
      <c r="G2259" t="s">
        <v>15</v>
      </c>
      <c r="H2259">
        <v>0.21697700007159629</v>
      </c>
      <c r="I2259">
        <v>2</v>
      </c>
      <c r="J2259" t="s">
        <v>23</v>
      </c>
      <c r="K2259" s="59" t="s">
        <v>23</v>
      </c>
    </row>
    <row r="2260" spans="1:11" x14ac:dyDescent="0.2">
      <c r="A2260" t="s">
        <v>2299</v>
      </c>
      <c r="B2260">
        <v>2021</v>
      </c>
      <c r="C2260" t="s">
        <v>12</v>
      </c>
      <c r="D2260">
        <v>281</v>
      </c>
      <c r="E2260" t="s">
        <v>20</v>
      </c>
      <c r="F2260" t="s">
        <v>21</v>
      </c>
      <c r="G2260" t="s">
        <v>41</v>
      </c>
      <c r="H2260">
        <v>-0.42242511849077252</v>
      </c>
      <c r="I2260">
        <v>3</v>
      </c>
      <c r="J2260" t="s">
        <v>16</v>
      </c>
      <c r="K2260" s="59" t="s">
        <v>23</v>
      </c>
    </row>
    <row r="2261" spans="1:11" x14ac:dyDescent="0.2">
      <c r="A2261" t="s">
        <v>2300</v>
      </c>
      <c r="B2261">
        <v>2020</v>
      </c>
      <c r="C2261" t="s">
        <v>33</v>
      </c>
      <c r="D2261">
        <v>149</v>
      </c>
      <c r="E2261" t="s">
        <v>20</v>
      </c>
      <c r="F2261" t="s">
        <v>21</v>
      </c>
      <c r="G2261" t="s">
        <v>147</v>
      </c>
      <c r="H2261">
        <v>0.2272911299905892</v>
      </c>
      <c r="I2261">
        <v>3</v>
      </c>
      <c r="J2261" t="s">
        <v>16</v>
      </c>
      <c r="K2261" s="59" t="s">
        <v>4376</v>
      </c>
    </row>
    <row r="2262" spans="1:11" x14ac:dyDescent="0.2">
      <c r="A2262" t="s">
        <v>2301</v>
      </c>
      <c r="B2262">
        <v>2021</v>
      </c>
      <c r="C2262" t="s">
        <v>19</v>
      </c>
      <c r="D2262">
        <v>273</v>
      </c>
      <c r="E2262" t="s">
        <v>25</v>
      </c>
      <c r="F2262" t="s">
        <v>26</v>
      </c>
      <c r="G2262" t="s">
        <v>34</v>
      </c>
      <c r="H2262">
        <v>1.0069954619519019</v>
      </c>
      <c r="I2262">
        <v>2</v>
      </c>
      <c r="J2262" t="s">
        <v>23</v>
      </c>
      <c r="K2262" s="59" t="s">
        <v>4376</v>
      </c>
    </row>
    <row r="2263" spans="1:11" x14ac:dyDescent="0.2">
      <c r="A2263" t="s">
        <v>2302</v>
      </c>
      <c r="B2263">
        <v>2023</v>
      </c>
      <c r="C2263" t="s">
        <v>12</v>
      </c>
      <c r="D2263">
        <v>566</v>
      </c>
      <c r="E2263" t="s">
        <v>25</v>
      </c>
      <c r="F2263" t="s">
        <v>26</v>
      </c>
      <c r="G2263" t="s">
        <v>48</v>
      </c>
      <c r="H2263">
        <v>0.92208842726092755</v>
      </c>
      <c r="I2263">
        <v>2</v>
      </c>
      <c r="J2263" t="s">
        <v>17</v>
      </c>
      <c r="K2263" s="59" t="s">
        <v>4376</v>
      </c>
    </row>
    <row r="2264" spans="1:11" x14ac:dyDescent="0.2">
      <c r="A2264" t="s">
        <v>2303</v>
      </c>
      <c r="B2264">
        <v>2021</v>
      </c>
      <c r="C2264" t="s">
        <v>19</v>
      </c>
      <c r="D2264">
        <v>137</v>
      </c>
      <c r="E2264" t="s">
        <v>25</v>
      </c>
      <c r="F2264" t="s">
        <v>26</v>
      </c>
      <c r="G2264" t="s">
        <v>80</v>
      </c>
      <c r="H2264">
        <v>-0.73781674100088723</v>
      </c>
      <c r="I2264">
        <v>2</v>
      </c>
      <c r="J2264" t="s">
        <v>23</v>
      </c>
      <c r="K2264" s="59" t="s">
        <v>17</v>
      </c>
    </row>
    <row r="2265" spans="1:11" x14ac:dyDescent="0.2">
      <c r="A2265" t="s">
        <v>2304</v>
      </c>
      <c r="B2265">
        <v>2023</v>
      </c>
      <c r="C2265" t="s">
        <v>19</v>
      </c>
      <c r="D2265">
        <v>81</v>
      </c>
      <c r="E2265" t="s">
        <v>20</v>
      </c>
      <c r="F2265" t="s">
        <v>21</v>
      </c>
      <c r="G2265" t="s">
        <v>36</v>
      </c>
      <c r="H2265">
        <v>-2.4107459454441278</v>
      </c>
      <c r="I2265">
        <v>3</v>
      </c>
      <c r="J2265" t="s">
        <v>23</v>
      </c>
      <c r="K2265" s="59" t="s">
        <v>17</v>
      </c>
    </row>
    <row r="2266" spans="1:11" x14ac:dyDescent="0.2">
      <c r="A2266" t="s">
        <v>2305</v>
      </c>
      <c r="B2266">
        <v>2021</v>
      </c>
      <c r="C2266" t="s">
        <v>12</v>
      </c>
      <c r="D2266">
        <v>319</v>
      </c>
      <c r="E2266" t="s">
        <v>38</v>
      </c>
      <c r="F2266" t="s">
        <v>39</v>
      </c>
      <c r="G2266" t="s">
        <v>15</v>
      </c>
      <c r="H2266">
        <v>0.6155305486394721</v>
      </c>
      <c r="I2266">
        <v>3</v>
      </c>
      <c r="J2266" t="s">
        <v>16</v>
      </c>
      <c r="K2266" s="59" t="s">
        <v>16</v>
      </c>
    </row>
    <row r="2267" spans="1:11" x14ac:dyDescent="0.2">
      <c r="A2267" t="s">
        <v>2306</v>
      </c>
      <c r="B2267">
        <v>2021</v>
      </c>
      <c r="C2267" t="s">
        <v>33</v>
      </c>
      <c r="D2267">
        <v>186</v>
      </c>
      <c r="E2267" t="s">
        <v>20</v>
      </c>
      <c r="F2267" t="s">
        <v>21</v>
      </c>
      <c r="G2267" t="s">
        <v>15</v>
      </c>
      <c r="H2267">
        <v>0.19568331249690121</v>
      </c>
      <c r="I2267">
        <v>3</v>
      </c>
      <c r="J2267" t="s">
        <v>23</v>
      </c>
      <c r="K2267" s="59" t="s">
        <v>4376</v>
      </c>
    </row>
    <row r="2268" spans="1:11" x14ac:dyDescent="0.2">
      <c r="A2268" t="s">
        <v>2307</v>
      </c>
      <c r="B2268">
        <v>2021</v>
      </c>
      <c r="C2268" t="s">
        <v>33</v>
      </c>
      <c r="D2268">
        <v>411</v>
      </c>
      <c r="E2268" t="s">
        <v>38</v>
      </c>
      <c r="F2268" t="s">
        <v>39</v>
      </c>
      <c r="G2268" t="s">
        <v>15</v>
      </c>
      <c r="H2268">
        <v>0.34487221106710803</v>
      </c>
      <c r="I2268">
        <v>3</v>
      </c>
      <c r="J2268" t="s">
        <v>23</v>
      </c>
      <c r="K2268" s="59" t="s">
        <v>4376</v>
      </c>
    </row>
    <row r="2269" spans="1:11" x14ac:dyDescent="0.2">
      <c r="A2269" t="s">
        <v>2308</v>
      </c>
      <c r="B2269">
        <v>2022</v>
      </c>
      <c r="C2269" t="s">
        <v>19</v>
      </c>
      <c r="D2269">
        <v>70</v>
      </c>
      <c r="E2269" t="s">
        <v>20</v>
      </c>
      <c r="F2269" t="s">
        <v>21</v>
      </c>
      <c r="G2269" t="s">
        <v>15</v>
      </c>
      <c r="H2269">
        <v>-0.15612543873718959</v>
      </c>
      <c r="I2269">
        <v>3</v>
      </c>
      <c r="J2269" t="s">
        <v>16</v>
      </c>
      <c r="K2269" s="59" t="s">
        <v>17</v>
      </c>
    </row>
    <row r="2270" spans="1:11" x14ac:dyDescent="0.2">
      <c r="A2270" t="s">
        <v>2309</v>
      </c>
      <c r="B2270">
        <v>2024</v>
      </c>
      <c r="C2270" t="s">
        <v>33</v>
      </c>
      <c r="D2270">
        <v>184</v>
      </c>
      <c r="E2270" t="s">
        <v>20</v>
      </c>
      <c r="F2270" t="s">
        <v>21</v>
      </c>
      <c r="G2270" t="s">
        <v>48</v>
      </c>
      <c r="H2270">
        <v>0.67867917532179434</v>
      </c>
      <c r="I2270">
        <v>3</v>
      </c>
      <c r="J2270" t="s">
        <v>23</v>
      </c>
      <c r="K2270" s="59" t="s">
        <v>16</v>
      </c>
    </row>
    <row r="2271" spans="1:11" x14ac:dyDescent="0.2">
      <c r="A2271" t="s">
        <v>2310</v>
      </c>
      <c r="B2271">
        <v>2022</v>
      </c>
      <c r="C2271" t="s">
        <v>33</v>
      </c>
      <c r="D2271">
        <v>112</v>
      </c>
      <c r="E2271" t="s">
        <v>25</v>
      </c>
      <c r="F2271" t="s">
        <v>26</v>
      </c>
      <c r="G2271" t="s">
        <v>15</v>
      </c>
      <c r="H2271">
        <v>0.99138836940221753</v>
      </c>
      <c r="I2271">
        <v>2</v>
      </c>
      <c r="J2271" t="s">
        <v>17</v>
      </c>
      <c r="K2271" s="59" t="s">
        <v>17</v>
      </c>
    </row>
    <row r="2272" spans="1:11" x14ac:dyDescent="0.2">
      <c r="A2272" t="s">
        <v>2311</v>
      </c>
      <c r="B2272">
        <v>2021</v>
      </c>
      <c r="C2272" t="s">
        <v>33</v>
      </c>
      <c r="D2272">
        <v>320</v>
      </c>
      <c r="E2272" t="s">
        <v>38</v>
      </c>
      <c r="F2272" t="s">
        <v>39</v>
      </c>
      <c r="G2272" t="s">
        <v>15</v>
      </c>
      <c r="H2272">
        <v>0.6155305486394721</v>
      </c>
      <c r="I2272">
        <v>3</v>
      </c>
      <c r="J2272" t="s">
        <v>16</v>
      </c>
      <c r="K2272" s="59" t="s">
        <v>4376</v>
      </c>
    </row>
    <row r="2273" spans="1:11" x14ac:dyDescent="0.2">
      <c r="A2273" t="s">
        <v>2312</v>
      </c>
      <c r="B2273">
        <v>2020</v>
      </c>
      <c r="C2273" t="s">
        <v>33</v>
      </c>
      <c r="D2273">
        <v>51</v>
      </c>
      <c r="E2273" t="s">
        <v>13</v>
      </c>
      <c r="F2273" t="s">
        <v>14</v>
      </c>
      <c r="G2273" t="s">
        <v>15</v>
      </c>
      <c r="H2273">
        <v>-0.67416382492938842</v>
      </c>
      <c r="I2273">
        <v>4</v>
      </c>
      <c r="J2273" t="s">
        <v>23</v>
      </c>
      <c r="K2273" s="59" t="s">
        <v>23</v>
      </c>
    </row>
    <row r="2274" spans="1:11" x14ac:dyDescent="0.2">
      <c r="A2274" t="s">
        <v>2313</v>
      </c>
      <c r="B2274">
        <v>2022</v>
      </c>
      <c r="C2274" t="s">
        <v>33</v>
      </c>
      <c r="D2274">
        <v>82</v>
      </c>
      <c r="E2274" t="s">
        <v>25</v>
      </c>
      <c r="F2274" t="s">
        <v>26</v>
      </c>
      <c r="G2274" t="s">
        <v>48</v>
      </c>
      <c r="H2274">
        <v>0.55390524409203035</v>
      </c>
      <c r="I2274">
        <v>2</v>
      </c>
      <c r="J2274" t="s">
        <v>16</v>
      </c>
      <c r="K2274" s="59" t="s">
        <v>4376</v>
      </c>
    </row>
    <row r="2275" spans="1:11" x14ac:dyDescent="0.2">
      <c r="A2275" t="s">
        <v>2314</v>
      </c>
      <c r="B2275">
        <v>2020</v>
      </c>
      <c r="C2275" t="s">
        <v>19</v>
      </c>
      <c r="D2275">
        <v>101</v>
      </c>
      <c r="E2275" t="s">
        <v>20</v>
      </c>
      <c r="F2275" t="s">
        <v>21</v>
      </c>
      <c r="G2275" t="s">
        <v>15</v>
      </c>
      <c r="H2275">
        <v>-0.71255764732172089</v>
      </c>
      <c r="I2275">
        <v>3</v>
      </c>
      <c r="J2275" t="s">
        <v>23</v>
      </c>
      <c r="K2275" s="59" t="s">
        <v>4376</v>
      </c>
    </row>
    <row r="2276" spans="1:11" x14ac:dyDescent="0.2">
      <c r="A2276" t="s">
        <v>2315</v>
      </c>
      <c r="B2276">
        <v>2022</v>
      </c>
      <c r="C2276" t="s">
        <v>33</v>
      </c>
      <c r="D2276">
        <v>116</v>
      </c>
      <c r="E2276" t="s">
        <v>25</v>
      </c>
      <c r="F2276" t="s">
        <v>26</v>
      </c>
      <c r="G2276" t="s">
        <v>15</v>
      </c>
      <c r="H2276">
        <v>-0.44312731474394779</v>
      </c>
      <c r="I2276">
        <v>2</v>
      </c>
      <c r="J2276" t="s">
        <v>16</v>
      </c>
      <c r="K2276" s="59" t="s">
        <v>4376</v>
      </c>
    </row>
    <row r="2277" spans="1:11" x14ac:dyDescent="0.2">
      <c r="A2277" t="s">
        <v>2316</v>
      </c>
      <c r="B2277">
        <v>2023</v>
      </c>
      <c r="C2277" t="s">
        <v>12</v>
      </c>
      <c r="D2277">
        <v>31</v>
      </c>
      <c r="E2277" t="s">
        <v>20</v>
      </c>
      <c r="F2277" t="s">
        <v>21</v>
      </c>
      <c r="G2277" t="s">
        <v>15</v>
      </c>
      <c r="H2277">
        <v>-0.81576684730110982</v>
      </c>
      <c r="I2277">
        <v>3</v>
      </c>
      <c r="J2277" t="s">
        <v>16</v>
      </c>
      <c r="K2277" s="59" t="s">
        <v>17</v>
      </c>
    </row>
    <row r="2278" spans="1:11" x14ac:dyDescent="0.2">
      <c r="A2278" t="s">
        <v>2317</v>
      </c>
      <c r="B2278">
        <v>2024</v>
      </c>
      <c r="C2278" t="s">
        <v>12</v>
      </c>
      <c r="D2278">
        <v>53</v>
      </c>
      <c r="E2278" t="s">
        <v>20</v>
      </c>
      <c r="F2278" t="s">
        <v>21</v>
      </c>
      <c r="G2278" t="s">
        <v>48</v>
      </c>
      <c r="H2278">
        <v>-0.67416382492938842</v>
      </c>
      <c r="I2278">
        <v>3</v>
      </c>
      <c r="J2278" t="s">
        <v>23</v>
      </c>
      <c r="K2278" s="59" t="s">
        <v>16</v>
      </c>
    </row>
    <row r="2279" spans="1:11" x14ac:dyDescent="0.2">
      <c r="A2279" t="s">
        <v>2318</v>
      </c>
      <c r="B2279">
        <v>2021</v>
      </c>
      <c r="C2279" t="s">
        <v>12</v>
      </c>
      <c r="D2279">
        <v>344</v>
      </c>
      <c r="E2279" t="s">
        <v>13</v>
      </c>
      <c r="F2279" t="s">
        <v>14</v>
      </c>
      <c r="G2279" t="s">
        <v>48</v>
      </c>
      <c r="H2279">
        <v>0.47707780471533301</v>
      </c>
      <c r="I2279">
        <v>4</v>
      </c>
      <c r="J2279" t="s">
        <v>16</v>
      </c>
      <c r="K2279" s="59" t="s">
        <v>23</v>
      </c>
    </row>
    <row r="2280" spans="1:11" x14ac:dyDescent="0.2">
      <c r="A2280" t="s">
        <v>2319</v>
      </c>
      <c r="B2280">
        <v>2022</v>
      </c>
      <c r="C2280" t="s">
        <v>19</v>
      </c>
      <c r="D2280">
        <v>138</v>
      </c>
      <c r="E2280" t="s">
        <v>25</v>
      </c>
      <c r="F2280" t="s">
        <v>26</v>
      </c>
      <c r="G2280" t="s">
        <v>15</v>
      </c>
      <c r="H2280">
        <v>0.50515686885300926</v>
      </c>
      <c r="I2280">
        <v>2</v>
      </c>
      <c r="J2280" t="s">
        <v>23</v>
      </c>
      <c r="K2280" s="59" t="s">
        <v>17</v>
      </c>
    </row>
    <row r="2281" spans="1:11" x14ac:dyDescent="0.2">
      <c r="A2281" t="s">
        <v>2320</v>
      </c>
      <c r="B2281">
        <v>2022</v>
      </c>
      <c r="C2281" t="s">
        <v>12</v>
      </c>
      <c r="D2281">
        <v>84</v>
      </c>
      <c r="E2281" t="s">
        <v>20</v>
      </c>
      <c r="F2281" t="s">
        <v>21</v>
      </c>
      <c r="G2281" t="s">
        <v>167</v>
      </c>
      <c r="H2281">
        <v>1.207133472294913</v>
      </c>
      <c r="I2281">
        <v>3</v>
      </c>
      <c r="J2281" t="s">
        <v>16</v>
      </c>
      <c r="K2281" s="59" t="s">
        <v>23</v>
      </c>
    </row>
    <row r="2282" spans="1:11" x14ac:dyDescent="0.2">
      <c r="A2282" t="s">
        <v>2321</v>
      </c>
      <c r="B2282">
        <v>2020</v>
      </c>
      <c r="C2282" t="s">
        <v>19</v>
      </c>
      <c r="D2282">
        <v>97</v>
      </c>
      <c r="E2282" t="s">
        <v>20</v>
      </c>
      <c r="F2282" t="s">
        <v>21</v>
      </c>
      <c r="G2282" t="s">
        <v>15</v>
      </c>
      <c r="H2282">
        <v>-1.763335944375036</v>
      </c>
      <c r="I2282">
        <v>3</v>
      </c>
      <c r="J2282" t="s">
        <v>23</v>
      </c>
      <c r="K2282" s="59" t="s">
        <v>4376</v>
      </c>
    </row>
    <row r="2283" spans="1:11" x14ac:dyDescent="0.2">
      <c r="A2283" t="s">
        <v>2322</v>
      </c>
      <c r="B2283">
        <v>2022</v>
      </c>
      <c r="C2283" t="s">
        <v>33</v>
      </c>
      <c r="D2283">
        <v>96</v>
      </c>
      <c r="E2283" t="s">
        <v>25</v>
      </c>
      <c r="F2283" t="s">
        <v>26</v>
      </c>
      <c r="G2283" t="s">
        <v>48</v>
      </c>
      <c r="H2283">
        <v>1.7604562067726479</v>
      </c>
      <c r="I2283">
        <v>2</v>
      </c>
      <c r="J2283" t="s">
        <v>16</v>
      </c>
      <c r="K2283" s="59" t="s">
        <v>4376</v>
      </c>
    </row>
    <row r="2284" spans="1:11" x14ac:dyDescent="0.2">
      <c r="A2284" t="s">
        <v>2323</v>
      </c>
      <c r="B2284">
        <v>2022</v>
      </c>
      <c r="C2284" t="s">
        <v>19</v>
      </c>
      <c r="D2284">
        <v>69</v>
      </c>
      <c r="E2284" t="s">
        <v>20</v>
      </c>
      <c r="F2284" t="s">
        <v>21</v>
      </c>
      <c r="G2284" t="s">
        <v>15</v>
      </c>
      <c r="H2284">
        <v>-0.17617336389942639</v>
      </c>
      <c r="I2284">
        <v>3</v>
      </c>
      <c r="J2284" t="s">
        <v>16</v>
      </c>
      <c r="K2284" s="59" t="s">
        <v>16</v>
      </c>
    </row>
    <row r="2285" spans="1:11" x14ac:dyDescent="0.2">
      <c r="A2285" t="s">
        <v>2324</v>
      </c>
      <c r="B2285">
        <v>2023</v>
      </c>
      <c r="C2285" t="s">
        <v>33</v>
      </c>
      <c r="D2285">
        <v>90</v>
      </c>
      <c r="E2285" t="s">
        <v>20</v>
      </c>
      <c r="F2285" t="s">
        <v>21</v>
      </c>
      <c r="G2285" t="s">
        <v>167</v>
      </c>
      <c r="H2285">
        <v>0.67267401285619066</v>
      </c>
      <c r="I2285">
        <v>3</v>
      </c>
      <c r="J2285" t="s">
        <v>16</v>
      </c>
      <c r="K2285" s="59" t="s">
        <v>4376</v>
      </c>
    </row>
    <row r="2286" spans="1:11" x14ac:dyDescent="0.2">
      <c r="A2286" t="s">
        <v>2325</v>
      </c>
      <c r="B2286">
        <v>2022</v>
      </c>
      <c r="C2286" t="s">
        <v>19</v>
      </c>
      <c r="D2286">
        <v>353</v>
      </c>
      <c r="E2286" t="s">
        <v>53</v>
      </c>
      <c r="F2286" t="s">
        <v>54</v>
      </c>
      <c r="G2286" t="s">
        <v>15</v>
      </c>
      <c r="H2286">
        <v>0.46280219742872031</v>
      </c>
      <c r="I2286">
        <v>3</v>
      </c>
      <c r="J2286" t="s">
        <v>16</v>
      </c>
      <c r="K2286" s="59" t="s">
        <v>17</v>
      </c>
    </row>
    <row r="2287" spans="1:11" x14ac:dyDescent="0.2">
      <c r="A2287" t="s">
        <v>2326</v>
      </c>
      <c r="B2287">
        <v>2021</v>
      </c>
      <c r="C2287" t="s">
        <v>19</v>
      </c>
      <c r="D2287">
        <v>382</v>
      </c>
      <c r="E2287" t="s">
        <v>29</v>
      </c>
      <c r="F2287" t="s">
        <v>30</v>
      </c>
      <c r="G2287" t="s">
        <v>15</v>
      </c>
      <c r="H2287">
        <v>-0.1911280323988247</v>
      </c>
      <c r="I2287">
        <v>4</v>
      </c>
      <c r="J2287" t="s">
        <v>17</v>
      </c>
      <c r="K2287" s="59" t="s">
        <v>17</v>
      </c>
    </row>
    <row r="2288" spans="1:11" x14ac:dyDescent="0.2">
      <c r="A2288" t="s">
        <v>2327</v>
      </c>
      <c r="B2288">
        <v>2022</v>
      </c>
      <c r="C2288" t="s">
        <v>19</v>
      </c>
      <c r="D2288">
        <v>43</v>
      </c>
      <c r="E2288" t="s">
        <v>20</v>
      </c>
      <c r="F2288" t="s">
        <v>21</v>
      </c>
      <c r="G2288" t="s">
        <v>36</v>
      </c>
      <c r="H2288">
        <v>1.173666381899163E-3</v>
      </c>
      <c r="I2288">
        <v>3</v>
      </c>
      <c r="J2288" t="s">
        <v>23</v>
      </c>
      <c r="K2288" s="59" t="s">
        <v>17</v>
      </c>
    </row>
    <row r="2289" spans="1:11" x14ac:dyDescent="0.2">
      <c r="A2289" t="s">
        <v>2328</v>
      </c>
      <c r="B2289">
        <v>2023</v>
      </c>
      <c r="C2289" t="s">
        <v>19</v>
      </c>
      <c r="D2289">
        <v>185</v>
      </c>
      <c r="E2289" t="s">
        <v>25</v>
      </c>
      <c r="F2289" t="s">
        <v>26</v>
      </c>
      <c r="G2289" t="s">
        <v>15</v>
      </c>
      <c r="H2289">
        <v>0.40544428313682979</v>
      </c>
      <c r="I2289">
        <v>2</v>
      </c>
      <c r="J2289" t="s">
        <v>23</v>
      </c>
      <c r="K2289" s="59" t="s">
        <v>4376</v>
      </c>
    </row>
    <row r="2290" spans="1:11" x14ac:dyDescent="0.2">
      <c r="A2290" t="s">
        <v>2329</v>
      </c>
      <c r="B2290">
        <v>2023</v>
      </c>
      <c r="C2290" t="s">
        <v>12</v>
      </c>
      <c r="D2290">
        <v>393</v>
      </c>
      <c r="E2290" t="s">
        <v>38</v>
      </c>
      <c r="F2290" t="s">
        <v>39</v>
      </c>
      <c r="G2290" t="s">
        <v>15</v>
      </c>
      <c r="H2290">
        <v>-5.0426212774462454E-3</v>
      </c>
      <c r="I2290">
        <v>3</v>
      </c>
      <c r="J2290" t="s">
        <v>16</v>
      </c>
      <c r="K2290" s="59" t="s">
        <v>4376</v>
      </c>
    </row>
    <row r="2291" spans="1:11" x14ac:dyDescent="0.2">
      <c r="A2291" t="s">
        <v>2330</v>
      </c>
      <c r="B2291">
        <v>2023</v>
      </c>
      <c r="C2291" t="s">
        <v>12</v>
      </c>
      <c r="D2291">
        <v>214</v>
      </c>
      <c r="E2291" t="s">
        <v>25</v>
      </c>
      <c r="F2291" t="s">
        <v>26</v>
      </c>
      <c r="G2291" t="s">
        <v>48</v>
      </c>
      <c r="H2291">
        <v>-0.33853332119923152</v>
      </c>
      <c r="I2291">
        <v>2</v>
      </c>
      <c r="J2291" t="s">
        <v>23</v>
      </c>
      <c r="K2291" s="59" t="s">
        <v>4376</v>
      </c>
    </row>
    <row r="2292" spans="1:11" x14ac:dyDescent="0.2">
      <c r="A2292" t="s">
        <v>2331</v>
      </c>
      <c r="B2292">
        <v>2023</v>
      </c>
      <c r="C2292" t="s">
        <v>19</v>
      </c>
      <c r="D2292">
        <v>201</v>
      </c>
      <c r="E2292" t="s">
        <v>25</v>
      </c>
      <c r="F2292" t="s">
        <v>26</v>
      </c>
      <c r="G2292" t="s">
        <v>15</v>
      </c>
      <c r="H2292">
        <v>-0.23263486741756259</v>
      </c>
      <c r="I2292">
        <v>2</v>
      </c>
      <c r="J2292" t="s">
        <v>23</v>
      </c>
      <c r="K2292" s="59" t="s">
        <v>17</v>
      </c>
    </row>
    <row r="2293" spans="1:11" x14ac:dyDescent="0.2">
      <c r="A2293" t="s">
        <v>2332</v>
      </c>
      <c r="B2293">
        <v>2020</v>
      </c>
      <c r="C2293" t="s">
        <v>33</v>
      </c>
      <c r="D2293">
        <v>131</v>
      </c>
      <c r="E2293" t="s">
        <v>25</v>
      </c>
      <c r="F2293" t="s">
        <v>26</v>
      </c>
      <c r="G2293" t="s">
        <v>41</v>
      </c>
      <c r="H2293">
        <v>9.6131131414419882E-2</v>
      </c>
      <c r="I2293">
        <v>2</v>
      </c>
      <c r="J2293" t="s">
        <v>23</v>
      </c>
      <c r="K2293" s="59" t="s">
        <v>23</v>
      </c>
    </row>
    <row r="2294" spans="1:11" x14ac:dyDescent="0.2">
      <c r="A2294" t="s">
        <v>2333</v>
      </c>
      <c r="B2294">
        <v>2023</v>
      </c>
      <c r="C2294" t="s">
        <v>12</v>
      </c>
      <c r="D2294">
        <v>383</v>
      </c>
      <c r="E2294" t="s">
        <v>29</v>
      </c>
      <c r="F2294" t="s">
        <v>30</v>
      </c>
      <c r="G2294" t="s">
        <v>15</v>
      </c>
      <c r="H2294">
        <v>0.21436445001295959</v>
      </c>
      <c r="I2294">
        <v>4</v>
      </c>
      <c r="J2294" t="s">
        <v>16</v>
      </c>
      <c r="K2294" s="59" t="s">
        <v>16</v>
      </c>
    </row>
    <row r="2295" spans="1:11" x14ac:dyDescent="0.2">
      <c r="A2295" t="s">
        <v>2334</v>
      </c>
      <c r="B2295">
        <v>2021</v>
      </c>
      <c r="C2295" t="s">
        <v>33</v>
      </c>
      <c r="D2295">
        <v>398</v>
      </c>
      <c r="E2295" t="s">
        <v>29</v>
      </c>
      <c r="F2295" t="s">
        <v>30</v>
      </c>
      <c r="G2295" t="s">
        <v>15</v>
      </c>
      <c r="H2295">
        <v>0.43743819565275671</v>
      </c>
      <c r="I2295">
        <v>4</v>
      </c>
      <c r="J2295" t="s">
        <v>23</v>
      </c>
      <c r="K2295" s="59" t="s">
        <v>4376</v>
      </c>
    </row>
    <row r="2296" spans="1:11" x14ac:dyDescent="0.2">
      <c r="A2296" t="s">
        <v>2335</v>
      </c>
      <c r="B2296">
        <v>2020</v>
      </c>
      <c r="C2296" t="s">
        <v>19</v>
      </c>
      <c r="D2296">
        <v>66</v>
      </c>
      <c r="E2296" t="s">
        <v>25</v>
      </c>
      <c r="F2296" t="s">
        <v>26</v>
      </c>
      <c r="G2296" t="s">
        <v>15</v>
      </c>
      <c r="H2296">
        <v>-1.6433169780449379</v>
      </c>
      <c r="I2296">
        <v>2</v>
      </c>
      <c r="J2296" t="s">
        <v>16</v>
      </c>
      <c r="K2296" s="59" t="s">
        <v>23</v>
      </c>
    </row>
    <row r="2297" spans="1:11" x14ac:dyDescent="0.2">
      <c r="A2297" t="s">
        <v>2336</v>
      </c>
      <c r="B2297">
        <v>2021</v>
      </c>
      <c r="C2297" t="s">
        <v>19</v>
      </c>
      <c r="D2297">
        <v>72</v>
      </c>
      <c r="E2297" t="s">
        <v>25</v>
      </c>
      <c r="F2297" t="s">
        <v>26</v>
      </c>
      <c r="G2297" t="s">
        <v>15</v>
      </c>
      <c r="H2297">
        <v>-0.80854220330255278</v>
      </c>
      <c r="I2297">
        <v>2</v>
      </c>
      <c r="J2297" t="s">
        <v>23</v>
      </c>
      <c r="K2297" s="59" t="s">
        <v>17</v>
      </c>
    </row>
    <row r="2298" spans="1:11" x14ac:dyDescent="0.2">
      <c r="A2298" t="s">
        <v>2337</v>
      </c>
      <c r="B2298">
        <v>2021</v>
      </c>
      <c r="C2298" t="s">
        <v>33</v>
      </c>
      <c r="D2298">
        <v>304</v>
      </c>
      <c r="E2298" t="s">
        <v>29</v>
      </c>
      <c r="F2298" t="s">
        <v>30</v>
      </c>
      <c r="G2298" t="s">
        <v>15</v>
      </c>
      <c r="H2298">
        <v>0.51773299692770136</v>
      </c>
      <c r="I2298">
        <v>4</v>
      </c>
      <c r="J2298" t="s">
        <v>23</v>
      </c>
      <c r="K2298" s="59" t="s">
        <v>17</v>
      </c>
    </row>
    <row r="2299" spans="1:11" x14ac:dyDescent="0.2">
      <c r="A2299" t="s">
        <v>2338</v>
      </c>
      <c r="B2299">
        <v>2020</v>
      </c>
      <c r="C2299" t="s">
        <v>19</v>
      </c>
      <c r="D2299">
        <v>162</v>
      </c>
      <c r="E2299" t="s">
        <v>20</v>
      </c>
      <c r="F2299" t="s">
        <v>21</v>
      </c>
      <c r="G2299" t="s">
        <v>15</v>
      </c>
      <c r="H2299">
        <v>0.5800343732201455</v>
      </c>
      <c r="I2299">
        <v>3</v>
      </c>
      <c r="J2299" t="s">
        <v>23</v>
      </c>
      <c r="K2299" s="59" t="s">
        <v>4376</v>
      </c>
    </row>
    <row r="2300" spans="1:11" x14ac:dyDescent="0.2">
      <c r="A2300" t="s">
        <v>2339</v>
      </c>
      <c r="B2300">
        <v>2020</v>
      </c>
      <c r="C2300" t="s">
        <v>19</v>
      </c>
      <c r="D2300">
        <v>67</v>
      </c>
      <c r="E2300" t="s">
        <v>25</v>
      </c>
      <c r="F2300" t="s">
        <v>26</v>
      </c>
      <c r="G2300" t="s">
        <v>15</v>
      </c>
      <c r="H2300">
        <v>-0.9635941783485118</v>
      </c>
      <c r="I2300">
        <v>2</v>
      </c>
      <c r="J2300" t="s">
        <v>23</v>
      </c>
      <c r="K2300" s="59" t="s">
        <v>4376</v>
      </c>
    </row>
    <row r="2301" spans="1:11" x14ac:dyDescent="0.2">
      <c r="A2301" t="s">
        <v>2340</v>
      </c>
      <c r="B2301">
        <v>2020</v>
      </c>
      <c r="C2301" t="s">
        <v>12</v>
      </c>
      <c r="D2301">
        <v>68</v>
      </c>
      <c r="E2301" t="s">
        <v>13</v>
      </c>
      <c r="F2301" t="s">
        <v>14</v>
      </c>
      <c r="G2301" t="s">
        <v>41</v>
      </c>
      <c r="H2301">
        <v>-0.17617336389942639</v>
      </c>
      <c r="I2301">
        <v>4</v>
      </c>
      <c r="J2301" t="s">
        <v>16</v>
      </c>
      <c r="K2301" s="59" t="s">
        <v>16</v>
      </c>
    </row>
    <row r="2302" spans="1:11" x14ac:dyDescent="0.2">
      <c r="A2302" t="s">
        <v>2341</v>
      </c>
      <c r="B2302">
        <v>2024</v>
      </c>
      <c r="C2302" t="s">
        <v>19</v>
      </c>
      <c r="D2302">
        <v>129</v>
      </c>
      <c r="E2302" t="s">
        <v>20</v>
      </c>
      <c r="F2302" t="s">
        <v>21</v>
      </c>
      <c r="G2302" t="s">
        <v>48</v>
      </c>
      <c r="H2302">
        <v>4.1040106246792087E-2</v>
      </c>
      <c r="I2302">
        <v>3</v>
      </c>
      <c r="J2302" t="s">
        <v>23</v>
      </c>
      <c r="K2302" s="59" t="s">
        <v>23</v>
      </c>
    </row>
    <row r="2303" spans="1:11" x14ac:dyDescent="0.2">
      <c r="A2303" t="s">
        <v>2342</v>
      </c>
      <c r="B2303">
        <v>2022</v>
      </c>
      <c r="C2303" t="s">
        <v>19</v>
      </c>
      <c r="D2303">
        <v>69</v>
      </c>
      <c r="E2303" t="s">
        <v>20</v>
      </c>
      <c r="F2303" t="s">
        <v>21</v>
      </c>
      <c r="G2303" t="s">
        <v>15</v>
      </c>
      <c r="H2303">
        <v>-0.17617336389942639</v>
      </c>
      <c r="I2303">
        <v>3</v>
      </c>
      <c r="J2303" t="s">
        <v>16</v>
      </c>
      <c r="K2303" s="59" t="s">
        <v>23</v>
      </c>
    </row>
    <row r="2304" spans="1:11" x14ac:dyDescent="0.2">
      <c r="A2304" t="s">
        <v>2343</v>
      </c>
      <c r="B2304">
        <v>2024</v>
      </c>
      <c r="C2304" t="s">
        <v>33</v>
      </c>
      <c r="D2304">
        <v>113</v>
      </c>
      <c r="E2304" t="s">
        <v>20</v>
      </c>
      <c r="F2304" t="s">
        <v>21</v>
      </c>
      <c r="G2304" t="s">
        <v>112</v>
      </c>
      <c r="H2304">
        <v>-0.58457823934727904</v>
      </c>
      <c r="I2304">
        <v>3</v>
      </c>
      <c r="J2304" t="s">
        <v>23</v>
      </c>
      <c r="K2304" s="59" t="s">
        <v>4376</v>
      </c>
    </row>
    <row r="2305" spans="1:11" x14ac:dyDescent="0.2">
      <c r="A2305" t="s">
        <v>2344</v>
      </c>
      <c r="B2305">
        <v>2022</v>
      </c>
      <c r="C2305" t="s">
        <v>19</v>
      </c>
      <c r="D2305">
        <v>156</v>
      </c>
      <c r="E2305" t="s">
        <v>20</v>
      </c>
      <c r="F2305" t="s">
        <v>21</v>
      </c>
      <c r="G2305" t="s">
        <v>15</v>
      </c>
      <c r="H2305">
        <v>0.58828567715533986</v>
      </c>
      <c r="I2305">
        <v>3</v>
      </c>
      <c r="J2305" t="s">
        <v>23</v>
      </c>
      <c r="K2305" s="59" t="s">
        <v>4376</v>
      </c>
    </row>
    <row r="2306" spans="1:11" x14ac:dyDescent="0.2">
      <c r="A2306" t="s">
        <v>2345</v>
      </c>
      <c r="B2306">
        <v>2021</v>
      </c>
      <c r="C2306" t="s">
        <v>33</v>
      </c>
      <c r="D2306">
        <v>319</v>
      </c>
      <c r="E2306" t="s">
        <v>38</v>
      </c>
      <c r="F2306" t="s">
        <v>39</v>
      </c>
      <c r="G2306" t="s">
        <v>15</v>
      </c>
      <c r="H2306">
        <v>0.6155305486394721</v>
      </c>
      <c r="I2306">
        <v>3</v>
      </c>
      <c r="J2306" t="s">
        <v>16</v>
      </c>
      <c r="K2306" s="59" t="s">
        <v>4376</v>
      </c>
    </row>
    <row r="2307" spans="1:11" x14ac:dyDescent="0.2">
      <c r="A2307" t="s">
        <v>2346</v>
      </c>
      <c r="B2307">
        <v>2022</v>
      </c>
      <c r="C2307" t="s">
        <v>19</v>
      </c>
      <c r="D2307">
        <v>105</v>
      </c>
      <c r="E2307" t="s">
        <v>20</v>
      </c>
      <c r="F2307" t="s">
        <v>21</v>
      </c>
      <c r="G2307" t="s">
        <v>15</v>
      </c>
      <c r="H2307">
        <v>-2.9735271882035339</v>
      </c>
      <c r="I2307">
        <v>3</v>
      </c>
      <c r="J2307" t="s">
        <v>23</v>
      </c>
      <c r="K2307" s="59" t="s">
        <v>17</v>
      </c>
    </row>
    <row r="2308" spans="1:11" x14ac:dyDescent="0.2">
      <c r="A2308" t="s">
        <v>2347</v>
      </c>
      <c r="B2308">
        <v>2022</v>
      </c>
      <c r="C2308" t="s">
        <v>19</v>
      </c>
      <c r="D2308">
        <v>48</v>
      </c>
      <c r="E2308" t="s">
        <v>25</v>
      </c>
      <c r="F2308" t="s">
        <v>26</v>
      </c>
      <c r="G2308" t="s">
        <v>15</v>
      </c>
      <c r="H2308">
        <v>0.2272911299905892</v>
      </c>
      <c r="I2308">
        <v>2</v>
      </c>
      <c r="J2308" t="s">
        <v>23</v>
      </c>
      <c r="K2308" s="59" t="s">
        <v>23</v>
      </c>
    </row>
    <row r="2309" spans="1:11" x14ac:dyDescent="0.2">
      <c r="A2309" t="s">
        <v>2348</v>
      </c>
      <c r="B2309">
        <v>2021</v>
      </c>
      <c r="C2309" t="s">
        <v>19</v>
      </c>
      <c r="D2309">
        <v>293</v>
      </c>
      <c r="E2309" t="s">
        <v>29</v>
      </c>
      <c r="F2309" t="s">
        <v>30</v>
      </c>
      <c r="G2309" t="s">
        <v>15</v>
      </c>
      <c r="H2309">
        <v>0.68121170390153774</v>
      </c>
      <c r="I2309">
        <v>4</v>
      </c>
      <c r="J2309" t="s">
        <v>23</v>
      </c>
      <c r="K2309" s="59" t="s">
        <v>17</v>
      </c>
    </row>
    <row r="2310" spans="1:11" x14ac:dyDescent="0.2">
      <c r="A2310" t="s">
        <v>2349</v>
      </c>
      <c r="B2310">
        <v>2023</v>
      </c>
      <c r="C2310" t="s">
        <v>12</v>
      </c>
      <c r="D2310">
        <v>393</v>
      </c>
      <c r="E2310" t="s">
        <v>38</v>
      </c>
      <c r="F2310" t="s">
        <v>39</v>
      </c>
      <c r="G2310" t="s">
        <v>15</v>
      </c>
      <c r="H2310">
        <v>-5.0426212774462454E-3</v>
      </c>
      <c r="I2310">
        <v>3</v>
      </c>
      <c r="J2310" t="s">
        <v>16</v>
      </c>
      <c r="K2310" s="59" t="s">
        <v>4376</v>
      </c>
    </row>
    <row r="2311" spans="1:11" x14ac:dyDescent="0.2">
      <c r="A2311" t="s">
        <v>2350</v>
      </c>
      <c r="B2311">
        <v>2022</v>
      </c>
      <c r="C2311" t="s">
        <v>19</v>
      </c>
      <c r="D2311">
        <v>46</v>
      </c>
      <c r="E2311" t="s">
        <v>20</v>
      </c>
      <c r="F2311" t="s">
        <v>21</v>
      </c>
      <c r="G2311" t="s">
        <v>15</v>
      </c>
      <c r="H2311">
        <v>-1.8601990775273169</v>
      </c>
      <c r="I2311">
        <v>3</v>
      </c>
      <c r="J2311" t="s">
        <v>16</v>
      </c>
      <c r="K2311" s="59" t="s">
        <v>17</v>
      </c>
    </row>
    <row r="2312" spans="1:11" x14ac:dyDescent="0.2">
      <c r="A2312" t="s">
        <v>2351</v>
      </c>
      <c r="B2312">
        <v>2023</v>
      </c>
      <c r="C2312" t="s">
        <v>12</v>
      </c>
      <c r="D2312">
        <v>252</v>
      </c>
      <c r="E2312" t="s">
        <v>20</v>
      </c>
      <c r="F2312" t="s">
        <v>21</v>
      </c>
      <c r="G2312" t="s">
        <v>15</v>
      </c>
      <c r="H2312">
        <v>0.76462402738328272</v>
      </c>
      <c r="I2312">
        <v>3</v>
      </c>
      <c r="J2312" t="s">
        <v>23</v>
      </c>
      <c r="K2312" s="59" t="s">
        <v>16</v>
      </c>
    </row>
    <row r="2313" spans="1:11" x14ac:dyDescent="0.2">
      <c r="A2313" t="s">
        <v>2352</v>
      </c>
      <c r="B2313">
        <v>2021</v>
      </c>
      <c r="C2313" t="s">
        <v>33</v>
      </c>
      <c r="D2313">
        <v>319</v>
      </c>
      <c r="E2313" t="s">
        <v>38</v>
      </c>
      <c r="F2313" t="s">
        <v>39</v>
      </c>
      <c r="G2313" t="s">
        <v>15</v>
      </c>
      <c r="H2313">
        <v>0.6155305486394721</v>
      </c>
      <c r="I2313">
        <v>3</v>
      </c>
      <c r="J2313" t="s">
        <v>16</v>
      </c>
      <c r="K2313" s="59" t="s">
        <v>4376</v>
      </c>
    </row>
    <row r="2314" spans="1:11" x14ac:dyDescent="0.2">
      <c r="A2314" t="s">
        <v>2353</v>
      </c>
      <c r="B2314">
        <v>2021</v>
      </c>
      <c r="C2314" t="s">
        <v>33</v>
      </c>
      <c r="D2314">
        <v>408</v>
      </c>
      <c r="E2314" t="s">
        <v>29</v>
      </c>
      <c r="F2314" t="s">
        <v>30</v>
      </c>
      <c r="G2314" t="s">
        <v>15</v>
      </c>
      <c r="H2314">
        <v>0.33835638289662079</v>
      </c>
      <c r="I2314">
        <v>4</v>
      </c>
      <c r="J2314" t="s">
        <v>23</v>
      </c>
      <c r="K2314" s="59" t="s">
        <v>4376</v>
      </c>
    </row>
    <row r="2315" spans="1:11" x14ac:dyDescent="0.2">
      <c r="A2315" t="s">
        <v>2354</v>
      </c>
      <c r="B2315">
        <v>2021</v>
      </c>
      <c r="C2315" t="s">
        <v>33</v>
      </c>
      <c r="D2315">
        <v>310</v>
      </c>
      <c r="E2315" t="s">
        <v>29</v>
      </c>
      <c r="F2315" t="s">
        <v>30</v>
      </c>
      <c r="G2315" t="s">
        <v>15</v>
      </c>
      <c r="H2315">
        <v>0.53094834150343062</v>
      </c>
      <c r="I2315">
        <v>4</v>
      </c>
      <c r="J2315" t="s">
        <v>16</v>
      </c>
      <c r="K2315" s="59" t="s">
        <v>16</v>
      </c>
    </row>
    <row r="2316" spans="1:11" x14ac:dyDescent="0.2">
      <c r="A2316" t="s">
        <v>2355</v>
      </c>
      <c r="B2316">
        <v>2023</v>
      </c>
      <c r="C2316" t="s">
        <v>12</v>
      </c>
      <c r="D2316">
        <v>393</v>
      </c>
      <c r="E2316" t="s">
        <v>38</v>
      </c>
      <c r="F2316" t="s">
        <v>39</v>
      </c>
      <c r="G2316" t="s">
        <v>15</v>
      </c>
      <c r="H2316">
        <v>-5.0426212774462454E-3</v>
      </c>
      <c r="I2316">
        <v>3</v>
      </c>
      <c r="J2316" t="s">
        <v>16</v>
      </c>
      <c r="K2316" s="59" t="s">
        <v>4376</v>
      </c>
    </row>
    <row r="2317" spans="1:11" x14ac:dyDescent="0.2">
      <c r="A2317" t="s">
        <v>2356</v>
      </c>
      <c r="B2317">
        <v>2022</v>
      </c>
      <c r="C2317" t="s">
        <v>33</v>
      </c>
      <c r="D2317">
        <v>353</v>
      </c>
      <c r="E2317" t="s">
        <v>53</v>
      </c>
      <c r="F2317" t="s">
        <v>54</v>
      </c>
      <c r="G2317" t="s">
        <v>15</v>
      </c>
      <c r="H2317">
        <v>0.46280219742872031</v>
      </c>
      <c r="I2317">
        <v>3</v>
      </c>
      <c r="J2317" t="s">
        <v>16</v>
      </c>
      <c r="K2317" s="59" t="s">
        <v>23</v>
      </c>
    </row>
    <row r="2318" spans="1:11" x14ac:dyDescent="0.2">
      <c r="A2318" t="s">
        <v>2357</v>
      </c>
      <c r="B2318">
        <v>2025</v>
      </c>
      <c r="C2318" t="s">
        <v>19</v>
      </c>
      <c r="D2318">
        <v>50</v>
      </c>
      <c r="E2318" t="s">
        <v>20</v>
      </c>
      <c r="F2318" t="s">
        <v>21</v>
      </c>
      <c r="G2318" t="s">
        <v>15</v>
      </c>
      <c r="H2318">
        <v>-0.71255764732172089</v>
      </c>
      <c r="I2318">
        <v>3</v>
      </c>
      <c r="J2318" t="s">
        <v>23</v>
      </c>
      <c r="K2318" s="59" t="s">
        <v>17</v>
      </c>
    </row>
    <row r="2319" spans="1:11" x14ac:dyDescent="0.2">
      <c r="A2319" t="s">
        <v>2358</v>
      </c>
      <c r="B2319">
        <v>2021</v>
      </c>
      <c r="C2319" t="s">
        <v>19</v>
      </c>
      <c r="D2319">
        <v>382</v>
      </c>
      <c r="E2319" t="s">
        <v>29</v>
      </c>
      <c r="F2319" t="s">
        <v>30</v>
      </c>
      <c r="G2319" t="s">
        <v>15</v>
      </c>
      <c r="H2319">
        <v>-0.1911280323988247</v>
      </c>
      <c r="I2319">
        <v>4</v>
      </c>
      <c r="J2319" t="s">
        <v>17</v>
      </c>
      <c r="K2319" s="59" t="s">
        <v>17</v>
      </c>
    </row>
    <row r="2320" spans="1:11" x14ac:dyDescent="0.2">
      <c r="A2320" t="s">
        <v>2359</v>
      </c>
      <c r="B2320">
        <v>2020</v>
      </c>
      <c r="C2320" t="s">
        <v>19</v>
      </c>
      <c r="D2320">
        <v>65</v>
      </c>
      <c r="E2320" t="s">
        <v>13</v>
      </c>
      <c r="F2320" t="s">
        <v>14</v>
      </c>
      <c r="G2320" t="s">
        <v>15</v>
      </c>
      <c r="H2320">
        <v>-0.9635941783485118</v>
      </c>
      <c r="I2320">
        <v>4</v>
      </c>
      <c r="J2320" t="s">
        <v>16</v>
      </c>
      <c r="K2320" s="59" t="s">
        <v>17</v>
      </c>
    </row>
    <row r="2321" spans="1:11" x14ac:dyDescent="0.2">
      <c r="A2321" t="s">
        <v>2360</v>
      </c>
      <c r="B2321">
        <v>2022</v>
      </c>
      <c r="C2321" t="s">
        <v>33</v>
      </c>
      <c r="D2321">
        <v>45</v>
      </c>
      <c r="E2321" t="s">
        <v>25</v>
      </c>
      <c r="F2321" t="s">
        <v>26</v>
      </c>
      <c r="G2321" t="s">
        <v>15</v>
      </c>
      <c r="H2321">
        <v>-1.928362023078922</v>
      </c>
      <c r="I2321">
        <v>2</v>
      </c>
      <c r="J2321" t="s">
        <v>23</v>
      </c>
      <c r="K2321" s="59" t="s">
        <v>4376</v>
      </c>
    </row>
    <row r="2322" spans="1:11" x14ac:dyDescent="0.2">
      <c r="A2322" t="s">
        <v>2361</v>
      </c>
      <c r="B2322">
        <v>2022</v>
      </c>
      <c r="C2322" t="s">
        <v>19</v>
      </c>
      <c r="D2322">
        <v>353</v>
      </c>
      <c r="E2322" t="s">
        <v>53</v>
      </c>
      <c r="F2322" t="s">
        <v>54</v>
      </c>
      <c r="G2322" t="s">
        <v>15</v>
      </c>
      <c r="H2322">
        <v>0.46058692577733279</v>
      </c>
      <c r="I2322">
        <v>3</v>
      </c>
      <c r="J2322" t="s">
        <v>16</v>
      </c>
      <c r="K2322" s="59" t="s">
        <v>17</v>
      </c>
    </row>
    <row r="2323" spans="1:11" x14ac:dyDescent="0.2">
      <c r="A2323" t="s">
        <v>2362</v>
      </c>
      <c r="B2323">
        <v>2022</v>
      </c>
      <c r="C2323" t="s">
        <v>19</v>
      </c>
      <c r="D2323">
        <v>353</v>
      </c>
      <c r="E2323" t="s">
        <v>53</v>
      </c>
      <c r="F2323" t="s">
        <v>54</v>
      </c>
      <c r="G2323" t="s">
        <v>15</v>
      </c>
      <c r="H2323">
        <v>0.46058692577733279</v>
      </c>
      <c r="I2323">
        <v>3</v>
      </c>
      <c r="J2323" t="s">
        <v>16</v>
      </c>
      <c r="K2323" s="59" t="s">
        <v>16</v>
      </c>
    </row>
    <row r="2324" spans="1:11" x14ac:dyDescent="0.2">
      <c r="A2324" t="s">
        <v>2363</v>
      </c>
      <c r="B2324">
        <v>2022</v>
      </c>
      <c r="C2324" t="s">
        <v>19</v>
      </c>
      <c r="D2324">
        <v>353</v>
      </c>
      <c r="E2324" t="s">
        <v>53</v>
      </c>
      <c r="F2324" t="s">
        <v>54</v>
      </c>
      <c r="G2324" t="s">
        <v>15</v>
      </c>
      <c r="H2324">
        <v>0.46058692577733279</v>
      </c>
      <c r="I2324">
        <v>3</v>
      </c>
      <c r="J2324" t="s">
        <v>16</v>
      </c>
      <c r="K2324" s="59" t="s">
        <v>17</v>
      </c>
    </row>
    <row r="2325" spans="1:11" x14ac:dyDescent="0.2">
      <c r="A2325" t="s">
        <v>2364</v>
      </c>
      <c r="B2325">
        <v>2023</v>
      </c>
      <c r="C2325" t="s">
        <v>12</v>
      </c>
      <c r="D2325">
        <v>110</v>
      </c>
      <c r="E2325" t="s">
        <v>20</v>
      </c>
      <c r="F2325" t="s">
        <v>21</v>
      </c>
      <c r="G2325" t="s">
        <v>80</v>
      </c>
      <c r="H2325">
        <v>-1.187244905990561</v>
      </c>
      <c r="I2325">
        <v>3</v>
      </c>
      <c r="J2325" t="s">
        <v>23</v>
      </c>
      <c r="K2325" s="59" t="s">
        <v>17</v>
      </c>
    </row>
    <row r="2326" spans="1:11" x14ac:dyDescent="0.2">
      <c r="A2326" t="s">
        <v>2365</v>
      </c>
      <c r="B2326">
        <v>2023</v>
      </c>
      <c r="C2326" t="s">
        <v>12</v>
      </c>
      <c r="D2326">
        <v>56</v>
      </c>
      <c r="E2326" t="s">
        <v>20</v>
      </c>
      <c r="F2326" t="s">
        <v>21</v>
      </c>
      <c r="G2326" t="s">
        <v>15</v>
      </c>
      <c r="H2326">
        <v>-0.47259625736964178</v>
      </c>
      <c r="I2326">
        <v>3</v>
      </c>
      <c r="J2326" t="s">
        <v>23</v>
      </c>
      <c r="K2326" s="59" t="s">
        <v>17</v>
      </c>
    </row>
    <row r="2327" spans="1:11" x14ac:dyDescent="0.2">
      <c r="A2327" t="s">
        <v>2366</v>
      </c>
      <c r="B2327">
        <v>2023</v>
      </c>
      <c r="C2327" t="s">
        <v>19</v>
      </c>
      <c r="D2327">
        <v>48</v>
      </c>
      <c r="E2327" t="s">
        <v>20</v>
      </c>
      <c r="F2327" t="s">
        <v>21</v>
      </c>
      <c r="G2327" t="s">
        <v>41</v>
      </c>
      <c r="H2327">
        <v>-0.79424663113519478</v>
      </c>
      <c r="I2327">
        <v>3</v>
      </c>
      <c r="J2327" t="s">
        <v>23</v>
      </c>
      <c r="K2327" s="59" t="s">
        <v>23</v>
      </c>
    </row>
    <row r="2328" spans="1:11" x14ac:dyDescent="0.2">
      <c r="A2328" t="s">
        <v>2367</v>
      </c>
      <c r="B2328">
        <v>2023</v>
      </c>
      <c r="C2328" t="s">
        <v>19</v>
      </c>
      <c r="D2328">
        <v>111</v>
      </c>
      <c r="E2328" t="s">
        <v>20</v>
      </c>
      <c r="F2328" t="s">
        <v>21</v>
      </c>
      <c r="G2328" t="s">
        <v>48</v>
      </c>
      <c r="H2328">
        <v>-0.51882735084664811</v>
      </c>
      <c r="I2328">
        <v>3</v>
      </c>
      <c r="J2328" t="s">
        <v>17</v>
      </c>
      <c r="K2328" s="59" t="s">
        <v>17</v>
      </c>
    </row>
    <row r="2329" spans="1:11" x14ac:dyDescent="0.2">
      <c r="A2329" t="s">
        <v>2368</v>
      </c>
      <c r="B2329">
        <v>2024</v>
      </c>
      <c r="C2329" t="s">
        <v>12</v>
      </c>
      <c r="D2329">
        <v>68</v>
      </c>
      <c r="E2329" t="s">
        <v>38</v>
      </c>
      <c r="F2329" t="s">
        <v>39</v>
      </c>
      <c r="G2329" t="s">
        <v>15</v>
      </c>
      <c r="H2329">
        <v>0.49452085970995008</v>
      </c>
      <c r="I2329">
        <v>3</v>
      </c>
      <c r="J2329" t="s">
        <v>23</v>
      </c>
      <c r="K2329" s="59" t="s">
        <v>16</v>
      </c>
    </row>
    <row r="2330" spans="1:11" x14ac:dyDescent="0.2">
      <c r="A2330" t="s">
        <v>2369</v>
      </c>
      <c r="B2330">
        <v>2022</v>
      </c>
      <c r="C2330" t="s">
        <v>33</v>
      </c>
      <c r="D2330">
        <v>353</v>
      </c>
      <c r="E2330" t="s">
        <v>53</v>
      </c>
      <c r="F2330" t="s">
        <v>54</v>
      </c>
      <c r="G2330" t="s">
        <v>15</v>
      </c>
      <c r="H2330">
        <v>0.46058692577733279</v>
      </c>
      <c r="I2330">
        <v>3</v>
      </c>
      <c r="J2330" t="s">
        <v>16</v>
      </c>
      <c r="K2330" s="59" t="s">
        <v>17</v>
      </c>
    </row>
    <row r="2331" spans="1:11" x14ac:dyDescent="0.2">
      <c r="A2331" t="s">
        <v>2370</v>
      </c>
      <c r="B2331">
        <v>2025</v>
      </c>
      <c r="C2331" t="s">
        <v>19</v>
      </c>
      <c r="D2331">
        <v>66</v>
      </c>
      <c r="E2331" t="s">
        <v>20</v>
      </c>
      <c r="F2331" t="s">
        <v>21</v>
      </c>
      <c r="G2331" t="s">
        <v>15</v>
      </c>
      <c r="H2331">
        <v>-0.26263004116157262</v>
      </c>
      <c r="I2331">
        <v>3</v>
      </c>
      <c r="J2331" t="s">
        <v>23</v>
      </c>
      <c r="K2331" s="59" t="s">
        <v>17</v>
      </c>
    </row>
    <row r="2332" spans="1:11" x14ac:dyDescent="0.2">
      <c r="A2332" t="s">
        <v>2371</v>
      </c>
      <c r="B2332">
        <v>2023</v>
      </c>
      <c r="C2332" t="s">
        <v>33</v>
      </c>
      <c r="D2332">
        <v>174</v>
      </c>
      <c r="E2332" t="s">
        <v>25</v>
      </c>
      <c r="F2332" t="s">
        <v>26</v>
      </c>
      <c r="G2332" t="s">
        <v>80</v>
      </c>
      <c r="H2332">
        <v>0.57643035540937115</v>
      </c>
      <c r="I2332">
        <v>2</v>
      </c>
      <c r="J2332" t="s">
        <v>23</v>
      </c>
      <c r="K2332" s="59" t="s">
        <v>17</v>
      </c>
    </row>
    <row r="2333" spans="1:11" x14ac:dyDescent="0.2">
      <c r="A2333" t="s">
        <v>2372</v>
      </c>
      <c r="B2333">
        <v>2022</v>
      </c>
      <c r="C2333" t="s">
        <v>19</v>
      </c>
      <c r="D2333">
        <v>352</v>
      </c>
      <c r="E2333" t="s">
        <v>53</v>
      </c>
      <c r="F2333" t="s">
        <v>54</v>
      </c>
      <c r="G2333" t="s">
        <v>36</v>
      </c>
      <c r="H2333">
        <v>5.4377775466296963E-2</v>
      </c>
      <c r="I2333">
        <v>3</v>
      </c>
      <c r="J2333" t="s">
        <v>16</v>
      </c>
      <c r="K2333" s="59" t="s">
        <v>23</v>
      </c>
    </row>
    <row r="2334" spans="1:11" x14ac:dyDescent="0.2">
      <c r="A2334" t="s">
        <v>2373</v>
      </c>
      <c r="B2334">
        <v>2024</v>
      </c>
      <c r="C2334" t="s">
        <v>19</v>
      </c>
      <c r="D2334">
        <v>72</v>
      </c>
      <c r="E2334" t="s">
        <v>38</v>
      </c>
      <c r="F2334" t="s">
        <v>39</v>
      </c>
      <c r="G2334" t="s">
        <v>15</v>
      </c>
      <c r="H2334">
        <v>-0.89879633803079739</v>
      </c>
      <c r="I2334">
        <v>3</v>
      </c>
      <c r="J2334" t="s">
        <v>23</v>
      </c>
      <c r="K2334" s="59" t="s">
        <v>16</v>
      </c>
    </row>
    <row r="2335" spans="1:11" x14ac:dyDescent="0.2">
      <c r="A2335" t="s">
        <v>2374</v>
      </c>
      <c r="B2335">
        <v>2022</v>
      </c>
      <c r="C2335" t="s">
        <v>19</v>
      </c>
      <c r="D2335">
        <v>106</v>
      </c>
      <c r="E2335" t="s">
        <v>25</v>
      </c>
      <c r="F2335" t="s">
        <v>26</v>
      </c>
      <c r="G2335" t="s">
        <v>15</v>
      </c>
      <c r="H2335">
        <v>-1.0325061672578271</v>
      </c>
      <c r="I2335">
        <v>2</v>
      </c>
      <c r="J2335" t="s">
        <v>16</v>
      </c>
      <c r="K2335" s="59" t="s">
        <v>17</v>
      </c>
    </row>
    <row r="2336" spans="1:11" x14ac:dyDescent="0.2">
      <c r="A2336" t="s">
        <v>2375</v>
      </c>
      <c r="B2336">
        <v>2022</v>
      </c>
      <c r="C2336" t="s">
        <v>33</v>
      </c>
      <c r="D2336">
        <v>87</v>
      </c>
      <c r="E2336" t="s">
        <v>25</v>
      </c>
      <c r="F2336" t="s">
        <v>26</v>
      </c>
      <c r="G2336" t="s">
        <v>48</v>
      </c>
      <c r="H2336">
        <v>0.58828567715533986</v>
      </c>
      <c r="I2336">
        <v>2</v>
      </c>
      <c r="J2336" t="s">
        <v>16</v>
      </c>
      <c r="K2336" s="59" t="s">
        <v>4376</v>
      </c>
    </row>
    <row r="2337" spans="1:11" x14ac:dyDescent="0.2">
      <c r="A2337" t="s">
        <v>2376</v>
      </c>
      <c r="B2337">
        <v>2021</v>
      </c>
      <c r="C2337" t="s">
        <v>19</v>
      </c>
      <c r="D2337">
        <v>169</v>
      </c>
      <c r="E2337" t="s">
        <v>20</v>
      </c>
      <c r="F2337" t="s">
        <v>21</v>
      </c>
      <c r="G2337" t="s">
        <v>15</v>
      </c>
      <c r="H2337">
        <v>0.63704338222694257</v>
      </c>
      <c r="I2337">
        <v>3</v>
      </c>
      <c r="J2337" t="s">
        <v>23</v>
      </c>
      <c r="K2337" s="59" t="s">
        <v>23</v>
      </c>
    </row>
    <row r="2338" spans="1:11" x14ac:dyDescent="0.2">
      <c r="A2338" t="s">
        <v>2377</v>
      </c>
      <c r="B2338">
        <v>2019</v>
      </c>
      <c r="C2338" t="s">
        <v>19</v>
      </c>
      <c r="D2338">
        <v>215</v>
      </c>
      <c r="E2338" t="s">
        <v>53</v>
      </c>
      <c r="F2338" t="s">
        <v>54</v>
      </c>
      <c r="G2338" t="s">
        <v>36</v>
      </c>
      <c r="H2338">
        <v>-1.834765142620002</v>
      </c>
      <c r="I2338">
        <v>3</v>
      </c>
      <c r="J2338" t="s">
        <v>16</v>
      </c>
      <c r="K2338" s="59" t="s">
        <v>17</v>
      </c>
    </row>
    <row r="2339" spans="1:11" x14ac:dyDescent="0.2">
      <c r="A2339" t="s">
        <v>2378</v>
      </c>
      <c r="B2339">
        <v>2024</v>
      </c>
      <c r="C2339" t="s">
        <v>19</v>
      </c>
      <c r="D2339">
        <v>260</v>
      </c>
      <c r="E2339" t="s">
        <v>13</v>
      </c>
      <c r="F2339" t="s">
        <v>14</v>
      </c>
      <c r="G2339" t="s">
        <v>15</v>
      </c>
      <c r="H2339">
        <v>0.4199797914479248</v>
      </c>
      <c r="I2339">
        <v>4</v>
      </c>
      <c r="J2339" t="s">
        <v>23</v>
      </c>
      <c r="K2339" s="59" t="s">
        <v>17</v>
      </c>
    </row>
    <row r="2340" spans="1:11" x14ac:dyDescent="0.2">
      <c r="A2340" t="s">
        <v>2379</v>
      </c>
      <c r="B2340">
        <v>2021</v>
      </c>
      <c r="C2340" t="s">
        <v>19</v>
      </c>
      <c r="D2340">
        <v>152</v>
      </c>
      <c r="E2340" t="s">
        <v>20</v>
      </c>
      <c r="F2340" t="s">
        <v>21</v>
      </c>
      <c r="G2340" t="s">
        <v>15</v>
      </c>
      <c r="H2340">
        <v>0.56723643242270139</v>
      </c>
      <c r="I2340">
        <v>3</v>
      </c>
      <c r="J2340" t="s">
        <v>17</v>
      </c>
      <c r="K2340" s="59" t="s">
        <v>17</v>
      </c>
    </row>
    <row r="2341" spans="1:11" x14ac:dyDescent="0.2">
      <c r="A2341" t="s">
        <v>2380</v>
      </c>
      <c r="B2341">
        <v>2022</v>
      </c>
      <c r="C2341" t="s">
        <v>19</v>
      </c>
      <c r="D2341">
        <v>353</v>
      </c>
      <c r="E2341" t="s">
        <v>53</v>
      </c>
      <c r="F2341" t="s">
        <v>54</v>
      </c>
      <c r="G2341" t="s">
        <v>15</v>
      </c>
      <c r="H2341">
        <v>0.46058692577733279</v>
      </c>
      <c r="I2341">
        <v>3</v>
      </c>
      <c r="J2341" t="s">
        <v>16</v>
      </c>
      <c r="K2341" s="59" t="s">
        <v>4376</v>
      </c>
    </row>
    <row r="2342" spans="1:11" x14ac:dyDescent="0.2">
      <c r="A2342" t="s">
        <v>2381</v>
      </c>
      <c r="B2342">
        <v>2022</v>
      </c>
      <c r="C2342" t="s">
        <v>19</v>
      </c>
      <c r="D2342">
        <v>353</v>
      </c>
      <c r="E2342" t="s">
        <v>53</v>
      </c>
      <c r="F2342" t="s">
        <v>54</v>
      </c>
      <c r="G2342" t="s">
        <v>15</v>
      </c>
      <c r="H2342">
        <v>0.46058692577733279</v>
      </c>
      <c r="I2342">
        <v>3</v>
      </c>
      <c r="J2342" t="s">
        <v>16</v>
      </c>
      <c r="K2342" s="59" t="s">
        <v>23</v>
      </c>
    </row>
    <row r="2343" spans="1:11" x14ac:dyDescent="0.2">
      <c r="A2343" t="s">
        <v>2382</v>
      </c>
      <c r="B2343">
        <v>2021</v>
      </c>
      <c r="C2343" t="s">
        <v>19</v>
      </c>
      <c r="D2343">
        <v>294</v>
      </c>
      <c r="E2343" t="s">
        <v>38</v>
      </c>
      <c r="F2343" t="s">
        <v>39</v>
      </c>
      <c r="G2343" t="s">
        <v>15</v>
      </c>
      <c r="H2343">
        <v>8.3491741870841948E-2</v>
      </c>
      <c r="I2343">
        <v>3</v>
      </c>
      <c r="J2343" t="s">
        <v>23</v>
      </c>
      <c r="K2343" s="59" t="s">
        <v>16</v>
      </c>
    </row>
    <row r="2344" spans="1:11" x14ac:dyDescent="0.2">
      <c r="A2344" t="s">
        <v>2383</v>
      </c>
      <c r="B2344">
        <v>2022</v>
      </c>
      <c r="C2344" t="s">
        <v>12</v>
      </c>
      <c r="D2344">
        <v>353</v>
      </c>
      <c r="E2344" t="s">
        <v>53</v>
      </c>
      <c r="F2344" t="s">
        <v>54</v>
      </c>
      <c r="G2344" t="s">
        <v>15</v>
      </c>
      <c r="H2344">
        <v>0.46058692577733279</v>
      </c>
      <c r="I2344">
        <v>3</v>
      </c>
      <c r="J2344" t="s">
        <v>16</v>
      </c>
      <c r="K2344" s="59" t="s">
        <v>17</v>
      </c>
    </row>
    <row r="2345" spans="1:11" x14ac:dyDescent="0.2">
      <c r="A2345" t="s">
        <v>2384</v>
      </c>
      <c r="B2345">
        <v>2021</v>
      </c>
      <c r="C2345" t="s">
        <v>19</v>
      </c>
      <c r="D2345">
        <v>398</v>
      </c>
      <c r="E2345" t="s">
        <v>29</v>
      </c>
      <c r="F2345" t="s">
        <v>30</v>
      </c>
      <c r="G2345" t="s">
        <v>15</v>
      </c>
      <c r="H2345">
        <v>0.43743819565275671</v>
      </c>
      <c r="I2345">
        <v>4</v>
      </c>
      <c r="J2345" t="s">
        <v>23</v>
      </c>
      <c r="K2345" s="59" t="s">
        <v>17</v>
      </c>
    </row>
    <row r="2346" spans="1:11" x14ac:dyDescent="0.2">
      <c r="A2346" t="s">
        <v>2385</v>
      </c>
      <c r="B2346">
        <v>2021</v>
      </c>
      <c r="C2346" t="s">
        <v>33</v>
      </c>
      <c r="D2346">
        <v>322</v>
      </c>
      <c r="E2346" t="s">
        <v>38</v>
      </c>
      <c r="F2346" t="s">
        <v>39</v>
      </c>
      <c r="G2346" t="s">
        <v>15</v>
      </c>
      <c r="H2346">
        <v>0.62105954792597151</v>
      </c>
      <c r="I2346">
        <v>3</v>
      </c>
      <c r="J2346" t="s">
        <v>16</v>
      </c>
      <c r="K2346" s="59" t="s">
        <v>4376</v>
      </c>
    </row>
    <row r="2347" spans="1:11" x14ac:dyDescent="0.2">
      <c r="A2347" t="s">
        <v>2386</v>
      </c>
      <c r="B2347">
        <v>2021</v>
      </c>
      <c r="C2347" t="s">
        <v>33</v>
      </c>
      <c r="D2347">
        <v>398</v>
      </c>
      <c r="E2347" t="s">
        <v>29</v>
      </c>
      <c r="F2347" t="s">
        <v>30</v>
      </c>
      <c r="G2347" t="s">
        <v>15</v>
      </c>
      <c r="H2347">
        <v>0.43743819565275671</v>
      </c>
      <c r="I2347">
        <v>4</v>
      </c>
      <c r="J2347" t="s">
        <v>23</v>
      </c>
      <c r="K2347" s="59" t="s">
        <v>4376</v>
      </c>
    </row>
    <row r="2348" spans="1:11" x14ac:dyDescent="0.2">
      <c r="A2348" t="s">
        <v>2387</v>
      </c>
      <c r="B2348">
        <v>2024</v>
      </c>
      <c r="C2348" t="s">
        <v>19</v>
      </c>
      <c r="D2348">
        <v>422</v>
      </c>
      <c r="E2348" t="s">
        <v>53</v>
      </c>
      <c r="F2348" t="s">
        <v>54</v>
      </c>
      <c r="G2348" t="s">
        <v>15</v>
      </c>
      <c r="H2348">
        <v>1.9445784653308439E-2</v>
      </c>
      <c r="I2348">
        <v>3</v>
      </c>
      <c r="J2348" t="s">
        <v>16</v>
      </c>
      <c r="K2348" s="59" t="s">
        <v>17</v>
      </c>
    </row>
    <row r="2349" spans="1:11" x14ac:dyDescent="0.2">
      <c r="A2349" t="s">
        <v>2388</v>
      </c>
      <c r="B2349">
        <v>2022</v>
      </c>
      <c r="C2349" t="s">
        <v>12</v>
      </c>
      <c r="D2349">
        <v>86</v>
      </c>
      <c r="E2349" t="s">
        <v>20</v>
      </c>
      <c r="F2349" t="s">
        <v>21</v>
      </c>
      <c r="G2349" t="s">
        <v>41</v>
      </c>
      <c r="H2349">
        <v>3.1322661529724391E-2</v>
      </c>
      <c r="I2349">
        <v>3</v>
      </c>
      <c r="J2349" t="s">
        <v>23</v>
      </c>
      <c r="K2349" s="59" t="s">
        <v>17</v>
      </c>
    </row>
    <row r="2350" spans="1:11" x14ac:dyDescent="0.2">
      <c r="A2350" t="s">
        <v>2389</v>
      </c>
      <c r="B2350">
        <v>2021</v>
      </c>
      <c r="C2350" t="s">
        <v>33</v>
      </c>
      <c r="D2350">
        <v>454</v>
      </c>
      <c r="E2350" t="s">
        <v>20</v>
      </c>
      <c r="F2350" t="s">
        <v>21</v>
      </c>
      <c r="G2350" t="s">
        <v>167</v>
      </c>
      <c r="H2350">
        <v>0.34809361054865651</v>
      </c>
      <c r="I2350">
        <v>3</v>
      </c>
      <c r="J2350" t="s">
        <v>23</v>
      </c>
      <c r="K2350" s="59" t="s">
        <v>17</v>
      </c>
    </row>
    <row r="2351" spans="1:11" x14ac:dyDescent="0.2">
      <c r="A2351" t="s">
        <v>2390</v>
      </c>
      <c r="B2351">
        <v>2020</v>
      </c>
      <c r="C2351" t="s">
        <v>19</v>
      </c>
      <c r="D2351">
        <v>227</v>
      </c>
      <c r="E2351" t="s">
        <v>20</v>
      </c>
      <c r="F2351" t="s">
        <v>21</v>
      </c>
      <c r="G2351" t="s">
        <v>15</v>
      </c>
      <c r="H2351">
        <v>1.207133472294913</v>
      </c>
      <c r="I2351">
        <v>3</v>
      </c>
      <c r="J2351" t="s">
        <v>23</v>
      </c>
      <c r="K2351" s="59" t="s">
        <v>23</v>
      </c>
    </row>
    <row r="2352" spans="1:11" x14ac:dyDescent="0.2">
      <c r="A2352" t="s">
        <v>2391</v>
      </c>
      <c r="B2352">
        <v>2021</v>
      </c>
      <c r="C2352" t="s">
        <v>19</v>
      </c>
      <c r="D2352">
        <v>141</v>
      </c>
      <c r="E2352" t="s">
        <v>20</v>
      </c>
      <c r="F2352" t="s">
        <v>21</v>
      </c>
      <c r="G2352" t="s">
        <v>15</v>
      </c>
      <c r="H2352">
        <v>0.4998788492782581</v>
      </c>
      <c r="I2352">
        <v>3</v>
      </c>
      <c r="J2352" t="s">
        <v>23</v>
      </c>
      <c r="K2352" s="59" t="s">
        <v>23</v>
      </c>
    </row>
    <row r="2353" spans="1:11" x14ac:dyDescent="0.2">
      <c r="A2353" t="s">
        <v>2392</v>
      </c>
      <c r="B2353">
        <v>2024</v>
      </c>
      <c r="C2353" t="s">
        <v>33</v>
      </c>
      <c r="D2353">
        <v>363</v>
      </c>
      <c r="E2353" t="s">
        <v>53</v>
      </c>
      <c r="F2353" t="s">
        <v>54</v>
      </c>
      <c r="G2353" t="s">
        <v>15</v>
      </c>
      <c r="H2353">
        <v>-1.6253498443433479E-2</v>
      </c>
      <c r="I2353">
        <v>3</v>
      </c>
      <c r="J2353" t="s">
        <v>16</v>
      </c>
      <c r="K2353" s="59" t="s">
        <v>4376</v>
      </c>
    </row>
    <row r="2354" spans="1:11" x14ac:dyDescent="0.2">
      <c r="A2354" t="s">
        <v>2393</v>
      </c>
      <c r="B2354">
        <v>2020</v>
      </c>
      <c r="C2354" t="s">
        <v>19</v>
      </c>
      <c r="D2354">
        <v>64</v>
      </c>
      <c r="E2354" t="s">
        <v>13</v>
      </c>
      <c r="F2354" t="s">
        <v>14</v>
      </c>
      <c r="G2354" t="s">
        <v>15</v>
      </c>
      <c r="H2354">
        <v>-1.779052713775406</v>
      </c>
      <c r="I2354">
        <v>4</v>
      </c>
      <c r="J2354" t="s">
        <v>16</v>
      </c>
      <c r="K2354" s="59" t="s">
        <v>16</v>
      </c>
    </row>
    <row r="2355" spans="1:11" x14ac:dyDescent="0.2">
      <c r="A2355" t="s">
        <v>2394</v>
      </c>
      <c r="B2355">
        <v>2024</v>
      </c>
      <c r="C2355" t="s">
        <v>19</v>
      </c>
      <c r="D2355">
        <v>363</v>
      </c>
      <c r="E2355" t="s">
        <v>53</v>
      </c>
      <c r="F2355" t="s">
        <v>54</v>
      </c>
      <c r="G2355" t="s">
        <v>15</v>
      </c>
      <c r="H2355">
        <v>-1.6253498443433479E-2</v>
      </c>
      <c r="I2355">
        <v>3</v>
      </c>
      <c r="J2355" t="s">
        <v>16</v>
      </c>
      <c r="K2355" s="59" t="s">
        <v>4376</v>
      </c>
    </row>
    <row r="2356" spans="1:11" x14ac:dyDescent="0.2">
      <c r="A2356" t="s">
        <v>2395</v>
      </c>
      <c r="B2356">
        <v>2023</v>
      </c>
      <c r="C2356" t="s">
        <v>12</v>
      </c>
      <c r="D2356">
        <v>394</v>
      </c>
      <c r="E2356" t="s">
        <v>38</v>
      </c>
      <c r="F2356" t="s">
        <v>39</v>
      </c>
      <c r="G2356" t="s">
        <v>15</v>
      </c>
      <c r="H2356">
        <v>-1.9264873608078889E-3</v>
      </c>
      <c r="I2356">
        <v>3</v>
      </c>
      <c r="J2356" t="s">
        <v>16</v>
      </c>
      <c r="K2356" s="59" t="s">
        <v>4376</v>
      </c>
    </row>
    <row r="2357" spans="1:11" x14ac:dyDescent="0.2">
      <c r="A2357" t="s">
        <v>2396</v>
      </c>
      <c r="B2357">
        <v>2024</v>
      </c>
      <c r="C2357" t="s">
        <v>19</v>
      </c>
      <c r="D2357">
        <v>363</v>
      </c>
      <c r="E2357" t="s">
        <v>53</v>
      </c>
      <c r="F2357" t="s">
        <v>54</v>
      </c>
      <c r="G2357" t="s">
        <v>15</v>
      </c>
      <c r="H2357">
        <v>-1.6253498443433479E-2</v>
      </c>
      <c r="I2357">
        <v>3</v>
      </c>
      <c r="J2357" t="s">
        <v>16</v>
      </c>
      <c r="K2357" s="59" t="s">
        <v>17</v>
      </c>
    </row>
    <row r="2358" spans="1:11" x14ac:dyDescent="0.2">
      <c r="A2358" t="s">
        <v>2397</v>
      </c>
      <c r="B2358">
        <v>2024</v>
      </c>
      <c r="C2358" t="s">
        <v>19</v>
      </c>
      <c r="D2358">
        <v>431</v>
      </c>
      <c r="E2358" t="s">
        <v>53</v>
      </c>
      <c r="F2358" t="s">
        <v>54</v>
      </c>
      <c r="G2358" t="s">
        <v>15</v>
      </c>
      <c r="H2358">
        <v>-6.4013350153939511E-2</v>
      </c>
      <c r="I2358">
        <v>3</v>
      </c>
      <c r="J2358" t="s">
        <v>16</v>
      </c>
      <c r="K2358" s="59" t="s">
        <v>4376</v>
      </c>
    </row>
    <row r="2359" spans="1:11" x14ac:dyDescent="0.2">
      <c r="A2359" t="s">
        <v>2398</v>
      </c>
      <c r="B2359">
        <v>2024</v>
      </c>
      <c r="C2359" t="s">
        <v>19</v>
      </c>
      <c r="D2359">
        <v>363</v>
      </c>
      <c r="E2359" t="s">
        <v>53</v>
      </c>
      <c r="F2359" t="s">
        <v>54</v>
      </c>
      <c r="G2359" t="s">
        <v>15</v>
      </c>
      <c r="H2359">
        <v>-1.6253498443433479E-2</v>
      </c>
      <c r="I2359">
        <v>3</v>
      </c>
      <c r="J2359" t="s">
        <v>16</v>
      </c>
      <c r="K2359" s="59" t="s">
        <v>16</v>
      </c>
    </row>
    <row r="2360" spans="1:11" x14ac:dyDescent="0.2">
      <c r="A2360" t="s">
        <v>2399</v>
      </c>
      <c r="B2360">
        <v>2024</v>
      </c>
      <c r="C2360" t="s">
        <v>33</v>
      </c>
      <c r="D2360">
        <v>54</v>
      </c>
      <c r="E2360" t="s">
        <v>20</v>
      </c>
      <c r="F2360" t="s">
        <v>21</v>
      </c>
      <c r="G2360" t="s">
        <v>48</v>
      </c>
      <c r="H2360">
        <v>-1.4550796841545699</v>
      </c>
      <c r="I2360">
        <v>3</v>
      </c>
      <c r="J2360" t="s">
        <v>16</v>
      </c>
      <c r="K2360" s="59" t="s">
        <v>4376</v>
      </c>
    </row>
    <row r="2361" spans="1:11" x14ac:dyDescent="0.2">
      <c r="A2361" t="s">
        <v>2400</v>
      </c>
      <c r="B2361">
        <v>2024</v>
      </c>
      <c r="C2361" t="s">
        <v>33</v>
      </c>
      <c r="D2361">
        <v>425</v>
      </c>
      <c r="E2361" t="s">
        <v>53</v>
      </c>
      <c r="F2361" t="s">
        <v>54</v>
      </c>
      <c r="G2361" t="s">
        <v>15</v>
      </c>
      <c r="H2361">
        <v>-8.3033003357662838E-2</v>
      </c>
      <c r="I2361">
        <v>3</v>
      </c>
      <c r="J2361" t="s">
        <v>16</v>
      </c>
      <c r="K2361" s="59" t="s">
        <v>16</v>
      </c>
    </row>
    <row r="2362" spans="1:11" x14ac:dyDescent="0.2">
      <c r="A2362" t="s">
        <v>2401</v>
      </c>
      <c r="B2362">
        <v>2024</v>
      </c>
      <c r="C2362" t="s">
        <v>33</v>
      </c>
      <c r="D2362">
        <v>363</v>
      </c>
      <c r="E2362" t="s">
        <v>53</v>
      </c>
      <c r="F2362" t="s">
        <v>54</v>
      </c>
      <c r="G2362" t="s">
        <v>15</v>
      </c>
      <c r="H2362">
        <v>-1.6253498443433479E-2</v>
      </c>
      <c r="I2362">
        <v>3</v>
      </c>
      <c r="J2362" t="s">
        <v>16</v>
      </c>
      <c r="K2362" s="59" t="s">
        <v>23</v>
      </c>
    </row>
    <row r="2363" spans="1:11" x14ac:dyDescent="0.2">
      <c r="A2363" t="s">
        <v>2402</v>
      </c>
      <c r="B2363">
        <v>2024</v>
      </c>
      <c r="C2363" t="s">
        <v>19</v>
      </c>
      <c r="D2363">
        <v>112</v>
      </c>
      <c r="E2363" t="s">
        <v>25</v>
      </c>
      <c r="F2363" t="s">
        <v>26</v>
      </c>
      <c r="G2363" t="s">
        <v>80</v>
      </c>
      <c r="H2363">
        <v>-0.50313679790899735</v>
      </c>
      <c r="I2363">
        <v>2</v>
      </c>
      <c r="J2363" t="s">
        <v>23</v>
      </c>
      <c r="K2363" s="59" t="s">
        <v>23</v>
      </c>
    </row>
    <row r="2364" spans="1:11" x14ac:dyDescent="0.2">
      <c r="A2364" t="s">
        <v>2403</v>
      </c>
      <c r="B2364">
        <v>2020</v>
      </c>
      <c r="C2364" t="s">
        <v>19</v>
      </c>
      <c r="D2364">
        <v>68</v>
      </c>
      <c r="E2364" t="s">
        <v>13</v>
      </c>
      <c r="F2364" t="s">
        <v>14</v>
      </c>
      <c r="G2364" t="s">
        <v>15</v>
      </c>
      <c r="H2364">
        <v>-1.559480200093766</v>
      </c>
      <c r="I2364">
        <v>4</v>
      </c>
      <c r="J2364" t="s">
        <v>16</v>
      </c>
      <c r="K2364" s="59" t="s">
        <v>17</v>
      </c>
    </row>
    <row r="2365" spans="1:11" x14ac:dyDescent="0.2">
      <c r="A2365" t="s">
        <v>2404</v>
      </c>
      <c r="B2365">
        <v>2021</v>
      </c>
      <c r="C2365" t="s">
        <v>33</v>
      </c>
      <c r="D2365">
        <v>150</v>
      </c>
      <c r="E2365" t="s">
        <v>25</v>
      </c>
      <c r="F2365" t="s">
        <v>26</v>
      </c>
      <c r="G2365" t="s">
        <v>80</v>
      </c>
      <c r="H2365">
        <v>-0.46068328056351038</v>
      </c>
      <c r="I2365">
        <v>2</v>
      </c>
      <c r="J2365" t="s">
        <v>23</v>
      </c>
      <c r="K2365" s="59" t="s">
        <v>23</v>
      </c>
    </row>
    <row r="2366" spans="1:11" x14ac:dyDescent="0.2">
      <c r="A2366" t="s">
        <v>2405</v>
      </c>
      <c r="B2366">
        <v>2023</v>
      </c>
      <c r="C2366" t="s">
        <v>12</v>
      </c>
      <c r="D2366">
        <v>394</v>
      </c>
      <c r="E2366" t="s">
        <v>38</v>
      </c>
      <c r="F2366" t="s">
        <v>39</v>
      </c>
      <c r="G2366" t="s">
        <v>15</v>
      </c>
      <c r="H2366">
        <v>-1.9264873608078889E-3</v>
      </c>
      <c r="I2366">
        <v>3</v>
      </c>
      <c r="J2366" t="s">
        <v>16</v>
      </c>
      <c r="K2366" s="59" t="s">
        <v>4376</v>
      </c>
    </row>
    <row r="2367" spans="1:11" x14ac:dyDescent="0.2">
      <c r="A2367" t="s">
        <v>2406</v>
      </c>
      <c r="B2367">
        <v>2021</v>
      </c>
      <c r="C2367" t="s">
        <v>33</v>
      </c>
      <c r="D2367">
        <v>155</v>
      </c>
      <c r="E2367" t="s">
        <v>25</v>
      </c>
      <c r="F2367" t="s">
        <v>26</v>
      </c>
      <c r="G2367" t="s">
        <v>15</v>
      </c>
      <c r="H2367">
        <v>0.27271428493184913</v>
      </c>
      <c r="I2367">
        <v>2</v>
      </c>
      <c r="J2367" t="s">
        <v>23</v>
      </c>
      <c r="K2367" s="59" t="s">
        <v>17</v>
      </c>
    </row>
    <row r="2368" spans="1:11" x14ac:dyDescent="0.2">
      <c r="A2368" t="s">
        <v>2407</v>
      </c>
      <c r="B2368">
        <v>2023</v>
      </c>
      <c r="C2368" t="s">
        <v>33</v>
      </c>
      <c r="D2368">
        <v>30</v>
      </c>
      <c r="E2368" t="s">
        <v>20</v>
      </c>
      <c r="F2368" t="s">
        <v>21</v>
      </c>
      <c r="G2368" t="s">
        <v>15</v>
      </c>
      <c r="H2368">
        <v>2.7748812199818298</v>
      </c>
      <c r="I2368">
        <v>3</v>
      </c>
      <c r="J2368" t="s">
        <v>23</v>
      </c>
      <c r="K2368" s="59" t="s">
        <v>17</v>
      </c>
    </row>
    <row r="2369" spans="1:11" x14ac:dyDescent="0.2">
      <c r="A2369" t="s">
        <v>2408</v>
      </c>
      <c r="B2369">
        <v>2021</v>
      </c>
      <c r="C2369" t="s">
        <v>33</v>
      </c>
      <c r="D2369">
        <v>440</v>
      </c>
      <c r="E2369" t="s">
        <v>38</v>
      </c>
      <c r="F2369" t="s">
        <v>39</v>
      </c>
      <c r="G2369" t="s">
        <v>15</v>
      </c>
      <c r="H2369">
        <v>0.51117068710679503</v>
      </c>
      <c r="I2369">
        <v>3</v>
      </c>
      <c r="J2369" t="s">
        <v>23</v>
      </c>
      <c r="K2369" s="59" t="s">
        <v>23</v>
      </c>
    </row>
    <row r="2370" spans="1:11" x14ac:dyDescent="0.2">
      <c r="A2370" t="s">
        <v>2409</v>
      </c>
      <c r="B2370">
        <v>2021</v>
      </c>
      <c r="C2370" t="s">
        <v>19</v>
      </c>
      <c r="D2370">
        <v>310</v>
      </c>
      <c r="E2370" t="s">
        <v>29</v>
      </c>
      <c r="F2370" t="s">
        <v>30</v>
      </c>
      <c r="G2370" t="s">
        <v>15</v>
      </c>
      <c r="H2370">
        <v>0.53094834150343062</v>
      </c>
      <c r="I2370">
        <v>4</v>
      </c>
      <c r="J2370" t="s">
        <v>23</v>
      </c>
      <c r="K2370" s="59" t="s">
        <v>17</v>
      </c>
    </row>
    <row r="2371" spans="1:11" x14ac:dyDescent="0.2">
      <c r="A2371" t="s">
        <v>2410</v>
      </c>
      <c r="B2371">
        <v>2022</v>
      </c>
      <c r="C2371" t="s">
        <v>12</v>
      </c>
      <c r="D2371">
        <v>138</v>
      </c>
      <c r="E2371" t="s">
        <v>25</v>
      </c>
      <c r="F2371" t="s">
        <v>26</v>
      </c>
      <c r="G2371" t="s">
        <v>15</v>
      </c>
      <c r="H2371">
        <v>0.9782651879610561</v>
      </c>
      <c r="I2371">
        <v>2</v>
      </c>
      <c r="J2371" t="s">
        <v>23</v>
      </c>
      <c r="K2371" s="59" t="s">
        <v>17</v>
      </c>
    </row>
    <row r="2372" spans="1:11" x14ac:dyDescent="0.2">
      <c r="A2372" t="s">
        <v>2411</v>
      </c>
      <c r="B2372">
        <v>2024</v>
      </c>
      <c r="C2372" t="s">
        <v>12</v>
      </c>
      <c r="D2372">
        <v>363</v>
      </c>
      <c r="E2372" t="s">
        <v>53</v>
      </c>
      <c r="F2372" t="s">
        <v>54</v>
      </c>
      <c r="G2372" t="s">
        <v>15</v>
      </c>
      <c r="H2372">
        <v>-1.6253498443433479E-2</v>
      </c>
      <c r="I2372">
        <v>3</v>
      </c>
      <c r="J2372" t="s">
        <v>16</v>
      </c>
      <c r="K2372" s="59" t="s">
        <v>23</v>
      </c>
    </row>
    <row r="2373" spans="1:11" x14ac:dyDescent="0.2">
      <c r="A2373" t="s">
        <v>2412</v>
      </c>
      <c r="B2373">
        <v>2024</v>
      </c>
      <c r="C2373" t="s">
        <v>19</v>
      </c>
      <c r="D2373">
        <v>428</v>
      </c>
      <c r="E2373" t="s">
        <v>53</v>
      </c>
      <c r="F2373" t="s">
        <v>54</v>
      </c>
      <c r="G2373" t="s">
        <v>15</v>
      </c>
      <c r="H2373">
        <v>-7.0290618412946107E-2</v>
      </c>
      <c r="I2373">
        <v>3</v>
      </c>
      <c r="J2373" t="s">
        <v>16</v>
      </c>
      <c r="K2373" s="59" t="s">
        <v>16</v>
      </c>
    </row>
    <row r="2374" spans="1:11" x14ac:dyDescent="0.2">
      <c r="A2374" t="s">
        <v>2413</v>
      </c>
      <c r="B2374">
        <v>2021</v>
      </c>
      <c r="C2374" t="s">
        <v>19</v>
      </c>
      <c r="D2374">
        <v>172</v>
      </c>
      <c r="E2374" t="s">
        <v>25</v>
      </c>
      <c r="F2374" t="s">
        <v>26</v>
      </c>
      <c r="G2374" t="s">
        <v>36</v>
      </c>
      <c r="H2374">
        <v>-1.8723710320901039</v>
      </c>
      <c r="I2374">
        <v>2</v>
      </c>
      <c r="J2374" t="s">
        <v>23</v>
      </c>
      <c r="K2374" s="59" t="s">
        <v>23</v>
      </c>
    </row>
    <row r="2375" spans="1:11" x14ac:dyDescent="0.2">
      <c r="A2375" t="s">
        <v>2414</v>
      </c>
      <c r="B2375">
        <v>2021</v>
      </c>
      <c r="C2375" t="s">
        <v>33</v>
      </c>
      <c r="D2375">
        <v>314</v>
      </c>
      <c r="E2375" t="s">
        <v>38</v>
      </c>
      <c r="F2375" t="s">
        <v>39</v>
      </c>
      <c r="G2375" t="s">
        <v>15</v>
      </c>
      <c r="H2375">
        <v>0.60608002270248429</v>
      </c>
      <c r="I2375">
        <v>3</v>
      </c>
      <c r="J2375" t="s">
        <v>23</v>
      </c>
      <c r="K2375" s="59" t="s">
        <v>4376</v>
      </c>
    </row>
    <row r="2376" spans="1:11" x14ac:dyDescent="0.2">
      <c r="A2376" t="s">
        <v>2415</v>
      </c>
      <c r="B2376">
        <v>2024</v>
      </c>
      <c r="C2376" t="s">
        <v>12</v>
      </c>
      <c r="D2376">
        <v>117</v>
      </c>
      <c r="E2376" t="s">
        <v>13</v>
      </c>
      <c r="F2376" t="s">
        <v>14</v>
      </c>
      <c r="G2376" t="s">
        <v>36</v>
      </c>
      <c r="H2376">
        <v>-0.62896749346454006</v>
      </c>
      <c r="I2376">
        <v>4</v>
      </c>
      <c r="J2376" t="s">
        <v>23</v>
      </c>
      <c r="K2376" s="59" t="s">
        <v>4376</v>
      </c>
    </row>
    <row r="2377" spans="1:11" x14ac:dyDescent="0.2">
      <c r="A2377" t="s">
        <v>2416</v>
      </c>
      <c r="B2377">
        <v>2021</v>
      </c>
      <c r="C2377" t="s">
        <v>33</v>
      </c>
      <c r="D2377">
        <v>398</v>
      </c>
      <c r="E2377" t="s">
        <v>29</v>
      </c>
      <c r="F2377" t="s">
        <v>30</v>
      </c>
      <c r="G2377" t="s">
        <v>15</v>
      </c>
      <c r="H2377">
        <v>0.43743819565275671</v>
      </c>
      <c r="I2377">
        <v>4</v>
      </c>
      <c r="J2377" t="s">
        <v>23</v>
      </c>
      <c r="K2377" s="59" t="s">
        <v>4376</v>
      </c>
    </row>
    <row r="2378" spans="1:11" x14ac:dyDescent="0.2">
      <c r="A2378" t="s">
        <v>2417</v>
      </c>
      <c r="B2378">
        <v>2022</v>
      </c>
      <c r="C2378" t="s">
        <v>33</v>
      </c>
      <c r="D2378">
        <v>69</v>
      </c>
      <c r="E2378" t="s">
        <v>20</v>
      </c>
      <c r="F2378" t="s">
        <v>21</v>
      </c>
      <c r="G2378" t="s">
        <v>15</v>
      </c>
      <c r="H2378">
        <v>-0.17617336389942639</v>
      </c>
      <c r="I2378">
        <v>3</v>
      </c>
      <c r="J2378" t="s">
        <v>16</v>
      </c>
      <c r="K2378" s="59" t="s">
        <v>4376</v>
      </c>
    </row>
    <row r="2379" spans="1:11" x14ac:dyDescent="0.2">
      <c r="A2379" t="s">
        <v>2418</v>
      </c>
      <c r="B2379">
        <v>2022</v>
      </c>
      <c r="C2379" t="s">
        <v>12</v>
      </c>
      <c r="D2379">
        <v>136</v>
      </c>
      <c r="E2379" t="s">
        <v>25</v>
      </c>
      <c r="F2379" t="s">
        <v>26</v>
      </c>
      <c r="G2379" t="s">
        <v>15</v>
      </c>
      <c r="H2379">
        <v>1.3232629350865359</v>
      </c>
      <c r="I2379">
        <v>2</v>
      </c>
      <c r="J2379" t="s">
        <v>23</v>
      </c>
      <c r="K2379" s="59" t="s">
        <v>17</v>
      </c>
    </row>
    <row r="2380" spans="1:11" x14ac:dyDescent="0.2">
      <c r="A2380" t="s">
        <v>2419</v>
      </c>
      <c r="B2380">
        <v>2021</v>
      </c>
      <c r="C2380" t="s">
        <v>12</v>
      </c>
      <c r="D2380">
        <v>398</v>
      </c>
      <c r="E2380" t="s">
        <v>29</v>
      </c>
      <c r="F2380" t="s">
        <v>30</v>
      </c>
      <c r="G2380" t="s">
        <v>15</v>
      </c>
      <c r="H2380">
        <v>0.43743819565275671</v>
      </c>
      <c r="I2380">
        <v>4</v>
      </c>
      <c r="J2380" t="s">
        <v>23</v>
      </c>
      <c r="K2380" s="59" t="s">
        <v>16</v>
      </c>
    </row>
    <row r="2381" spans="1:11" x14ac:dyDescent="0.2">
      <c r="A2381" t="s">
        <v>2420</v>
      </c>
      <c r="B2381">
        <v>2021</v>
      </c>
      <c r="C2381" t="s">
        <v>19</v>
      </c>
      <c r="D2381">
        <v>68</v>
      </c>
      <c r="E2381" t="s">
        <v>20</v>
      </c>
      <c r="F2381" t="s">
        <v>21</v>
      </c>
      <c r="G2381" t="s">
        <v>15</v>
      </c>
      <c r="H2381">
        <v>-2.2511336181909352</v>
      </c>
      <c r="I2381">
        <v>3</v>
      </c>
      <c r="J2381" t="s">
        <v>23</v>
      </c>
      <c r="K2381" s="59" t="s">
        <v>17</v>
      </c>
    </row>
    <row r="2382" spans="1:11" x14ac:dyDescent="0.2">
      <c r="A2382" t="s">
        <v>2421</v>
      </c>
      <c r="B2382">
        <v>2022</v>
      </c>
      <c r="C2382" t="s">
        <v>33</v>
      </c>
      <c r="D2382">
        <v>71</v>
      </c>
      <c r="E2382" t="s">
        <v>20</v>
      </c>
      <c r="F2382" t="s">
        <v>21</v>
      </c>
      <c r="G2382" t="s">
        <v>15</v>
      </c>
      <c r="H2382">
        <v>-0.78015240505470107</v>
      </c>
      <c r="I2382">
        <v>3</v>
      </c>
      <c r="J2382" t="s">
        <v>17</v>
      </c>
      <c r="K2382" s="59" t="s">
        <v>4376</v>
      </c>
    </row>
    <row r="2383" spans="1:11" x14ac:dyDescent="0.2">
      <c r="A2383" t="s">
        <v>2422</v>
      </c>
      <c r="B2383">
        <v>2020</v>
      </c>
      <c r="C2383" t="s">
        <v>12</v>
      </c>
      <c r="D2383">
        <v>46</v>
      </c>
      <c r="E2383" t="s">
        <v>13</v>
      </c>
      <c r="F2383" t="s">
        <v>14</v>
      </c>
      <c r="G2383" t="s">
        <v>22</v>
      </c>
      <c r="H2383">
        <v>-0.93070436545997492</v>
      </c>
      <c r="I2383">
        <v>4</v>
      </c>
      <c r="J2383" t="s">
        <v>23</v>
      </c>
      <c r="K2383" s="59" t="s">
        <v>23</v>
      </c>
    </row>
    <row r="2384" spans="1:11" x14ac:dyDescent="0.2">
      <c r="A2384" t="s">
        <v>2423</v>
      </c>
      <c r="B2384">
        <v>2022</v>
      </c>
      <c r="C2384" t="s">
        <v>33</v>
      </c>
      <c r="D2384">
        <v>352</v>
      </c>
      <c r="E2384" t="s">
        <v>53</v>
      </c>
      <c r="F2384" t="s">
        <v>54</v>
      </c>
      <c r="G2384" t="s">
        <v>36</v>
      </c>
      <c r="H2384">
        <v>5.4377775466296963E-2</v>
      </c>
      <c r="I2384">
        <v>3</v>
      </c>
      <c r="J2384" t="s">
        <v>16</v>
      </c>
      <c r="K2384" s="59" t="s">
        <v>4376</v>
      </c>
    </row>
    <row r="2385" spans="1:11" x14ac:dyDescent="0.2">
      <c r="A2385" t="s">
        <v>2424</v>
      </c>
      <c r="B2385">
        <v>2022</v>
      </c>
      <c r="C2385" t="s">
        <v>33</v>
      </c>
      <c r="D2385">
        <v>352</v>
      </c>
      <c r="E2385" t="s">
        <v>53</v>
      </c>
      <c r="F2385" t="s">
        <v>54</v>
      </c>
      <c r="G2385" t="s">
        <v>36</v>
      </c>
      <c r="H2385">
        <v>5.4377775466296963E-2</v>
      </c>
      <c r="I2385">
        <v>3</v>
      </c>
      <c r="J2385" t="s">
        <v>16</v>
      </c>
      <c r="K2385" s="59" t="s">
        <v>4376</v>
      </c>
    </row>
    <row r="2386" spans="1:11" x14ac:dyDescent="0.2">
      <c r="A2386" t="s">
        <v>2425</v>
      </c>
      <c r="B2386">
        <v>2022</v>
      </c>
      <c r="C2386" t="s">
        <v>33</v>
      </c>
      <c r="D2386">
        <v>352</v>
      </c>
      <c r="E2386" t="s">
        <v>53</v>
      </c>
      <c r="F2386" t="s">
        <v>54</v>
      </c>
      <c r="G2386" t="s">
        <v>36</v>
      </c>
      <c r="H2386">
        <v>5.4377775466296963E-2</v>
      </c>
      <c r="I2386">
        <v>3</v>
      </c>
      <c r="J2386" t="s">
        <v>16</v>
      </c>
      <c r="K2386" s="59" t="s">
        <v>17</v>
      </c>
    </row>
    <row r="2387" spans="1:11" x14ac:dyDescent="0.2">
      <c r="A2387" t="s">
        <v>2426</v>
      </c>
      <c r="B2387">
        <v>2020</v>
      </c>
      <c r="C2387" t="s">
        <v>19</v>
      </c>
      <c r="D2387">
        <v>106</v>
      </c>
      <c r="E2387" t="s">
        <v>13</v>
      </c>
      <c r="F2387" t="s">
        <v>14</v>
      </c>
      <c r="G2387" t="s">
        <v>15</v>
      </c>
      <c r="H2387">
        <v>-0.63727564263087266</v>
      </c>
      <c r="I2387">
        <v>4</v>
      </c>
      <c r="J2387" t="s">
        <v>23</v>
      </c>
      <c r="K2387" s="59" t="s">
        <v>4376</v>
      </c>
    </row>
    <row r="2388" spans="1:11" x14ac:dyDescent="0.2">
      <c r="A2388" t="s">
        <v>2427</v>
      </c>
      <c r="B2388">
        <v>2025</v>
      </c>
      <c r="C2388" t="s">
        <v>19</v>
      </c>
      <c r="D2388">
        <v>60</v>
      </c>
      <c r="E2388" t="s">
        <v>20</v>
      </c>
      <c r="F2388" t="s">
        <v>21</v>
      </c>
      <c r="G2388" t="s">
        <v>15</v>
      </c>
      <c r="H2388">
        <v>0.40997360058970028</v>
      </c>
      <c r="I2388">
        <v>3</v>
      </c>
      <c r="J2388" t="s">
        <v>23</v>
      </c>
      <c r="K2388" s="59" t="s">
        <v>17</v>
      </c>
    </row>
    <row r="2389" spans="1:11" x14ac:dyDescent="0.2">
      <c r="A2389" t="s">
        <v>2428</v>
      </c>
      <c r="B2389">
        <v>2023</v>
      </c>
      <c r="C2389" t="s">
        <v>33</v>
      </c>
      <c r="D2389">
        <v>163</v>
      </c>
      <c r="E2389" t="s">
        <v>29</v>
      </c>
      <c r="F2389" t="s">
        <v>30</v>
      </c>
      <c r="G2389" t="s">
        <v>15</v>
      </c>
      <c r="H2389">
        <v>3.1322661529724391E-2</v>
      </c>
      <c r="I2389">
        <v>4</v>
      </c>
      <c r="J2389" t="s">
        <v>23</v>
      </c>
      <c r="K2389" s="59" t="s">
        <v>17</v>
      </c>
    </row>
    <row r="2390" spans="1:11" x14ac:dyDescent="0.2">
      <c r="A2390" t="s">
        <v>2429</v>
      </c>
      <c r="B2390">
        <v>2020</v>
      </c>
      <c r="C2390" t="s">
        <v>12</v>
      </c>
      <c r="D2390">
        <v>87</v>
      </c>
      <c r="E2390" t="s">
        <v>20</v>
      </c>
      <c r="F2390" t="s">
        <v>21</v>
      </c>
      <c r="G2390" t="s">
        <v>41</v>
      </c>
      <c r="H2390">
        <v>-0.98042152447753039</v>
      </c>
      <c r="I2390">
        <v>3</v>
      </c>
      <c r="J2390" t="s">
        <v>23</v>
      </c>
      <c r="K2390" s="59" t="s">
        <v>23</v>
      </c>
    </row>
    <row r="2391" spans="1:11" x14ac:dyDescent="0.2">
      <c r="A2391" t="s">
        <v>2430</v>
      </c>
      <c r="B2391">
        <v>2021</v>
      </c>
      <c r="C2391" t="s">
        <v>19</v>
      </c>
      <c r="D2391">
        <v>398</v>
      </c>
      <c r="E2391" t="s">
        <v>29</v>
      </c>
      <c r="F2391" t="s">
        <v>30</v>
      </c>
      <c r="G2391" t="s">
        <v>15</v>
      </c>
      <c r="H2391">
        <v>0.43743819565275671</v>
      </c>
      <c r="I2391">
        <v>4</v>
      </c>
      <c r="J2391" t="s">
        <v>23</v>
      </c>
      <c r="K2391" s="59" t="s">
        <v>17</v>
      </c>
    </row>
    <row r="2392" spans="1:11" x14ac:dyDescent="0.2">
      <c r="A2392" t="s">
        <v>2431</v>
      </c>
      <c r="B2392">
        <v>2022</v>
      </c>
      <c r="C2392" t="s">
        <v>12</v>
      </c>
      <c r="D2392">
        <v>352</v>
      </c>
      <c r="E2392" t="s">
        <v>53</v>
      </c>
      <c r="F2392" t="s">
        <v>54</v>
      </c>
      <c r="G2392" t="s">
        <v>36</v>
      </c>
      <c r="H2392">
        <v>5.4377775466296963E-2</v>
      </c>
      <c r="I2392">
        <v>3</v>
      </c>
      <c r="J2392" t="s">
        <v>16</v>
      </c>
      <c r="K2392" s="59" t="s">
        <v>17</v>
      </c>
    </row>
    <row r="2393" spans="1:11" x14ac:dyDescent="0.2">
      <c r="A2393" t="s">
        <v>2432</v>
      </c>
      <c r="B2393">
        <v>2021</v>
      </c>
      <c r="C2393" t="s">
        <v>33</v>
      </c>
      <c r="D2393">
        <v>398</v>
      </c>
      <c r="E2393" t="s">
        <v>29</v>
      </c>
      <c r="F2393" t="s">
        <v>30</v>
      </c>
      <c r="G2393" t="s">
        <v>15</v>
      </c>
      <c r="H2393">
        <v>0.43743819565275671</v>
      </c>
      <c r="I2393">
        <v>4</v>
      </c>
      <c r="J2393" t="s">
        <v>23</v>
      </c>
      <c r="K2393" s="59" t="s">
        <v>4376</v>
      </c>
    </row>
    <row r="2394" spans="1:11" x14ac:dyDescent="0.2">
      <c r="A2394" t="s">
        <v>2433</v>
      </c>
      <c r="B2394">
        <v>2023</v>
      </c>
      <c r="C2394" t="s">
        <v>12</v>
      </c>
      <c r="D2394">
        <v>393</v>
      </c>
      <c r="E2394" t="s">
        <v>38</v>
      </c>
      <c r="F2394" t="s">
        <v>39</v>
      </c>
      <c r="G2394" t="s">
        <v>15</v>
      </c>
      <c r="H2394">
        <v>-5.0426212774462454E-3</v>
      </c>
      <c r="I2394">
        <v>3</v>
      </c>
      <c r="J2394" t="s">
        <v>16</v>
      </c>
      <c r="K2394" s="59" t="s">
        <v>4376</v>
      </c>
    </row>
    <row r="2395" spans="1:11" x14ac:dyDescent="0.2">
      <c r="A2395" t="s">
        <v>2434</v>
      </c>
      <c r="B2395">
        <v>2022</v>
      </c>
      <c r="C2395" t="s">
        <v>33</v>
      </c>
      <c r="D2395">
        <v>80</v>
      </c>
      <c r="E2395" t="s">
        <v>20</v>
      </c>
      <c r="F2395" t="s">
        <v>21</v>
      </c>
      <c r="G2395" t="s">
        <v>15</v>
      </c>
      <c r="H2395">
        <v>-1.174255511533316</v>
      </c>
      <c r="I2395">
        <v>3</v>
      </c>
      <c r="J2395" t="s">
        <v>17</v>
      </c>
      <c r="K2395" s="59" t="s">
        <v>4376</v>
      </c>
    </row>
    <row r="2396" spans="1:11" x14ac:dyDescent="0.2">
      <c r="A2396" t="s">
        <v>2435</v>
      </c>
      <c r="B2396">
        <v>2024</v>
      </c>
      <c r="C2396" t="s">
        <v>19</v>
      </c>
      <c r="D2396">
        <v>176</v>
      </c>
      <c r="E2396" t="s">
        <v>29</v>
      </c>
      <c r="F2396" t="s">
        <v>30</v>
      </c>
      <c r="G2396" t="s">
        <v>15</v>
      </c>
      <c r="H2396">
        <v>0.38200307877548229</v>
      </c>
      <c r="I2396">
        <v>4</v>
      </c>
      <c r="J2396" t="s">
        <v>17</v>
      </c>
      <c r="K2396" s="59" t="s">
        <v>16</v>
      </c>
    </row>
    <row r="2397" spans="1:11" x14ac:dyDescent="0.2">
      <c r="A2397" t="s">
        <v>2436</v>
      </c>
      <c r="B2397">
        <v>2023</v>
      </c>
      <c r="C2397" t="s">
        <v>12</v>
      </c>
      <c r="D2397">
        <v>393</v>
      </c>
      <c r="E2397" t="s">
        <v>38</v>
      </c>
      <c r="F2397" t="s">
        <v>39</v>
      </c>
      <c r="G2397" t="s">
        <v>15</v>
      </c>
      <c r="H2397">
        <v>-5.0426212774462454E-3</v>
      </c>
      <c r="I2397">
        <v>3</v>
      </c>
      <c r="J2397" t="s">
        <v>16</v>
      </c>
      <c r="K2397" s="59" t="s">
        <v>4376</v>
      </c>
    </row>
    <row r="2398" spans="1:11" x14ac:dyDescent="0.2">
      <c r="A2398" t="s">
        <v>2437</v>
      </c>
      <c r="B2398">
        <v>2021</v>
      </c>
      <c r="C2398" t="s">
        <v>33</v>
      </c>
      <c r="D2398">
        <v>311</v>
      </c>
      <c r="E2398" t="s">
        <v>38</v>
      </c>
      <c r="F2398" t="s">
        <v>39</v>
      </c>
      <c r="G2398" t="s">
        <v>15</v>
      </c>
      <c r="H2398">
        <v>0.60221472720671299</v>
      </c>
      <c r="I2398">
        <v>3</v>
      </c>
      <c r="J2398" t="s">
        <v>23</v>
      </c>
      <c r="K2398" s="59" t="s">
        <v>4376</v>
      </c>
    </row>
    <row r="2399" spans="1:11" x14ac:dyDescent="0.2">
      <c r="A2399" t="s">
        <v>2438</v>
      </c>
      <c r="B2399">
        <v>2021</v>
      </c>
      <c r="C2399" t="s">
        <v>19</v>
      </c>
      <c r="D2399">
        <v>396</v>
      </c>
      <c r="E2399" t="s">
        <v>53</v>
      </c>
      <c r="F2399" t="s">
        <v>54</v>
      </c>
      <c r="G2399" t="s">
        <v>36</v>
      </c>
      <c r="H2399">
        <v>5.1950921367710373E-2</v>
      </c>
      <c r="I2399">
        <v>3</v>
      </c>
      <c r="J2399" t="s">
        <v>16</v>
      </c>
      <c r="K2399" s="59" t="s">
        <v>4376</v>
      </c>
    </row>
    <row r="2400" spans="1:11" x14ac:dyDescent="0.2">
      <c r="A2400" t="s">
        <v>2439</v>
      </c>
      <c r="B2400">
        <v>2022</v>
      </c>
      <c r="C2400" t="s">
        <v>19</v>
      </c>
      <c r="D2400">
        <v>353</v>
      </c>
      <c r="E2400" t="s">
        <v>53</v>
      </c>
      <c r="F2400" t="s">
        <v>54</v>
      </c>
      <c r="G2400" t="s">
        <v>15</v>
      </c>
      <c r="H2400">
        <v>0.46058692577733279</v>
      </c>
      <c r="I2400">
        <v>3</v>
      </c>
      <c r="J2400" t="s">
        <v>16</v>
      </c>
      <c r="K2400" s="59" t="s">
        <v>17</v>
      </c>
    </row>
    <row r="2401" spans="1:11" x14ac:dyDescent="0.2">
      <c r="A2401" t="s">
        <v>2440</v>
      </c>
      <c r="B2401">
        <v>2022</v>
      </c>
      <c r="C2401" t="s">
        <v>19</v>
      </c>
      <c r="D2401">
        <v>353</v>
      </c>
      <c r="E2401" t="s">
        <v>53</v>
      </c>
      <c r="F2401" t="s">
        <v>54</v>
      </c>
      <c r="G2401" t="s">
        <v>15</v>
      </c>
      <c r="H2401">
        <v>0.46058692577733279</v>
      </c>
      <c r="I2401">
        <v>3</v>
      </c>
      <c r="J2401" t="s">
        <v>16</v>
      </c>
      <c r="K2401" s="59" t="s">
        <v>23</v>
      </c>
    </row>
    <row r="2402" spans="1:11" x14ac:dyDescent="0.2">
      <c r="A2402" t="s">
        <v>2441</v>
      </c>
      <c r="B2402">
        <v>2024</v>
      </c>
      <c r="C2402" t="s">
        <v>19</v>
      </c>
      <c r="D2402">
        <v>115</v>
      </c>
      <c r="E2402" t="s">
        <v>25</v>
      </c>
      <c r="F2402" t="s">
        <v>26</v>
      </c>
      <c r="G2402" t="s">
        <v>15</v>
      </c>
      <c r="H2402">
        <v>-1.732393554618058</v>
      </c>
      <c r="I2402">
        <v>2</v>
      </c>
      <c r="J2402" t="s">
        <v>16</v>
      </c>
      <c r="K2402" s="59" t="s">
        <v>16</v>
      </c>
    </row>
    <row r="2403" spans="1:11" x14ac:dyDescent="0.2">
      <c r="A2403" t="s">
        <v>2442</v>
      </c>
      <c r="B2403">
        <v>2020</v>
      </c>
      <c r="C2403" t="s">
        <v>19</v>
      </c>
      <c r="D2403">
        <v>60</v>
      </c>
      <c r="E2403" t="s">
        <v>13</v>
      </c>
      <c r="F2403" t="s">
        <v>14</v>
      </c>
      <c r="G2403" t="s">
        <v>15</v>
      </c>
      <c r="H2403">
        <v>-1.1444881492354639</v>
      </c>
      <c r="I2403">
        <v>4</v>
      </c>
      <c r="J2403" t="s">
        <v>16</v>
      </c>
      <c r="K2403" s="59" t="s">
        <v>17</v>
      </c>
    </row>
    <row r="2404" spans="1:11" x14ac:dyDescent="0.2">
      <c r="A2404" t="s">
        <v>2443</v>
      </c>
      <c r="B2404">
        <v>2020</v>
      </c>
      <c r="C2404" t="s">
        <v>33</v>
      </c>
      <c r="D2404">
        <v>50</v>
      </c>
      <c r="E2404" t="s">
        <v>38</v>
      </c>
      <c r="F2404" t="s">
        <v>39</v>
      </c>
      <c r="G2404" t="s">
        <v>15</v>
      </c>
      <c r="H2404">
        <v>-1.6724032071300381</v>
      </c>
      <c r="I2404">
        <v>3</v>
      </c>
      <c r="J2404" t="s">
        <v>23</v>
      </c>
      <c r="K2404" s="59" t="s">
        <v>4376</v>
      </c>
    </row>
    <row r="2405" spans="1:11" x14ac:dyDescent="0.2">
      <c r="A2405" t="s">
        <v>2444</v>
      </c>
      <c r="B2405">
        <v>2022</v>
      </c>
      <c r="C2405" t="s">
        <v>19</v>
      </c>
      <c r="D2405">
        <v>353</v>
      </c>
      <c r="E2405" t="s">
        <v>53</v>
      </c>
      <c r="F2405" t="s">
        <v>54</v>
      </c>
      <c r="G2405" t="s">
        <v>15</v>
      </c>
      <c r="H2405">
        <v>0.46058692577733279</v>
      </c>
      <c r="I2405">
        <v>3</v>
      </c>
      <c r="J2405" t="s">
        <v>16</v>
      </c>
      <c r="K2405" s="59" t="s">
        <v>17</v>
      </c>
    </row>
    <row r="2406" spans="1:11" x14ac:dyDescent="0.2">
      <c r="A2406" t="s">
        <v>2445</v>
      </c>
      <c r="B2406">
        <v>2021</v>
      </c>
      <c r="C2406" t="s">
        <v>19</v>
      </c>
      <c r="D2406">
        <v>36</v>
      </c>
      <c r="E2406" t="s">
        <v>13</v>
      </c>
      <c r="F2406" t="s">
        <v>14</v>
      </c>
      <c r="G2406" t="s">
        <v>15</v>
      </c>
      <c r="H2406">
        <v>-3.3443922467961378</v>
      </c>
      <c r="I2406">
        <v>4</v>
      </c>
      <c r="J2406" t="s">
        <v>23</v>
      </c>
      <c r="K2406" s="59" t="s">
        <v>17</v>
      </c>
    </row>
    <row r="2407" spans="1:11" x14ac:dyDescent="0.2">
      <c r="A2407" t="s">
        <v>2446</v>
      </c>
      <c r="B2407">
        <v>2024</v>
      </c>
      <c r="C2407" t="s">
        <v>33</v>
      </c>
      <c r="D2407">
        <v>196</v>
      </c>
      <c r="E2407" t="s">
        <v>25</v>
      </c>
      <c r="F2407" t="s">
        <v>26</v>
      </c>
      <c r="G2407" t="s">
        <v>15</v>
      </c>
      <c r="H2407">
        <v>0.2221610653711947</v>
      </c>
      <c r="I2407">
        <v>2</v>
      </c>
      <c r="J2407" t="s">
        <v>17</v>
      </c>
      <c r="K2407" s="59" t="s">
        <v>17</v>
      </c>
    </row>
    <row r="2408" spans="1:11" x14ac:dyDescent="0.2">
      <c r="A2408" t="s">
        <v>2447</v>
      </c>
      <c r="B2408">
        <v>2021</v>
      </c>
      <c r="C2408" t="s">
        <v>19</v>
      </c>
      <c r="D2408">
        <v>59</v>
      </c>
      <c r="E2408" t="s">
        <v>20</v>
      </c>
      <c r="F2408" t="s">
        <v>21</v>
      </c>
      <c r="G2408" t="s">
        <v>15</v>
      </c>
      <c r="H2408">
        <v>-3.068542203214863</v>
      </c>
      <c r="I2408">
        <v>3</v>
      </c>
      <c r="J2408" t="s">
        <v>23</v>
      </c>
      <c r="K2408" s="59" t="s">
        <v>4376</v>
      </c>
    </row>
    <row r="2409" spans="1:11" x14ac:dyDescent="0.2">
      <c r="A2409" t="s">
        <v>2448</v>
      </c>
      <c r="B2409">
        <v>2021</v>
      </c>
      <c r="C2409" t="s">
        <v>19</v>
      </c>
      <c r="D2409">
        <v>211</v>
      </c>
      <c r="E2409" t="s">
        <v>20</v>
      </c>
      <c r="F2409" t="s">
        <v>21</v>
      </c>
      <c r="G2409" t="s">
        <v>15</v>
      </c>
      <c r="H2409">
        <v>-0.85770502465858833</v>
      </c>
      <c r="I2409">
        <v>3</v>
      </c>
      <c r="J2409" t="s">
        <v>23</v>
      </c>
      <c r="K2409" s="59" t="s">
        <v>23</v>
      </c>
    </row>
    <row r="2410" spans="1:11" x14ac:dyDescent="0.2">
      <c r="A2410" t="s">
        <v>2449</v>
      </c>
      <c r="B2410">
        <v>2024</v>
      </c>
      <c r="C2410" t="s">
        <v>19</v>
      </c>
      <c r="D2410">
        <v>63</v>
      </c>
      <c r="E2410" t="s">
        <v>20</v>
      </c>
      <c r="F2410" t="s">
        <v>21</v>
      </c>
      <c r="G2410" t="s">
        <v>15</v>
      </c>
      <c r="H2410">
        <v>-0.28595962074024678</v>
      </c>
      <c r="I2410">
        <v>3</v>
      </c>
      <c r="J2410" t="s">
        <v>23</v>
      </c>
      <c r="K2410" s="59" t="s">
        <v>17</v>
      </c>
    </row>
    <row r="2411" spans="1:11" x14ac:dyDescent="0.2">
      <c r="A2411" t="s">
        <v>2450</v>
      </c>
      <c r="B2411">
        <v>2020</v>
      </c>
      <c r="C2411" t="s">
        <v>12</v>
      </c>
      <c r="D2411">
        <v>244</v>
      </c>
      <c r="E2411" t="s">
        <v>20</v>
      </c>
      <c r="F2411" t="s">
        <v>21</v>
      </c>
      <c r="G2411" t="s">
        <v>15</v>
      </c>
      <c r="H2411">
        <v>0.15259462855931791</v>
      </c>
      <c r="I2411">
        <v>3</v>
      </c>
      <c r="J2411" t="s">
        <v>23</v>
      </c>
      <c r="K2411" s="59" t="s">
        <v>17</v>
      </c>
    </row>
    <row r="2412" spans="1:11" x14ac:dyDescent="0.2">
      <c r="A2412" t="s">
        <v>2451</v>
      </c>
      <c r="B2412">
        <v>2023</v>
      </c>
      <c r="C2412" t="s">
        <v>19</v>
      </c>
      <c r="D2412">
        <v>35</v>
      </c>
      <c r="E2412" t="s">
        <v>20</v>
      </c>
      <c r="F2412" t="s">
        <v>21</v>
      </c>
      <c r="G2412" t="s">
        <v>15</v>
      </c>
      <c r="H2412">
        <v>-1.4804340951683741</v>
      </c>
      <c r="I2412">
        <v>3</v>
      </c>
      <c r="J2412" t="s">
        <v>23</v>
      </c>
      <c r="K2412" s="59" t="s">
        <v>23</v>
      </c>
    </row>
    <row r="2413" spans="1:11" x14ac:dyDescent="0.2">
      <c r="A2413" t="s">
        <v>2452</v>
      </c>
      <c r="B2413">
        <v>2020</v>
      </c>
      <c r="C2413" t="s">
        <v>12</v>
      </c>
      <c r="D2413">
        <v>140</v>
      </c>
      <c r="E2413" t="s">
        <v>25</v>
      </c>
      <c r="F2413" t="s">
        <v>26</v>
      </c>
      <c r="G2413" t="s">
        <v>48</v>
      </c>
      <c r="H2413">
        <v>-1.256470131213101</v>
      </c>
      <c r="I2413">
        <v>2</v>
      </c>
      <c r="J2413" t="s">
        <v>16</v>
      </c>
      <c r="K2413" s="59" t="s">
        <v>17</v>
      </c>
    </row>
    <row r="2414" spans="1:11" x14ac:dyDescent="0.2">
      <c r="A2414" t="s">
        <v>2453</v>
      </c>
      <c r="B2414">
        <v>2022</v>
      </c>
      <c r="C2414" t="s">
        <v>33</v>
      </c>
      <c r="D2414">
        <v>110</v>
      </c>
      <c r="E2414" t="s">
        <v>25</v>
      </c>
      <c r="F2414" t="s">
        <v>26</v>
      </c>
      <c r="G2414" t="s">
        <v>48</v>
      </c>
      <c r="H2414">
        <v>0.34415306072413232</v>
      </c>
      <c r="I2414">
        <v>2</v>
      </c>
      <c r="J2414" t="s">
        <v>17</v>
      </c>
      <c r="K2414" s="59" t="s">
        <v>4376</v>
      </c>
    </row>
    <row r="2415" spans="1:11" x14ac:dyDescent="0.2">
      <c r="A2415" t="s">
        <v>2454</v>
      </c>
      <c r="B2415">
        <v>2021</v>
      </c>
      <c r="C2415" t="s">
        <v>33</v>
      </c>
      <c r="D2415">
        <v>367</v>
      </c>
      <c r="E2415" t="s">
        <v>38</v>
      </c>
      <c r="F2415" t="s">
        <v>39</v>
      </c>
      <c r="G2415" t="s">
        <v>15</v>
      </c>
      <c r="H2415">
        <v>0.69029355547504967</v>
      </c>
      <c r="I2415">
        <v>3</v>
      </c>
      <c r="J2415" t="s">
        <v>23</v>
      </c>
      <c r="K2415" s="59" t="s">
        <v>23</v>
      </c>
    </row>
    <row r="2416" spans="1:11" x14ac:dyDescent="0.2">
      <c r="A2416" t="s">
        <v>2455</v>
      </c>
      <c r="B2416">
        <v>2023</v>
      </c>
      <c r="C2416" t="s">
        <v>19</v>
      </c>
      <c r="D2416">
        <v>63</v>
      </c>
      <c r="E2416" t="s">
        <v>13</v>
      </c>
      <c r="F2416" t="s">
        <v>14</v>
      </c>
      <c r="G2416" t="s">
        <v>15</v>
      </c>
      <c r="H2416">
        <v>0.43610998982593668</v>
      </c>
      <c r="I2416">
        <v>4</v>
      </c>
      <c r="J2416" t="s">
        <v>23</v>
      </c>
      <c r="K2416" s="59" t="s">
        <v>17</v>
      </c>
    </row>
    <row r="2417" spans="1:11" x14ac:dyDescent="0.2">
      <c r="A2417" t="s">
        <v>2456</v>
      </c>
      <c r="B2417">
        <v>2019</v>
      </c>
      <c r="C2417" t="s">
        <v>19</v>
      </c>
      <c r="D2417">
        <v>206</v>
      </c>
      <c r="E2417" t="s">
        <v>20</v>
      </c>
      <c r="F2417" t="s">
        <v>21</v>
      </c>
      <c r="G2417" t="s">
        <v>15</v>
      </c>
      <c r="H2417">
        <v>0.83386019903612274</v>
      </c>
      <c r="I2417">
        <v>3</v>
      </c>
      <c r="J2417" t="s">
        <v>23</v>
      </c>
      <c r="K2417" s="59" t="s">
        <v>23</v>
      </c>
    </row>
    <row r="2418" spans="1:11" x14ac:dyDescent="0.2">
      <c r="A2418" t="s">
        <v>2457</v>
      </c>
      <c r="B2418">
        <v>2023</v>
      </c>
      <c r="C2418" t="s">
        <v>33</v>
      </c>
      <c r="D2418">
        <v>165</v>
      </c>
      <c r="E2418" t="s">
        <v>29</v>
      </c>
      <c r="F2418" t="s">
        <v>30</v>
      </c>
      <c r="G2418" t="s">
        <v>15</v>
      </c>
      <c r="H2418">
        <v>0.33616250135773618</v>
      </c>
      <c r="I2418">
        <v>4</v>
      </c>
      <c r="J2418" t="s">
        <v>23</v>
      </c>
      <c r="K2418" s="59" t="s">
        <v>17</v>
      </c>
    </row>
    <row r="2419" spans="1:11" x14ac:dyDescent="0.2">
      <c r="A2419" t="s">
        <v>2458</v>
      </c>
      <c r="B2419">
        <v>2021</v>
      </c>
      <c r="C2419" t="s">
        <v>33</v>
      </c>
      <c r="D2419">
        <v>411</v>
      </c>
      <c r="E2419" t="s">
        <v>29</v>
      </c>
      <c r="F2419" t="s">
        <v>30</v>
      </c>
      <c r="G2419" t="s">
        <v>15</v>
      </c>
      <c r="H2419">
        <v>0.34487221106710803</v>
      </c>
      <c r="I2419">
        <v>4</v>
      </c>
      <c r="J2419" t="s">
        <v>23</v>
      </c>
      <c r="K2419" s="59" t="s">
        <v>4376</v>
      </c>
    </row>
    <row r="2420" spans="1:11" x14ac:dyDescent="0.2">
      <c r="A2420" t="s">
        <v>2459</v>
      </c>
      <c r="B2420">
        <v>2022</v>
      </c>
      <c r="C2420" t="s">
        <v>33</v>
      </c>
      <c r="D2420">
        <v>105</v>
      </c>
      <c r="E2420" t="s">
        <v>25</v>
      </c>
      <c r="F2420" t="s">
        <v>26</v>
      </c>
      <c r="G2420" t="s">
        <v>48</v>
      </c>
      <c r="H2420">
        <v>0.75489854507753251</v>
      </c>
      <c r="I2420">
        <v>2</v>
      </c>
      <c r="J2420" t="s">
        <v>17</v>
      </c>
      <c r="K2420" s="59" t="s">
        <v>4376</v>
      </c>
    </row>
    <row r="2421" spans="1:11" x14ac:dyDescent="0.2">
      <c r="A2421" t="s">
        <v>2460</v>
      </c>
      <c r="B2421">
        <v>2020</v>
      </c>
      <c r="C2421" t="s">
        <v>19</v>
      </c>
      <c r="D2421">
        <v>72</v>
      </c>
      <c r="E2421" t="s">
        <v>25</v>
      </c>
      <c r="F2421" t="s">
        <v>26</v>
      </c>
      <c r="G2421" t="s">
        <v>15</v>
      </c>
      <c r="H2421">
        <v>-0.13665031143673101</v>
      </c>
      <c r="I2421">
        <v>2</v>
      </c>
      <c r="J2421" t="s">
        <v>23</v>
      </c>
      <c r="K2421" s="59" t="s">
        <v>17</v>
      </c>
    </row>
    <row r="2422" spans="1:11" x14ac:dyDescent="0.2">
      <c r="A2422" t="s">
        <v>2461</v>
      </c>
      <c r="B2422">
        <v>2024</v>
      </c>
      <c r="C2422" t="s">
        <v>33</v>
      </c>
      <c r="D2422">
        <v>197</v>
      </c>
      <c r="E2422" t="s">
        <v>25</v>
      </c>
      <c r="F2422" t="s">
        <v>26</v>
      </c>
      <c r="G2422" t="s">
        <v>15</v>
      </c>
      <c r="H2422">
        <v>0.47225171556667001</v>
      </c>
      <c r="I2422">
        <v>2</v>
      </c>
      <c r="J2422" t="s">
        <v>17</v>
      </c>
      <c r="K2422" s="59" t="s">
        <v>17</v>
      </c>
    </row>
    <row r="2423" spans="1:11" x14ac:dyDescent="0.2">
      <c r="A2423" t="s">
        <v>2462</v>
      </c>
      <c r="B2423">
        <v>2023</v>
      </c>
      <c r="C2423" t="s">
        <v>12</v>
      </c>
      <c r="D2423">
        <v>393</v>
      </c>
      <c r="E2423" t="s">
        <v>38</v>
      </c>
      <c r="F2423" t="s">
        <v>39</v>
      </c>
      <c r="G2423" t="s">
        <v>15</v>
      </c>
      <c r="H2423">
        <v>-5.0426212774462454E-3</v>
      </c>
      <c r="I2423">
        <v>3</v>
      </c>
      <c r="J2423" t="s">
        <v>16</v>
      </c>
      <c r="K2423" s="59" t="s">
        <v>4376</v>
      </c>
    </row>
    <row r="2424" spans="1:11" x14ac:dyDescent="0.2">
      <c r="A2424" t="s">
        <v>2463</v>
      </c>
      <c r="B2424">
        <v>2024</v>
      </c>
      <c r="C2424" t="s">
        <v>33</v>
      </c>
      <c r="D2424">
        <v>253</v>
      </c>
      <c r="E2424" t="s">
        <v>25</v>
      </c>
      <c r="F2424" t="s">
        <v>26</v>
      </c>
      <c r="G2424" t="s">
        <v>15</v>
      </c>
      <c r="H2424">
        <v>1.0190037425724821</v>
      </c>
      <c r="I2424">
        <v>2</v>
      </c>
      <c r="J2424" t="s">
        <v>17</v>
      </c>
      <c r="K2424" s="59" t="s">
        <v>23</v>
      </c>
    </row>
    <row r="2425" spans="1:11" x14ac:dyDescent="0.2">
      <c r="A2425" t="s">
        <v>2464</v>
      </c>
      <c r="B2425">
        <v>2020</v>
      </c>
      <c r="C2425" t="s">
        <v>19</v>
      </c>
      <c r="D2425">
        <v>89</v>
      </c>
      <c r="E2425" t="s">
        <v>20</v>
      </c>
      <c r="F2425" t="s">
        <v>21</v>
      </c>
      <c r="G2425" t="s">
        <v>15</v>
      </c>
      <c r="H2425">
        <v>-1.0061574656160299</v>
      </c>
      <c r="I2425">
        <v>3</v>
      </c>
      <c r="J2425" t="s">
        <v>23</v>
      </c>
      <c r="K2425" s="59" t="s">
        <v>4376</v>
      </c>
    </row>
    <row r="2426" spans="1:11" x14ac:dyDescent="0.2">
      <c r="A2426" t="s">
        <v>2465</v>
      </c>
      <c r="B2426">
        <v>2021</v>
      </c>
      <c r="C2426" t="s">
        <v>19</v>
      </c>
      <c r="D2426">
        <v>144</v>
      </c>
      <c r="E2426" t="s">
        <v>20</v>
      </c>
      <c r="F2426" t="s">
        <v>21</v>
      </c>
      <c r="G2426" t="s">
        <v>15</v>
      </c>
      <c r="H2426">
        <v>0.43970450489572221</v>
      </c>
      <c r="I2426">
        <v>3</v>
      </c>
      <c r="J2426" t="s">
        <v>16</v>
      </c>
      <c r="K2426" s="59" t="s">
        <v>17</v>
      </c>
    </row>
    <row r="2427" spans="1:11" x14ac:dyDescent="0.2">
      <c r="A2427" t="s">
        <v>2466</v>
      </c>
      <c r="B2427">
        <v>2021</v>
      </c>
      <c r="C2427" t="s">
        <v>33</v>
      </c>
      <c r="D2427">
        <v>311</v>
      </c>
      <c r="E2427" t="s">
        <v>38</v>
      </c>
      <c r="F2427" t="s">
        <v>39</v>
      </c>
      <c r="G2427" t="s">
        <v>15</v>
      </c>
      <c r="H2427">
        <v>0.60221472720671299</v>
      </c>
      <c r="I2427">
        <v>3</v>
      </c>
      <c r="J2427" t="s">
        <v>23</v>
      </c>
      <c r="K2427" s="59" t="s">
        <v>4376</v>
      </c>
    </row>
    <row r="2428" spans="1:11" x14ac:dyDescent="0.2">
      <c r="A2428" t="s">
        <v>2467</v>
      </c>
      <c r="B2428">
        <v>2021</v>
      </c>
      <c r="C2428" t="s">
        <v>19</v>
      </c>
      <c r="D2428">
        <v>287</v>
      </c>
      <c r="E2428" t="s">
        <v>53</v>
      </c>
      <c r="F2428" t="s">
        <v>54</v>
      </c>
      <c r="G2428" t="s">
        <v>36</v>
      </c>
      <c r="H2428">
        <v>-0.37759349287597871</v>
      </c>
      <c r="I2428">
        <v>3</v>
      </c>
      <c r="J2428" t="s">
        <v>16</v>
      </c>
      <c r="K2428" s="59" t="s">
        <v>4376</v>
      </c>
    </row>
    <row r="2429" spans="1:11" x14ac:dyDescent="0.2">
      <c r="A2429" t="s">
        <v>2468</v>
      </c>
      <c r="B2429">
        <v>2022</v>
      </c>
      <c r="C2429" t="s">
        <v>19</v>
      </c>
      <c r="D2429">
        <v>352</v>
      </c>
      <c r="E2429" t="s">
        <v>53</v>
      </c>
      <c r="F2429" t="s">
        <v>54</v>
      </c>
      <c r="G2429" t="s">
        <v>36</v>
      </c>
      <c r="H2429">
        <v>5.4377775466296963E-2</v>
      </c>
      <c r="I2429">
        <v>3</v>
      </c>
      <c r="J2429" t="s">
        <v>16</v>
      </c>
      <c r="K2429" s="59" t="s">
        <v>23</v>
      </c>
    </row>
    <row r="2430" spans="1:11" x14ac:dyDescent="0.2">
      <c r="A2430" t="s">
        <v>2469</v>
      </c>
      <c r="B2430">
        <v>2022</v>
      </c>
      <c r="C2430" t="s">
        <v>33</v>
      </c>
      <c r="D2430">
        <v>41</v>
      </c>
      <c r="E2430" t="s">
        <v>20</v>
      </c>
      <c r="F2430" t="s">
        <v>21</v>
      </c>
      <c r="G2430" t="s">
        <v>15</v>
      </c>
      <c r="H2430">
        <v>-2.505953298542523</v>
      </c>
      <c r="I2430">
        <v>3</v>
      </c>
      <c r="J2430" t="s">
        <v>23</v>
      </c>
      <c r="K2430" s="59" t="s">
        <v>4376</v>
      </c>
    </row>
    <row r="2431" spans="1:11" x14ac:dyDescent="0.2">
      <c r="A2431" t="s">
        <v>2470</v>
      </c>
      <c r="B2431">
        <v>2022</v>
      </c>
      <c r="C2431" t="s">
        <v>33</v>
      </c>
      <c r="D2431">
        <v>40</v>
      </c>
      <c r="E2431" t="s">
        <v>25</v>
      </c>
      <c r="F2431" t="s">
        <v>26</v>
      </c>
      <c r="G2431" t="s">
        <v>34</v>
      </c>
      <c r="H2431">
        <v>-1.1444881492354639</v>
      </c>
      <c r="I2431">
        <v>2</v>
      </c>
      <c r="J2431" t="s">
        <v>23</v>
      </c>
      <c r="K2431" s="59" t="s">
        <v>4376</v>
      </c>
    </row>
    <row r="2432" spans="1:11" x14ac:dyDescent="0.2">
      <c r="A2432" t="s">
        <v>2471</v>
      </c>
      <c r="B2432">
        <v>2022</v>
      </c>
      <c r="C2432" t="s">
        <v>19</v>
      </c>
      <c r="D2432">
        <v>52</v>
      </c>
      <c r="E2432" t="s">
        <v>38</v>
      </c>
      <c r="F2432" t="s">
        <v>39</v>
      </c>
      <c r="G2432" t="s">
        <v>15</v>
      </c>
      <c r="H2432">
        <v>-0.79424663113519478</v>
      </c>
      <c r="I2432">
        <v>3</v>
      </c>
      <c r="J2432" t="s">
        <v>23</v>
      </c>
      <c r="K2432" s="59" t="s">
        <v>17</v>
      </c>
    </row>
    <row r="2433" spans="1:11" x14ac:dyDescent="0.2">
      <c r="A2433" t="s">
        <v>2472</v>
      </c>
      <c r="B2433">
        <v>2020</v>
      </c>
      <c r="C2433" t="s">
        <v>19</v>
      </c>
      <c r="D2433">
        <v>88</v>
      </c>
      <c r="E2433" t="s">
        <v>20</v>
      </c>
      <c r="F2433" t="s">
        <v>21</v>
      </c>
      <c r="G2433" t="s">
        <v>15</v>
      </c>
      <c r="H2433">
        <v>-0.60180623657460774</v>
      </c>
      <c r="I2433">
        <v>3</v>
      </c>
      <c r="J2433" t="s">
        <v>23</v>
      </c>
      <c r="K2433" s="59" t="s">
        <v>4376</v>
      </c>
    </row>
    <row r="2434" spans="1:11" x14ac:dyDescent="0.2">
      <c r="A2434" t="s">
        <v>2473</v>
      </c>
      <c r="B2434">
        <v>2022</v>
      </c>
      <c r="C2434" t="s">
        <v>33</v>
      </c>
      <c r="D2434">
        <v>27</v>
      </c>
      <c r="E2434" t="s">
        <v>20</v>
      </c>
      <c r="F2434" t="s">
        <v>21</v>
      </c>
      <c r="G2434" t="s">
        <v>41</v>
      </c>
      <c r="H2434">
        <v>-2.2767504114537931</v>
      </c>
      <c r="I2434">
        <v>3</v>
      </c>
      <c r="J2434" t="s">
        <v>17</v>
      </c>
      <c r="K2434" s="59" t="s">
        <v>4376</v>
      </c>
    </row>
    <row r="2435" spans="1:11" x14ac:dyDescent="0.2">
      <c r="A2435" t="s">
        <v>2474</v>
      </c>
      <c r="B2435">
        <v>2022</v>
      </c>
      <c r="C2435" t="s">
        <v>33</v>
      </c>
      <c r="D2435">
        <v>336</v>
      </c>
      <c r="E2435" t="s">
        <v>20</v>
      </c>
      <c r="F2435" t="s">
        <v>21</v>
      </c>
      <c r="G2435" t="s">
        <v>167</v>
      </c>
      <c r="H2435">
        <v>0.64217932898431163</v>
      </c>
      <c r="I2435">
        <v>3</v>
      </c>
      <c r="J2435" t="s">
        <v>23</v>
      </c>
      <c r="K2435" s="59" t="s">
        <v>4376</v>
      </c>
    </row>
    <row r="2436" spans="1:11" x14ac:dyDescent="0.2">
      <c r="A2436" t="s">
        <v>2475</v>
      </c>
      <c r="B2436">
        <v>2021</v>
      </c>
      <c r="C2436" t="s">
        <v>33</v>
      </c>
      <c r="D2436">
        <v>411</v>
      </c>
      <c r="E2436" t="s">
        <v>29</v>
      </c>
      <c r="F2436" t="s">
        <v>30</v>
      </c>
      <c r="G2436" t="s">
        <v>15</v>
      </c>
      <c r="H2436">
        <v>0.34487221106710803</v>
      </c>
      <c r="I2436">
        <v>4</v>
      </c>
      <c r="J2436" t="s">
        <v>23</v>
      </c>
      <c r="K2436" s="59" t="s">
        <v>4376</v>
      </c>
    </row>
    <row r="2437" spans="1:11" x14ac:dyDescent="0.2">
      <c r="A2437" t="s">
        <v>2476</v>
      </c>
      <c r="B2437">
        <v>2024</v>
      </c>
      <c r="C2437" t="s">
        <v>19</v>
      </c>
      <c r="D2437">
        <v>59</v>
      </c>
      <c r="E2437" t="s">
        <v>20</v>
      </c>
      <c r="F2437" t="s">
        <v>21</v>
      </c>
      <c r="G2437" t="s">
        <v>15</v>
      </c>
      <c r="H2437">
        <v>-0.41467454255362268</v>
      </c>
      <c r="I2437">
        <v>3</v>
      </c>
      <c r="J2437" t="s">
        <v>23</v>
      </c>
      <c r="K2437" s="59" t="s">
        <v>17</v>
      </c>
    </row>
    <row r="2438" spans="1:11" x14ac:dyDescent="0.2">
      <c r="A2438" t="s">
        <v>2477</v>
      </c>
      <c r="B2438">
        <v>2024</v>
      </c>
      <c r="C2438" t="s">
        <v>19</v>
      </c>
      <c r="D2438">
        <v>64</v>
      </c>
      <c r="E2438" t="s">
        <v>25</v>
      </c>
      <c r="F2438" t="s">
        <v>26</v>
      </c>
      <c r="G2438" t="s">
        <v>15</v>
      </c>
      <c r="H2438">
        <v>-0.33491349264303921</v>
      </c>
      <c r="I2438">
        <v>2</v>
      </c>
      <c r="J2438" t="s">
        <v>23</v>
      </c>
      <c r="K2438" s="59" t="s">
        <v>17</v>
      </c>
    </row>
    <row r="2439" spans="1:11" x14ac:dyDescent="0.2">
      <c r="A2439" t="s">
        <v>2478</v>
      </c>
      <c r="B2439">
        <v>2023</v>
      </c>
      <c r="C2439" t="s">
        <v>33</v>
      </c>
      <c r="D2439">
        <v>165</v>
      </c>
      <c r="E2439" t="s">
        <v>29</v>
      </c>
      <c r="F2439" t="s">
        <v>30</v>
      </c>
      <c r="G2439" t="s">
        <v>15</v>
      </c>
      <c r="H2439">
        <v>0.33616250135773618</v>
      </c>
      <c r="I2439">
        <v>4</v>
      </c>
      <c r="J2439" t="s">
        <v>23</v>
      </c>
      <c r="K2439" s="59" t="s">
        <v>4376</v>
      </c>
    </row>
    <row r="2440" spans="1:11" x14ac:dyDescent="0.2">
      <c r="A2440" t="s">
        <v>2479</v>
      </c>
      <c r="B2440">
        <v>2021</v>
      </c>
      <c r="C2440" t="s">
        <v>19</v>
      </c>
      <c r="D2440">
        <v>106</v>
      </c>
      <c r="E2440" t="s">
        <v>25</v>
      </c>
      <c r="F2440" t="s">
        <v>26</v>
      </c>
      <c r="G2440" t="s">
        <v>15</v>
      </c>
      <c r="H2440">
        <v>0.25698332218162923</v>
      </c>
      <c r="I2440">
        <v>2</v>
      </c>
      <c r="J2440" t="s">
        <v>23</v>
      </c>
      <c r="K2440" s="59" t="s">
        <v>17</v>
      </c>
    </row>
    <row r="2441" spans="1:11" x14ac:dyDescent="0.2">
      <c r="A2441" t="s">
        <v>2480</v>
      </c>
      <c r="B2441">
        <v>2024</v>
      </c>
      <c r="C2441" t="s">
        <v>19</v>
      </c>
      <c r="D2441">
        <v>79</v>
      </c>
      <c r="E2441" t="s">
        <v>25</v>
      </c>
      <c r="F2441" t="s">
        <v>26</v>
      </c>
      <c r="G2441" t="s">
        <v>15</v>
      </c>
      <c r="H2441">
        <v>-0.6252989600664195</v>
      </c>
      <c r="I2441">
        <v>2</v>
      </c>
      <c r="J2441" t="s">
        <v>16</v>
      </c>
      <c r="K2441" s="59" t="s">
        <v>4376</v>
      </c>
    </row>
    <row r="2442" spans="1:11" x14ac:dyDescent="0.2">
      <c r="A2442" t="s">
        <v>2481</v>
      </c>
      <c r="B2442">
        <v>2021</v>
      </c>
      <c r="C2442" t="s">
        <v>12</v>
      </c>
      <c r="D2442">
        <v>56</v>
      </c>
      <c r="E2442" t="s">
        <v>38</v>
      </c>
      <c r="F2442" t="s">
        <v>39</v>
      </c>
      <c r="G2442" t="s">
        <v>15</v>
      </c>
      <c r="H2442">
        <v>-0.53480846957944006</v>
      </c>
      <c r="I2442">
        <v>3</v>
      </c>
      <c r="J2442" t="s">
        <v>23</v>
      </c>
      <c r="K2442" s="59" t="s">
        <v>17</v>
      </c>
    </row>
    <row r="2443" spans="1:11" x14ac:dyDescent="0.2">
      <c r="A2443" t="s">
        <v>2482</v>
      </c>
      <c r="B2443">
        <v>2023</v>
      </c>
      <c r="C2443" t="s">
        <v>33</v>
      </c>
      <c r="D2443">
        <v>163</v>
      </c>
      <c r="E2443" t="s">
        <v>29</v>
      </c>
      <c r="F2443" t="s">
        <v>30</v>
      </c>
      <c r="G2443" t="s">
        <v>15</v>
      </c>
      <c r="H2443">
        <v>3.1322661529724391E-2</v>
      </c>
      <c r="I2443">
        <v>4</v>
      </c>
      <c r="J2443" t="s">
        <v>23</v>
      </c>
      <c r="K2443" s="59" t="s">
        <v>4376</v>
      </c>
    </row>
    <row r="2444" spans="1:11" x14ac:dyDescent="0.2">
      <c r="A2444" t="s">
        <v>2483</v>
      </c>
      <c r="B2444">
        <v>2021</v>
      </c>
      <c r="C2444" t="s">
        <v>33</v>
      </c>
      <c r="D2444">
        <v>235</v>
      </c>
      <c r="E2444" t="s">
        <v>13</v>
      </c>
      <c r="F2444" t="s">
        <v>14</v>
      </c>
      <c r="G2444" t="s">
        <v>15</v>
      </c>
      <c r="H2444">
        <v>0.5800343732201455</v>
      </c>
      <c r="I2444">
        <v>4</v>
      </c>
      <c r="J2444" t="s">
        <v>23</v>
      </c>
      <c r="K2444" s="59" t="s">
        <v>17</v>
      </c>
    </row>
    <row r="2445" spans="1:11" x14ac:dyDescent="0.2">
      <c r="A2445" t="s">
        <v>2484</v>
      </c>
      <c r="B2445">
        <v>2021</v>
      </c>
      <c r="C2445" t="s">
        <v>12</v>
      </c>
      <c r="D2445">
        <v>343</v>
      </c>
      <c r="E2445" t="s">
        <v>38</v>
      </c>
      <c r="F2445" t="s">
        <v>39</v>
      </c>
      <c r="G2445" t="s">
        <v>15</v>
      </c>
      <c r="H2445">
        <v>0.79091725609484598</v>
      </c>
      <c r="I2445">
        <v>3</v>
      </c>
      <c r="J2445" t="s">
        <v>23</v>
      </c>
      <c r="K2445" s="59" t="s">
        <v>23</v>
      </c>
    </row>
    <row r="2446" spans="1:11" x14ac:dyDescent="0.2">
      <c r="A2446" t="s">
        <v>2485</v>
      </c>
      <c r="B2446">
        <v>2021</v>
      </c>
      <c r="C2446" t="s">
        <v>19</v>
      </c>
      <c r="D2446">
        <v>104</v>
      </c>
      <c r="E2446" t="s">
        <v>20</v>
      </c>
      <c r="F2446" t="s">
        <v>21</v>
      </c>
      <c r="G2446" t="s">
        <v>15</v>
      </c>
      <c r="H2446">
        <v>0.7414658244671154</v>
      </c>
      <c r="I2446">
        <v>3</v>
      </c>
      <c r="J2446" t="s">
        <v>23</v>
      </c>
      <c r="K2446" s="59" t="s">
        <v>4376</v>
      </c>
    </row>
    <row r="2447" spans="1:11" x14ac:dyDescent="0.2">
      <c r="A2447" t="s">
        <v>2486</v>
      </c>
      <c r="B2447">
        <v>2021</v>
      </c>
      <c r="C2447" t="s">
        <v>33</v>
      </c>
      <c r="D2447">
        <v>411</v>
      </c>
      <c r="E2447" t="s">
        <v>29</v>
      </c>
      <c r="F2447" t="s">
        <v>30</v>
      </c>
      <c r="G2447" t="s">
        <v>15</v>
      </c>
      <c r="H2447">
        <v>0.34487221106710803</v>
      </c>
      <c r="I2447">
        <v>4</v>
      </c>
      <c r="J2447" t="s">
        <v>23</v>
      </c>
      <c r="K2447" s="59" t="s">
        <v>4376</v>
      </c>
    </row>
    <row r="2448" spans="1:11" x14ac:dyDescent="0.2">
      <c r="A2448" t="s">
        <v>2487</v>
      </c>
      <c r="B2448">
        <v>2024</v>
      </c>
      <c r="C2448" t="s">
        <v>33</v>
      </c>
      <c r="D2448">
        <v>86</v>
      </c>
      <c r="E2448" t="s">
        <v>20</v>
      </c>
      <c r="F2448" t="s">
        <v>21</v>
      </c>
      <c r="G2448" t="s">
        <v>15</v>
      </c>
      <c r="H2448">
        <v>0.1004880033394414</v>
      </c>
      <c r="I2448">
        <v>3</v>
      </c>
      <c r="J2448" t="s">
        <v>23</v>
      </c>
      <c r="K2448" s="59" t="s">
        <v>4376</v>
      </c>
    </row>
    <row r="2449" spans="1:11" x14ac:dyDescent="0.2">
      <c r="A2449" t="s">
        <v>2488</v>
      </c>
      <c r="B2449">
        <v>2021</v>
      </c>
      <c r="C2449" t="s">
        <v>33</v>
      </c>
      <c r="D2449">
        <v>301</v>
      </c>
      <c r="E2449" t="s">
        <v>38</v>
      </c>
      <c r="F2449" t="s">
        <v>39</v>
      </c>
      <c r="G2449" t="s">
        <v>15</v>
      </c>
      <c r="H2449">
        <v>0.13446396071965319</v>
      </c>
      <c r="I2449">
        <v>3</v>
      </c>
      <c r="J2449" t="s">
        <v>23</v>
      </c>
      <c r="K2449" s="59" t="s">
        <v>4376</v>
      </c>
    </row>
    <row r="2450" spans="1:11" x14ac:dyDescent="0.2">
      <c r="A2450" t="s">
        <v>2489</v>
      </c>
      <c r="B2450">
        <v>2023</v>
      </c>
      <c r="C2450" t="s">
        <v>19</v>
      </c>
      <c r="D2450">
        <v>86</v>
      </c>
      <c r="E2450" t="s">
        <v>20</v>
      </c>
      <c r="F2450" t="s">
        <v>21</v>
      </c>
      <c r="G2450" t="s">
        <v>15</v>
      </c>
      <c r="H2450">
        <v>0.64722356240672774</v>
      </c>
      <c r="I2450">
        <v>3</v>
      </c>
      <c r="J2450" t="s">
        <v>17</v>
      </c>
      <c r="K2450" s="59" t="s">
        <v>17</v>
      </c>
    </row>
    <row r="2451" spans="1:11" x14ac:dyDescent="0.2">
      <c r="A2451" t="s">
        <v>2490</v>
      </c>
      <c r="B2451">
        <v>2021</v>
      </c>
      <c r="C2451" t="s">
        <v>33</v>
      </c>
      <c r="D2451">
        <v>311</v>
      </c>
      <c r="E2451" t="s">
        <v>38</v>
      </c>
      <c r="F2451" t="s">
        <v>39</v>
      </c>
      <c r="G2451" t="s">
        <v>15</v>
      </c>
      <c r="H2451">
        <v>0.60221472720671299</v>
      </c>
      <c r="I2451">
        <v>3</v>
      </c>
      <c r="J2451" t="s">
        <v>23</v>
      </c>
      <c r="K2451" s="59" t="s">
        <v>4376</v>
      </c>
    </row>
    <row r="2452" spans="1:11" x14ac:dyDescent="0.2">
      <c r="A2452" t="s">
        <v>2491</v>
      </c>
      <c r="B2452">
        <v>2023</v>
      </c>
      <c r="C2452" t="s">
        <v>19</v>
      </c>
      <c r="D2452">
        <v>39</v>
      </c>
      <c r="E2452" t="s">
        <v>20</v>
      </c>
      <c r="F2452" t="s">
        <v>21</v>
      </c>
      <c r="G2452" t="s">
        <v>41</v>
      </c>
      <c r="H2452">
        <v>-2.4107459454441278</v>
      </c>
      <c r="I2452">
        <v>3</v>
      </c>
      <c r="J2452" t="s">
        <v>17</v>
      </c>
      <c r="K2452" s="59" t="s">
        <v>17</v>
      </c>
    </row>
    <row r="2453" spans="1:11" x14ac:dyDescent="0.2">
      <c r="A2453" t="s">
        <v>2492</v>
      </c>
      <c r="B2453">
        <v>2020</v>
      </c>
      <c r="C2453" t="s">
        <v>33</v>
      </c>
      <c r="D2453">
        <v>197</v>
      </c>
      <c r="E2453" t="s">
        <v>13</v>
      </c>
      <c r="F2453" t="s">
        <v>14</v>
      </c>
      <c r="G2453" t="s">
        <v>22</v>
      </c>
      <c r="H2453">
        <v>-3.7110771901053607E-2</v>
      </c>
      <c r="I2453">
        <v>4</v>
      </c>
      <c r="J2453" t="s">
        <v>16</v>
      </c>
      <c r="K2453" s="59" t="s">
        <v>17</v>
      </c>
    </row>
    <row r="2454" spans="1:11" x14ac:dyDescent="0.2">
      <c r="A2454" t="s">
        <v>2493</v>
      </c>
      <c r="B2454">
        <v>2023</v>
      </c>
      <c r="C2454" t="s">
        <v>12</v>
      </c>
      <c r="D2454">
        <v>147</v>
      </c>
      <c r="E2454" t="s">
        <v>29</v>
      </c>
      <c r="F2454" t="s">
        <v>30</v>
      </c>
      <c r="G2454" t="s">
        <v>15</v>
      </c>
      <c r="H2454">
        <v>-9.9322984110851928E-2</v>
      </c>
      <c r="I2454">
        <v>4</v>
      </c>
      <c r="J2454" t="s">
        <v>23</v>
      </c>
      <c r="K2454" s="59" t="s">
        <v>23</v>
      </c>
    </row>
    <row r="2455" spans="1:11" x14ac:dyDescent="0.2">
      <c r="A2455" t="s">
        <v>2494</v>
      </c>
      <c r="B2455">
        <v>2023</v>
      </c>
      <c r="C2455" t="s">
        <v>12</v>
      </c>
      <c r="D2455">
        <v>393</v>
      </c>
      <c r="E2455" t="s">
        <v>38</v>
      </c>
      <c r="F2455" t="s">
        <v>39</v>
      </c>
      <c r="G2455" t="s">
        <v>15</v>
      </c>
      <c r="H2455">
        <v>-5.0426212774462454E-3</v>
      </c>
      <c r="I2455">
        <v>3</v>
      </c>
      <c r="J2455" t="s">
        <v>16</v>
      </c>
      <c r="K2455" s="59" t="s">
        <v>4376</v>
      </c>
    </row>
    <row r="2456" spans="1:11" x14ac:dyDescent="0.2">
      <c r="A2456" t="s">
        <v>2495</v>
      </c>
      <c r="B2456">
        <v>2020</v>
      </c>
      <c r="C2456" t="s">
        <v>19</v>
      </c>
      <c r="D2456">
        <v>97</v>
      </c>
      <c r="E2456" t="s">
        <v>20</v>
      </c>
      <c r="F2456" t="s">
        <v>21</v>
      </c>
      <c r="G2456" t="s">
        <v>15</v>
      </c>
      <c r="H2456">
        <v>-0.2939016052776679</v>
      </c>
      <c r="I2456">
        <v>3</v>
      </c>
      <c r="J2456" t="s">
        <v>23</v>
      </c>
      <c r="K2456" s="59" t="s">
        <v>4376</v>
      </c>
    </row>
    <row r="2457" spans="1:11" x14ac:dyDescent="0.2">
      <c r="A2457" t="s">
        <v>2496</v>
      </c>
      <c r="B2457">
        <v>2023</v>
      </c>
      <c r="C2457" t="s">
        <v>12</v>
      </c>
      <c r="D2457">
        <v>393</v>
      </c>
      <c r="E2457" t="s">
        <v>38</v>
      </c>
      <c r="F2457" t="s">
        <v>39</v>
      </c>
      <c r="G2457" t="s">
        <v>15</v>
      </c>
      <c r="H2457">
        <v>-5.0426212774462454E-3</v>
      </c>
      <c r="I2457">
        <v>3</v>
      </c>
      <c r="J2457" t="s">
        <v>16</v>
      </c>
      <c r="K2457" s="59" t="s">
        <v>4376</v>
      </c>
    </row>
    <row r="2458" spans="1:11" x14ac:dyDescent="0.2">
      <c r="A2458" t="s">
        <v>2497</v>
      </c>
      <c r="B2458">
        <v>2021</v>
      </c>
      <c r="C2458" t="s">
        <v>12</v>
      </c>
      <c r="D2458">
        <v>310</v>
      </c>
      <c r="E2458" t="s">
        <v>29</v>
      </c>
      <c r="F2458" t="s">
        <v>30</v>
      </c>
      <c r="G2458" t="s">
        <v>15</v>
      </c>
      <c r="H2458">
        <v>0.53094834150343062</v>
      </c>
      <c r="I2458">
        <v>4</v>
      </c>
      <c r="J2458" t="s">
        <v>16</v>
      </c>
      <c r="K2458" s="59" t="s">
        <v>16</v>
      </c>
    </row>
    <row r="2459" spans="1:11" x14ac:dyDescent="0.2">
      <c r="A2459" t="s">
        <v>2498</v>
      </c>
      <c r="B2459">
        <v>2023</v>
      </c>
      <c r="C2459" t="s">
        <v>33</v>
      </c>
      <c r="D2459">
        <v>107</v>
      </c>
      <c r="E2459" t="s">
        <v>20</v>
      </c>
      <c r="F2459" t="s">
        <v>21</v>
      </c>
      <c r="G2459" t="s">
        <v>41</v>
      </c>
      <c r="H2459">
        <v>-2.2767504114537931</v>
      </c>
      <c r="I2459">
        <v>3</v>
      </c>
      <c r="J2459" t="s">
        <v>23</v>
      </c>
      <c r="K2459" s="59" t="s">
        <v>4376</v>
      </c>
    </row>
    <row r="2460" spans="1:11" x14ac:dyDescent="0.2">
      <c r="A2460" t="s">
        <v>2499</v>
      </c>
      <c r="B2460">
        <v>2022</v>
      </c>
      <c r="C2460" t="s">
        <v>33</v>
      </c>
      <c r="D2460">
        <v>56</v>
      </c>
      <c r="E2460" t="s">
        <v>25</v>
      </c>
      <c r="F2460" t="s">
        <v>26</v>
      </c>
      <c r="G2460" t="s">
        <v>15</v>
      </c>
      <c r="H2460">
        <v>-1.405779440516616</v>
      </c>
      <c r="I2460">
        <v>2</v>
      </c>
      <c r="J2460" t="s">
        <v>23</v>
      </c>
      <c r="K2460" s="59" t="s">
        <v>4376</v>
      </c>
    </row>
    <row r="2461" spans="1:11" x14ac:dyDescent="0.2">
      <c r="A2461" t="s">
        <v>2500</v>
      </c>
      <c r="B2461">
        <v>2022</v>
      </c>
      <c r="C2461" t="s">
        <v>33</v>
      </c>
      <c r="D2461">
        <v>107</v>
      </c>
      <c r="E2461" t="s">
        <v>20</v>
      </c>
      <c r="F2461" t="s">
        <v>21</v>
      </c>
      <c r="G2461" t="s">
        <v>15</v>
      </c>
      <c r="H2461">
        <v>0.32802258574150089</v>
      </c>
      <c r="I2461">
        <v>3</v>
      </c>
      <c r="J2461" t="s">
        <v>17</v>
      </c>
      <c r="K2461" s="59" t="s">
        <v>4376</v>
      </c>
    </row>
    <row r="2462" spans="1:11" x14ac:dyDescent="0.2">
      <c r="A2462" t="s">
        <v>2501</v>
      </c>
      <c r="B2462">
        <v>2023</v>
      </c>
      <c r="C2462" t="s">
        <v>19</v>
      </c>
      <c r="D2462">
        <v>147</v>
      </c>
      <c r="E2462" t="s">
        <v>29</v>
      </c>
      <c r="F2462" t="s">
        <v>30</v>
      </c>
      <c r="G2462" t="s">
        <v>15</v>
      </c>
      <c r="H2462">
        <v>-9.9322984110851928E-2</v>
      </c>
      <c r="I2462">
        <v>4</v>
      </c>
      <c r="J2462" t="s">
        <v>23</v>
      </c>
      <c r="K2462" s="59" t="s">
        <v>16</v>
      </c>
    </row>
    <row r="2463" spans="1:11" x14ac:dyDescent="0.2">
      <c r="A2463" t="s">
        <v>2502</v>
      </c>
      <c r="B2463">
        <v>2022</v>
      </c>
      <c r="C2463" t="s">
        <v>33</v>
      </c>
      <c r="D2463">
        <v>400</v>
      </c>
      <c r="E2463" t="s">
        <v>25</v>
      </c>
      <c r="F2463" t="s">
        <v>26</v>
      </c>
      <c r="G2463" t="s">
        <v>15</v>
      </c>
      <c r="H2463">
        <v>0.19568331249690121</v>
      </c>
      <c r="I2463">
        <v>2</v>
      </c>
      <c r="J2463" t="s">
        <v>17</v>
      </c>
      <c r="K2463" s="59" t="s">
        <v>4376</v>
      </c>
    </row>
    <row r="2464" spans="1:11" x14ac:dyDescent="0.2">
      <c r="A2464" t="s">
        <v>2503</v>
      </c>
      <c r="B2464">
        <v>2022</v>
      </c>
      <c r="C2464" t="s">
        <v>19</v>
      </c>
      <c r="D2464">
        <v>305</v>
      </c>
      <c r="E2464" t="s">
        <v>53</v>
      </c>
      <c r="F2464" t="s">
        <v>54</v>
      </c>
      <c r="G2464" t="s">
        <v>15</v>
      </c>
      <c r="H2464">
        <v>0.73205839723827082</v>
      </c>
      <c r="I2464">
        <v>3</v>
      </c>
      <c r="J2464" t="s">
        <v>23</v>
      </c>
      <c r="K2464" s="59" t="s">
        <v>23</v>
      </c>
    </row>
    <row r="2465" spans="1:11" x14ac:dyDescent="0.2">
      <c r="A2465" t="s">
        <v>2504</v>
      </c>
      <c r="B2465">
        <v>2023</v>
      </c>
      <c r="C2465" t="s">
        <v>19</v>
      </c>
      <c r="D2465">
        <v>147</v>
      </c>
      <c r="E2465" t="s">
        <v>29</v>
      </c>
      <c r="F2465" t="s">
        <v>30</v>
      </c>
      <c r="G2465" t="s">
        <v>15</v>
      </c>
      <c r="H2465">
        <v>-9.9322984110851928E-2</v>
      </c>
      <c r="I2465">
        <v>4</v>
      </c>
      <c r="J2465" t="s">
        <v>23</v>
      </c>
      <c r="K2465" s="59" t="s">
        <v>16</v>
      </c>
    </row>
    <row r="2466" spans="1:11" x14ac:dyDescent="0.2">
      <c r="A2466" t="s">
        <v>2505</v>
      </c>
      <c r="B2466">
        <v>2021</v>
      </c>
      <c r="C2466" t="s">
        <v>33</v>
      </c>
      <c r="D2466">
        <v>302</v>
      </c>
      <c r="E2466" t="s">
        <v>38</v>
      </c>
      <c r="F2466" t="s">
        <v>39</v>
      </c>
      <c r="G2466" t="s">
        <v>15</v>
      </c>
      <c r="H2466">
        <v>0.1382145534174688</v>
      </c>
      <c r="I2466">
        <v>3</v>
      </c>
      <c r="J2466" t="s">
        <v>23</v>
      </c>
      <c r="K2466" s="59" t="s">
        <v>4376</v>
      </c>
    </row>
    <row r="2467" spans="1:11" x14ac:dyDescent="0.2">
      <c r="A2467" t="s">
        <v>2506</v>
      </c>
      <c r="B2467">
        <v>2022</v>
      </c>
      <c r="C2467" t="s">
        <v>33</v>
      </c>
      <c r="D2467">
        <v>526</v>
      </c>
      <c r="E2467" t="s">
        <v>13</v>
      </c>
      <c r="F2467" t="s">
        <v>14</v>
      </c>
      <c r="G2467" t="s">
        <v>44</v>
      </c>
      <c r="H2467">
        <v>1.06286220717035</v>
      </c>
      <c r="I2467">
        <v>4</v>
      </c>
      <c r="J2467" t="s">
        <v>17</v>
      </c>
      <c r="K2467" s="59" t="s">
        <v>17</v>
      </c>
    </row>
    <row r="2468" spans="1:11" x14ac:dyDescent="0.2">
      <c r="A2468" t="s">
        <v>2507</v>
      </c>
      <c r="B2468">
        <v>2021</v>
      </c>
      <c r="C2468" t="s">
        <v>19</v>
      </c>
      <c r="D2468">
        <v>382</v>
      </c>
      <c r="E2468" t="s">
        <v>29</v>
      </c>
      <c r="F2468" t="s">
        <v>30</v>
      </c>
      <c r="G2468" t="s">
        <v>15</v>
      </c>
      <c r="H2468">
        <v>-0.1911280323988247</v>
      </c>
      <c r="I2468">
        <v>4</v>
      </c>
      <c r="J2468" t="s">
        <v>17</v>
      </c>
      <c r="K2468" s="59" t="s">
        <v>23</v>
      </c>
    </row>
    <row r="2469" spans="1:11" x14ac:dyDescent="0.2">
      <c r="A2469" t="s">
        <v>2508</v>
      </c>
      <c r="B2469">
        <v>2023</v>
      </c>
      <c r="C2469" t="s">
        <v>12</v>
      </c>
      <c r="D2469">
        <v>147</v>
      </c>
      <c r="E2469" t="s">
        <v>29</v>
      </c>
      <c r="F2469" t="s">
        <v>30</v>
      </c>
      <c r="G2469" t="s">
        <v>15</v>
      </c>
      <c r="H2469">
        <v>-9.9322984110851928E-2</v>
      </c>
      <c r="I2469">
        <v>4</v>
      </c>
      <c r="J2469" t="s">
        <v>23</v>
      </c>
      <c r="K2469" s="59" t="s">
        <v>4376</v>
      </c>
    </row>
    <row r="2470" spans="1:11" x14ac:dyDescent="0.2">
      <c r="A2470" t="s">
        <v>2509</v>
      </c>
      <c r="B2470">
        <v>2022</v>
      </c>
      <c r="C2470" t="s">
        <v>33</v>
      </c>
      <c r="D2470">
        <v>91</v>
      </c>
      <c r="E2470" t="s">
        <v>25</v>
      </c>
      <c r="F2470" t="s">
        <v>26</v>
      </c>
      <c r="G2470" t="s">
        <v>48</v>
      </c>
      <c r="H2470">
        <v>1.7877807862530299</v>
      </c>
      <c r="I2470">
        <v>2</v>
      </c>
      <c r="J2470" t="s">
        <v>16</v>
      </c>
      <c r="K2470" s="59" t="s">
        <v>16</v>
      </c>
    </row>
    <row r="2471" spans="1:11" x14ac:dyDescent="0.2">
      <c r="A2471" t="s">
        <v>2510</v>
      </c>
      <c r="B2471">
        <v>2021</v>
      </c>
      <c r="C2471" t="s">
        <v>33</v>
      </c>
      <c r="D2471">
        <v>311</v>
      </c>
      <c r="E2471" t="s">
        <v>38</v>
      </c>
      <c r="F2471" t="s">
        <v>39</v>
      </c>
      <c r="G2471" t="s">
        <v>15</v>
      </c>
      <c r="H2471">
        <v>0.60221472720671299</v>
      </c>
      <c r="I2471">
        <v>3</v>
      </c>
      <c r="J2471" t="s">
        <v>23</v>
      </c>
      <c r="K2471" s="59" t="s">
        <v>4376</v>
      </c>
    </row>
    <row r="2472" spans="1:11" x14ac:dyDescent="0.2">
      <c r="A2472" t="s">
        <v>2511</v>
      </c>
      <c r="B2472">
        <v>2021</v>
      </c>
      <c r="C2472" t="s">
        <v>33</v>
      </c>
      <c r="D2472">
        <v>411</v>
      </c>
      <c r="E2472" t="s">
        <v>29</v>
      </c>
      <c r="F2472" t="s">
        <v>30</v>
      </c>
      <c r="G2472" t="s">
        <v>15</v>
      </c>
      <c r="H2472">
        <v>0.34487221106710803</v>
      </c>
      <c r="I2472">
        <v>4</v>
      </c>
      <c r="J2472" t="s">
        <v>23</v>
      </c>
      <c r="K2472" s="59" t="s">
        <v>4376</v>
      </c>
    </row>
    <row r="2473" spans="1:11" x14ac:dyDescent="0.2">
      <c r="A2473" t="s">
        <v>2512</v>
      </c>
      <c r="B2473">
        <v>2021</v>
      </c>
      <c r="C2473" t="s">
        <v>33</v>
      </c>
      <c r="D2473">
        <v>274</v>
      </c>
      <c r="E2473" t="s">
        <v>13</v>
      </c>
      <c r="F2473" t="s">
        <v>14</v>
      </c>
      <c r="G2473" t="s">
        <v>80</v>
      </c>
      <c r="H2473">
        <v>0.67469084100501608</v>
      </c>
      <c r="I2473">
        <v>4</v>
      </c>
      <c r="J2473" t="s">
        <v>23</v>
      </c>
      <c r="K2473" s="59" t="s">
        <v>23</v>
      </c>
    </row>
    <row r="2474" spans="1:11" x14ac:dyDescent="0.2">
      <c r="A2474" t="s">
        <v>2513</v>
      </c>
      <c r="B2474">
        <v>2019</v>
      </c>
      <c r="C2474" t="s">
        <v>33</v>
      </c>
      <c r="D2474">
        <v>185</v>
      </c>
      <c r="E2474" t="s">
        <v>38</v>
      </c>
      <c r="F2474" t="s">
        <v>39</v>
      </c>
      <c r="G2474" t="s">
        <v>15</v>
      </c>
      <c r="H2474">
        <v>1.207133472294913</v>
      </c>
      <c r="I2474">
        <v>3</v>
      </c>
      <c r="J2474" t="s">
        <v>16</v>
      </c>
      <c r="K2474" s="59" t="s">
        <v>16</v>
      </c>
    </row>
    <row r="2475" spans="1:11" x14ac:dyDescent="0.2">
      <c r="A2475" t="s">
        <v>2514</v>
      </c>
      <c r="B2475">
        <v>2016</v>
      </c>
      <c r="C2475" t="s">
        <v>33</v>
      </c>
      <c r="D2475">
        <v>107</v>
      </c>
      <c r="E2475" t="s">
        <v>53</v>
      </c>
      <c r="F2475" t="s">
        <v>54</v>
      </c>
      <c r="G2475" t="s">
        <v>15</v>
      </c>
      <c r="H2475">
        <v>-2.895383998287675</v>
      </c>
      <c r="I2475">
        <v>3</v>
      </c>
      <c r="J2475" t="s">
        <v>23</v>
      </c>
      <c r="K2475" s="59" t="s">
        <v>16</v>
      </c>
    </row>
    <row r="2476" spans="1:11" x14ac:dyDescent="0.2">
      <c r="A2476" t="s">
        <v>2515</v>
      </c>
      <c r="B2476">
        <v>2021</v>
      </c>
      <c r="C2476" t="s">
        <v>19</v>
      </c>
      <c r="D2476">
        <v>235</v>
      </c>
      <c r="E2476" t="s">
        <v>13</v>
      </c>
      <c r="F2476" t="s">
        <v>14</v>
      </c>
      <c r="G2476" t="s">
        <v>41</v>
      </c>
      <c r="H2476">
        <v>-0.63326605759842547</v>
      </c>
      <c r="I2476">
        <v>4</v>
      </c>
      <c r="J2476" t="s">
        <v>23</v>
      </c>
      <c r="K2476" s="59" t="s">
        <v>16</v>
      </c>
    </row>
    <row r="2477" spans="1:11" x14ac:dyDescent="0.2">
      <c r="A2477" t="s">
        <v>2516</v>
      </c>
      <c r="B2477">
        <v>2022</v>
      </c>
      <c r="C2477" t="s">
        <v>19</v>
      </c>
      <c r="D2477">
        <v>489</v>
      </c>
      <c r="E2477" t="s">
        <v>20</v>
      </c>
      <c r="F2477" t="s">
        <v>21</v>
      </c>
      <c r="G2477" t="s">
        <v>22</v>
      </c>
      <c r="H2477">
        <v>0.53078212096980437</v>
      </c>
      <c r="I2477">
        <v>3</v>
      </c>
      <c r="J2477" t="s">
        <v>17</v>
      </c>
      <c r="K2477" s="59" t="s">
        <v>17</v>
      </c>
    </row>
    <row r="2478" spans="1:11" x14ac:dyDescent="0.2">
      <c r="A2478" t="s">
        <v>2517</v>
      </c>
      <c r="B2478">
        <v>2023</v>
      </c>
      <c r="C2478" t="s">
        <v>12</v>
      </c>
      <c r="D2478">
        <v>393</v>
      </c>
      <c r="E2478" t="s">
        <v>38</v>
      </c>
      <c r="F2478" t="s">
        <v>39</v>
      </c>
      <c r="G2478" t="s">
        <v>15</v>
      </c>
      <c r="H2478">
        <v>-5.0426212774462454E-3</v>
      </c>
      <c r="I2478">
        <v>3</v>
      </c>
      <c r="J2478" t="s">
        <v>16</v>
      </c>
      <c r="K2478" s="59" t="s">
        <v>4376</v>
      </c>
    </row>
    <row r="2479" spans="1:11" x14ac:dyDescent="0.2">
      <c r="A2479" t="s">
        <v>2518</v>
      </c>
      <c r="B2479">
        <v>2020</v>
      </c>
      <c r="C2479" t="s">
        <v>19</v>
      </c>
      <c r="D2479">
        <v>40</v>
      </c>
      <c r="E2479" t="s">
        <v>20</v>
      </c>
      <c r="F2479" t="s">
        <v>21</v>
      </c>
      <c r="G2479" t="s">
        <v>48</v>
      </c>
      <c r="H2479">
        <v>1.173666381899163E-3</v>
      </c>
      <c r="I2479">
        <v>3</v>
      </c>
      <c r="J2479" t="s">
        <v>23</v>
      </c>
      <c r="K2479" s="59" t="s">
        <v>17</v>
      </c>
    </row>
    <row r="2480" spans="1:11" x14ac:dyDescent="0.2">
      <c r="A2480" t="s">
        <v>2519</v>
      </c>
      <c r="B2480">
        <v>2019</v>
      </c>
      <c r="C2480" t="s">
        <v>19</v>
      </c>
      <c r="D2480">
        <v>129</v>
      </c>
      <c r="E2480" t="s">
        <v>25</v>
      </c>
      <c r="F2480" t="s">
        <v>26</v>
      </c>
      <c r="G2480" t="s">
        <v>15</v>
      </c>
      <c r="H2480">
        <v>-0.6445370958392419</v>
      </c>
      <c r="I2480">
        <v>2</v>
      </c>
      <c r="J2480" t="s">
        <v>16</v>
      </c>
      <c r="K2480" s="59" t="s">
        <v>4376</v>
      </c>
    </row>
    <row r="2481" spans="1:11" x14ac:dyDescent="0.2">
      <c r="A2481" t="s">
        <v>2520</v>
      </c>
      <c r="B2481">
        <v>2021</v>
      </c>
      <c r="C2481" t="s">
        <v>19</v>
      </c>
      <c r="D2481">
        <v>441</v>
      </c>
      <c r="E2481" t="s">
        <v>20</v>
      </c>
      <c r="F2481" t="s">
        <v>21</v>
      </c>
      <c r="G2481" t="s">
        <v>167</v>
      </c>
      <c r="H2481">
        <v>-0.74780621307739359</v>
      </c>
      <c r="I2481">
        <v>3</v>
      </c>
      <c r="J2481" t="s">
        <v>23</v>
      </c>
      <c r="K2481" s="59" t="s">
        <v>16</v>
      </c>
    </row>
    <row r="2482" spans="1:11" x14ac:dyDescent="0.2">
      <c r="A2482" t="s">
        <v>2521</v>
      </c>
      <c r="B2482">
        <v>2022</v>
      </c>
      <c r="C2482" t="s">
        <v>19</v>
      </c>
      <c r="D2482">
        <v>111</v>
      </c>
      <c r="E2482" t="s">
        <v>25</v>
      </c>
      <c r="F2482" t="s">
        <v>26</v>
      </c>
      <c r="G2482" t="s">
        <v>15</v>
      </c>
      <c r="H2482">
        <v>-0.317065726845146</v>
      </c>
      <c r="I2482">
        <v>2</v>
      </c>
      <c r="J2482" t="s">
        <v>23</v>
      </c>
      <c r="K2482" s="59" t="s">
        <v>17</v>
      </c>
    </row>
    <row r="2483" spans="1:11" x14ac:dyDescent="0.2">
      <c r="A2483" t="s">
        <v>2522</v>
      </c>
      <c r="B2483">
        <v>2022</v>
      </c>
      <c r="C2483" t="s">
        <v>33</v>
      </c>
      <c r="D2483">
        <v>454</v>
      </c>
      <c r="E2483" t="s">
        <v>25</v>
      </c>
      <c r="F2483" t="s">
        <v>26</v>
      </c>
      <c r="G2483" t="s">
        <v>48</v>
      </c>
      <c r="H2483">
        <v>-0.1084590432465566</v>
      </c>
      <c r="I2483">
        <v>2</v>
      </c>
      <c r="J2483" t="s">
        <v>17</v>
      </c>
      <c r="K2483" s="59" t="s">
        <v>4376</v>
      </c>
    </row>
    <row r="2484" spans="1:11" x14ac:dyDescent="0.2">
      <c r="A2484" t="s">
        <v>2523</v>
      </c>
      <c r="B2484">
        <v>2023</v>
      </c>
      <c r="C2484" t="s">
        <v>12</v>
      </c>
      <c r="D2484">
        <v>147</v>
      </c>
      <c r="E2484" t="s">
        <v>29</v>
      </c>
      <c r="F2484" t="s">
        <v>30</v>
      </c>
      <c r="G2484" t="s">
        <v>15</v>
      </c>
      <c r="H2484">
        <v>-9.9322984110851928E-2</v>
      </c>
      <c r="I2484">
        <v>4</v>
      </c>
      <c r="J2484" t="s">
        <v>23</v>
      </c>
      <c r="K2484" s="59" t="s">
        <v>4376</v>
      </c>
    </row>
    <row r="2485" spans="1:11" x14ac:dyDescent="0.2">
      <c r="A2485" t="s">
        <v>2524</v>
      </c>
      <c r="B2485">
        <v>2023</v>
      </c>
      <c r="C2485" t="s">
        <v>19</v>
      </c>
      <c r="D2485">
        <v>147</v>
      </c>
      <c r="E2485" t="s">
        <v>29</v>
      </c>
      <c r="F2485" t="s">
        <v>30</v>
      </c>
      <c r="G2485" t="s">
        <v>15</v>
      </c>
      <c r="H2485">
        <v>-9.9322984110851928E-2</v>
      </c>
      <c r="I2485">
        <v>4</v>
      </c>
      <c r="J2485" t="s">
        <v>23</v>
      </c>
      <c r="K2485" s="59" t="s">
        <v>16</v>
      </c>
    </row>
    <row r="2486" spans="1:11" x14ac:dyDescent="0.2">
      <c r="A2486" t="s">
        <v>2525</v>
      </c>
      <c r="B2486">
        <v>2020</v>
      </c>
      <c r="C2486" t="s">
        <v>19</v>
      </c>
      <c r="D2486">
        <v>73</v>
      </c>
      <c r="E2486" t="s">
        <v>25</v>
      </c>
      <c r="F2486" t="s">
        <v>26</v>
      </c>
      <c r="G2486" t="s">
        <v>15</v>
      </c>
      <c r="H2486">
        <v>-1.405779440516616</v>
      </c>
      <c r="I2486">
        <v>2</v>
      </c>
      <c r="J2486" t="s">
        <v>23</v>
      </c>
      <c r="K2486" s="59" t="s">
        <v>4376</v>
      </c>
    </row>
    <row r="2487" spans="1:11" x14ac:dyDescent="0.2">
      <c r="A2487" t="s">
        <v>2526</v>
      </c>
      <c r="B2487">
        <v>2021</v>
      </c>
      <c r="C2487" t="s">
        <v>33</v>
      </c>
      <c r="D2487">
        <v>370</v>
      </c>
      <c r="E2487" t="s">
        <v>29</v>
      </c>
      <c r="F2487" t="s">
        <v>30</v>
      </c>
      <c r="G2487" t="s">
        <v>15</v>
      </c>
      <c r="H2487">
        <v>2.804742250252339E-2</v>
      </c>
      <c r="I2487">
        <v>4</v>
      </c>
      <c r="J2487" t="s">
        <v>17</v>
      </c>
      <c r="K2487" s="59" t="s">
        <v>4376</v>
      </c>
    </row>
    <row r="2488" spans="1:11" x14ac:dyDescent="0.2">
      <c r="A2488" t="s">
        <v>2527</v>
      </c>
      <c r="B2488">
        <v>2022</v>
      </c>
      <c r="C2488" t="s">
        <v>19</v>
      </c>
      <c r="D2488">
        <v>51</v>
      </c>
      <c r="E2488" t="s">
        <v>13</v>
      </c>
      <c r="F2488" t="s">
        <v>14</v>
      </c>
      <c r="G2488" t="s">
        <v>41</v>
      </c>
      <c r="H2488">
        <v>-0.71255764732172089</v>
      </c>
      <c r="I2488">
        <v>4</v>
      </c>
      <c r="J2488" t="s">
        <v>23</v>
      </c>
      <c r="K2488" s="59" t="s">
        <v>23</v>
      </c>
    </row>
    <row r="2489" spans="1:11" x14ac:dyDescent="0.2">
      <c r="A2489" t="s">
        <v>2528</v>
      </c>
      <c r="B2489">
        <v>2020</v>
      </c>
      <c r="C2489" t="s">
        <v>19</v>
      </c>
      <c r="D2489">
        <v>404</v>
      </c>
      <c r="E2489" t="s">
        <v>25</v>
      </c>
      <c r="F2489" t="s">
        <v>26</v>
      </c>
      <c r="G2489" t="s">
        <v>15</v>
      </c>
      <c r="H2489">
        <v>0.69029355547504967</v>
      </c>
      <c r="I2489">
        <v>2</v>
      </c>
      <c r="J2489" t="s">
        <v>23</v>
      </c>
      <c r="K2489" s="59" t="s">
        <v>23</v>
      </c>
    </row>
    <row r="2490" spans="1:11" x14ac:dyDescent="0.2">
      <c r="A2490" t="s">
        <v>2529</v>
      </c>
      <c r="B2490">
        <v>2023</v>
      </c>
      <c r="C2490" t="s">
        <v>12</v>
      </c>
      <c r="D2490">
        <v>393</v>
      </c>
      <c r="E2490" t="s">
        <v>38</v>
      </c>
      <c r="F2490" t="s">
        <v>39</v>
      </c>
      <c r="G2490" t="s">
        <v>15</v>
      </c>
      <c r="H2490">
        <v>-5.0426212774462454E-3</v>
      </c>
      <c r="I2490">
        <v>3</v>
      </c>
      <c r="J2490" t="s">
        <v>16</v>
      </c>
      <c r="K2490" s="59" t="s">
        <v>23</v>
      </c>
    </row>
    <row r="2491" spans="1:11" x14ac:dyDescent="0.2">
      <c r="A2491" t="s">
        <v>2530</v>
      </c>
      <c r="B2491">
        <v>2022</v>
      </c>
      <c r="C2491" t="s">
        <v>19</v>
      </c>
      <c r="D2491">
        <v>115</v>
      </c>
      <c r="E2491" t="s">
        <v>20</v>
      </c>
      <c r="F2491" t="s">
        <v>21</v>
      </c>
      <c r="G2491" t="s">
        <v>15</v>
      </c>
      <c r="H2491">
        <v>0.35970225732901118</v>
      </c>
      <c r="I2491">
        <v>3</v>
      </c>
      <c r="J2491" t="s">
        <v>23</v>
      </c>
      <c r="K2491" s="59" t="s">
        <v>16</v>
      </c>
    </row>
    <row r="2492" spans="1:11" x14ac:dyDescent="0.2">
      <c r="A2492" t="s">
        <v>2531</v>
      </c>
      <c r="B2492">
        <v>2021</v>
      </c>
      <c r="C2492" t="s">
        <v>33</v>
      </c>
      <c r="D2492">
        <v>302</v>
      </c>
      <c r="E2492" t="s">
        <v>38</v>
      </c>
      <c r="F2492" t="s">
        <v>39</v>
      </c>
      <c r="G2492" t="s">
        <v>15</v>
      </c>
      <c r="H2492">
        <v>0.1382145534174688</v>
      </c>
      <c r="I2492">
        <v>3</v>
      </c>
      <c r="J2492" t="s">
        <v>23</v>
      </c>
      <c r="K2492" s="59" t="s">
        <v>4376</v>
      </c>
    </row>
    <row r="2493" spans="1:11" x14ac:dyDescent="0.2">
      <c r="A2493" t="s">
        <v>2532</v>
      </c>
      <c r="B2493">
        <v>2023</v>
      </c>
      <c r="C2493" t="s">
        <v>19</v>
      </c>
      <c r="D2493">
        <v>55</v>
      </c>
      <c r="E2493" t="s">
        <v>20</v>
      </c>
      <c r="F2493" t="s">
        <v>21</v>
      </c>
      <c r="G2493" t="s">
        <v>15</v>
      </c>
      <c r="H2493">
        <v>-1.3582719330109521</v>
      </c>
      <c r="I2493">
        <v>3</v>
      </c>
      <c r="J2493" t="s">
        <v>23</v>
      </c>
      <c r="K2493" s="59" t="s">
        <v>17</v>
      </c>
    </row>
    <row r="2494" spans="1:11" x14ac:dyDescent="0.2">
      <c r="A2494" t="s">
        <v>2533</v>
      </c>
      <c r="B2494">
        <v>2019</v>
      </c>
      <c r="C2494" t="s">
        <v>19</v>
      </c>
      <c r="D2494">
        <v>127</v>
      </c>
      <c r="E2494" t="s">
        <v>25</v>
      </c>
      <c r="F2494" t="s">
        <v>26</v>
      </c>
      <c r="G2494" t="s">
        <v>15</v>
      </c>
      <c r="H2494">
        <v>-1.0504232843742489</v>
      </c>
      <c r="I2494">
        <v>2</v>
      </c>
      <c r="J2494" t="s">
        <v>16</v>
      </c>
      <c r="K2494" s="59" t="s">
        <v>16</v>
      </c>
    </row>
    <row r="2495" spans="1:11" x14ac:dyDescent="0.2">
      <c r="A2495" t="s">
        <v>2534</v>
      </c>
      <c r="B2495">
        <v>2020</v>
      </c>
      <c r="C2495" t="s">
        <v>33</v>
      </c>
      <c r="D2495">
        <v>270</v>
      </c>
      <c r="E2495" t="s">
        <v>25</v>
      </c>
      <c r="F2495" t="s">
        <v>26</v>
      </c>
      <c r="G2495" t="s">
        <v>48</v>
      </c>
      <c r="H2495">
        <v>0.2386406551910252</v>
      </c>
      <c r="I2495">
        <v>2</v>
      </c>
      <c r="J2495" t="s">
        <v>16</v>
      </c>
      <c r="K2495" s="59" t="s">
        <v>4376</v>
      </c>
    </row>
    <row r="2496" spans="1:11" x14ac:dyDescent="0.2">
      <c r="A2496" t="s">
        <v>2535</v>
      </c>
      <c r="B2496">
        <v>2021</v>
      </c>
      <c r="C2496" t="s">
        <v>33</v>
      </c>
      <c r="D2496">
        <v>398</v>
      </c>
      <c r="E2496" t="s">
        <v>29</v>
      </c>
      <c r="F2496" t="s">
        <v>30</v>
      </c>
      <c r="G2496" t="s">
        <v>15</v>
      </c>
      <c r="H2496">
        <v>0.43743819565275671</v>
      </c>
      <c r="I2496">
        <v>4</v>
      </c>
      <c r="J2496" t="s">
        <v>23</v>
      </c>
      <c r="K2496" s="59" t="s">
        <v>4376</v>
      </c>
    </row>
    <row r="2497" spans="1:11" x14ac:dyDescent="0.2">
      <c r="A2497" t="s">
        <v>2536</v>
      </c>
      <c r="B2497">
        <v>2022</v>
      </c>
      <c r="C2497" t="s">
        <v>33</v>
      </c>
      <c r="D2497">
        <v>94</v>
      </c>
      <c r="E2497" t="s">
        <v>13</v>
      </c>
      <c r="F2497" t="s">
        <v>14</v>
      </c>
      <c r="G2497" t="s">
        <v>41</v>
      </c>
      <c r="H2497">
        <v>0.16196830717030089</v>
      </c>
      <c r="I2497">
        <v>4</v>
      </c>
      <c r="J2497" t="s">
        <v>23</v>
      </c>
      <c r="K2497" s="59" t="s">
        <v>4376</v>
      </c>
    </row>
    <row r="2498" spans="1:11" x14ac:dyDescent="0.2">
      <c r="A2498" t="s">
        <v>2537</v>
      </c>
      <c r="B2498">
        <v>2022</v>
      </c>
      <c r="C2498" t="s">
        <v>33</v>
      </c>
      <c r="D2498">
        <v>51</v>
      </c>
      <c r="E2498" t="s">
        <v>20</v>
      </c>
      <c r="F2498" t="s">
        <v>21</v>
      </c>
      <c r="G2498" t="s">
        <v>147</v>
      </c>
      <c r="H2498">
        <v>-0.63727564263087266</v>
      </c>
      <c r="I2498">
        <v>3</v>
      </c>
      <c r="J2498" t="s">
        <v>23</v>
      </c>
      <c r="K2498" s="59" t="s">
        <v>4376</v>
      </c>
    </row>
    <row r="2499" spans="1:11" x14ac:dyDescent="0.2">
      <c r="A2499" t="s">
        <v>2538</v>
      </c>
      <c r="B2499">
        <v>2022</v>
      </c>
      <c r="C2499" t="s">
        <v>12</v>
      </c>
      <c r="D2499">
        <v>69</v>
      </c>
      <c r="E2499" t="s">
        <v>20</v>
      </c>
      <c r="F2499" t="s">
        <v>21</v>
      </c>
      <c r="G2499" t="s">
        <v>41</v>
      </c>
      <c r="H2499">
        <v>-2.4107459454441278</v>
      </c>
      <c r="I2499">
        <v>3</v>
      </c>
      <c r="J2499" t="s">
        <v>23</v>
      </c>
      <c r="K2499" s="59" t="s">
        <v>17</v>
      </c>
    </row>
    <row r="2500" spans="1:11" x14ac:dyDescent="0.2">
      <c r="A2500" t="s">
        <v>2539</v>
      </c>
      <c r="B2500">
        <v>2021</v>
      </c>
      <c r="C2500" t="s">
        <v>12</v>
      </c>
      <c r="D2500">
        <v>342</v>
      </c>
      <c r="E2500" t="s">
        <v>38</v>
      </c>
      <c r="F2500" t="s">
        <v>39</v>
      </c>
      <c r="G2500" t="s">
        <v>15</v>
      </c>
      <c r="H2500">
        <v>0.85718977861479717</v>
      </c>
      <c r="I2500">
        <v>3</v>
      </c>
      <c r="J2500" t="s">
        <v>23</v>
      </c>
      <c r="K2500" s="59" t="s">
        <v>16</v>
      </c>
    </row>
    <row r="2501" spans="1:11" x14ac:dyDescent="0.2">
      <c r="A2501" t="s">
        <v>2540</v>
      </c>
      <c r="B2501">
        <v>2021</v>
      </c>
      <c r="C2501" t="s">
        <v>33</v>
      </c>
      <c r="D2501">
        <v>312</v>
      </c>
      <c r="E2501" t="s">
        <v>38</v>
      </c>
      <c r="F2501" t="s">
        <v>39</v>
      </c>
      <c r="G2501" t="s">
        <v>15</v>
      </c>
      <c r="H2501">
        <v>0.60221472720671299</v>
      </c>
      <c r="I2501">
        <v>3</v>
      </c>
      <c r="J2501" t="s">
        <v>23</v>
      </c>
      <c r="K2501" s="59" t="s">
        <v>4376</v>
      </c>
    </row>
    <row r="2502" spans="1:11" x14ac:dyDescent="0.2">
      <c r="A2502" t="s">
        <v>2541</v>
      </c>
      <c r="B2502">
        <v>2020</v>
      </c>
      <c r="C2502" t="s">
        <v>33</v>
      </c>
      <c r="D2502">
        <v>95</v>
      </c>
      <c r="E2502" t="s">
        <v>25</v>
      </c>
      <c r="F2502" t="s">
        <v>26</v>
      </c>
      <c r="G2502" t="s">
        <v>15</v>
      </c>
      <c r="H2502">
        <v>-1.057391052141746</v>
      </c>
      <c r="I2502">
        <v>2</v>
      </c>
      <c r="J2502" t="s">
        <v>23</v>
      </c>
      <c r="K2502" s="59" t="s">
        <v>4376</v>
      </c>
    </row>
    <row r="2503" spans="1:11" x14ac:dyDescent="0.2">
      <c r="A2503" t="s">
        <v>2542</v>
      </c>
      <c r="B2503">
        <v>2022</v>
      </c>
      <c r="C2503" t="s">
        <v>19</v>
      </c>
      <c r="D2503">
        <v>353</v>
      </c>
      <c r="E2503" t="s">
        <v>53</v>
      </c>
      <c r="F2503" t="s">
        <v>54</v>
      </c>
      <c r="G2503" t="s">
        <v>15</v>
      </c>
      <c r="H2503">
        <v>0.46058692577733279</v>
      </c>
      <c r="I2503">
        <v>3</v>
      </c>
      <c r="J2503" t="s">
        <v>16</v>
      </c>
      <c r="K2503" s="59" t="s">
        <v>17</v>
      </c>
    </row>
    <row r="2504" spans="1:11" x14ac:dyDescent="0.2">
      <c r="A2504" t="s">
        <v>2543</v>
      </c>
      <c r="B2504">
        <v>2020</v>
      </c>
      <c r="C2504" t="s">
        <v>19</v>
      </c>
      <c r="D2504">
        <v>270</v>
      </c>
      <c r="E2504" t="s">
        <v>25</v>
      </c>
      <c r="F2504" t="s">
        <v>26</v>
      </c>
      <c r="G2504" t="s">
        <v>41</v>
      </c>
      <c r="H2504">
        <v>0.2386406551910252</v>
      </c>
      <c r="I2504">
        <v>2</v>
      </c>
      <c r="J2504" t="s">
        <v>16</v>
      </c>
      <c r="K2504" s="59" t="s">
        <v>23</v>
      </c>
    </row>
    <row r="2505" spans="1:11" x14ac:dyDescent="0.2">
      <c r="A2505" t="s">
        <v>2544</v>
      </c>
      <c r="B2505">
        <v>2019</v>
      </c>
      <c r="C2505" t="s">
        <v>19</v>
      </c>
      <c r="D2505">
        <v>61</v>
      </c>
      <c r="E2505" t="s">
        <v>25</v>
      </c>
      <c r="F2505" t="s">
        <v>26</v>
      </c>
      <c r="G2505" t="s">
        <v>48</v>
      </c>
      <c r="H2505">
        <v>0.40997360058970028</v>
      </c>
      <c r="I2505">
        <v>2</v>
      </c>
      <c r="J2505" t="s">
        <v>23</v>
      </c>
      <c r="K2505" s="59" t="s">
        <v>17</v>
      </c>
    </row>
    <row r="2506" spans="1:11" x14ac:dyDescent="0.2">
      <c r="A2506" t="s">
        <v>2545</v>
      </c>
      <c r="B2506">
        <v>2023</v>
      </c>
      <c r="C2506" t="s">
        <v>12</v>
      </c>
      <c r="D2506">
        <v>82</v>
      </c>
      <c r="E2506" t="s">
        <v>20</v>
      </c>
      <c r="F2506" t="s">
        <v>21</v>
      </c>
      <c r="G2506" t="s">
        <v>15</v>
      </c>
      <c r="H2506">
        <v>-1.174255511533316</v>
      </c>
      <c r="I2506">
        <v>3</v>
      </c>
      <c r="J2506" t="s">
        <v>23</v>
      </c>
      <c r="K2506" s="59" t="s">
        <v>16</v>
      </c>
    </row>
    <row r="2507" spans="1:11" x14ac:dyDescent="0.2">
      <c r="A2507" t="s">
        <v>2546</v>
      </c>
      <c r="B2507">
        <v>2022</v>
      </c>
      <c r="C2507" t="s">
        <v>19</v>
      </c>
      <c r="D2507">
        <v>192</v>
      </c>
      <c r="E2507" t="s">
        <v>20</v>
      </c>
      <c r="F2507" t="s">
        <v>21</v>
      </c>
      <c r="G2507" t="s">
        <v>48</v>
      </c>
      <c r="H2507">
        <v>-1.6045880317087979</v>
      </c>
      <c r="I2507">
        <v>3</v>
      </c>
      <c r="J2507" t="s">
        <v>23</v>
      </c>
      <c r="K2507" s="59" t="s">
        <v>23</v>
      </c>
    </row>
    <row r="2508" spans="1:11" x14ac:dyDescent="0.2">
      <c r="A2508" t="s">
        <v>2547</v>
      </c>
      <c r="B2508">
        <v>2023</v>
      </c>
      <c r="C2508" t="s">
        <v>33</v>
      </c>
      <c r="D2508">
        <v>34</v>
      </c>
      <c r="E2508" t="s">
        <v>13</v>
      </c>
      <c r="F2508" t="s">
        <v>14</v>
      </c>
      <c r="G2508" t="s">
        <v>15</v>
      </c>
      <c r="H2508">
        <v>-0.17617336389942639</v>
      </c>
      <c r="I2508">
        <v>4</v>
      </c>
      <c r="J2508" t="s">
        <v>23</v>
      </c>
      <c r="K2508" s="59" t="s">
        <v>16</v>
      </c>
    </row>
    <row r="2509" spans="1:11" x14ac:dyDescent="0.2">
      <c r="A2509" t="s">
        <v>2548</v>
      </c>
      <c r="B2509">
        <v>2020</v>
      </c>
      <c r="C2509" t="s">
        <v>19</v>
      </c>
      <c r="D2509">
        <v>338</v>
      </c>
      <c r="E2509" t="s">
        <v>20</v>
      </c>
      <c r="F2509" t="s">
        <v>21</v>
      </c>
      <c r="G2509" t="s">
        <v>15</v>
      </c>
      <c r="H2509">
        <v>-0.65129090946161572</v>
      </c>
      <c r="I2509">
        <v>3</v>
      </c>
      <c r="J2509" t="s">
        <v>16</v>
      </c>
      <c r="K2509" s="59" t="s">
        <v>17</v>
      </c>
    </row>
    <row r="2510" spans="1:11" x14ac:dyDescent="0.2">
      <c r="A2510" t="s">
        <v>2549</v>
      </c>
      <c r="B2510">
        <v>2020</v>
      </c>
      <c r="C2510" t="s">
        <v>19</v>
      </c>
      <c r="D2510">
        <v>45</v>
      </c>
      <c r="E2510" t="s">
        <v>25</v>
      </c>
      <c r="F2510" t="s">
        <v>26</v>
      </c>
      <c r="G2510" t="s">
        <v>15</v>
      </c>
      <c r="H2510">
        <v>-2.152325987034196</v>
      </c>
      <c r="I2510">
        <v>2</v>
      </c>
      <c r="J2510" t="s">
        <v>23</v>
      </c>
      <c r="K2510" s="59" t="s">
        <v>23</v>
      </c>
    </row>
    <row r="2511" spans="1:11" x14ac:dyDescent="0.2">
      <c r="A2511" t="s">
        <v>2550</v>
      </c>
      <c r="B2511">
        <v>2018</v>
      </c>
      <c r="C2511" t="s">
        <v>19</v>
      </c>
      <c r="D2511">
        <v>150</v>
      </c>
      <c r="E2511" t="s">
        <v>20</v>
      </c>
      <c r="F2511" t="s">
        <v>21</v>
      </c>
      <c r="G2511" t="s">
        <v>15</v>
      </c>
      <c r="H2511">
        <v>0.24728791248659579</v>
      </c>
      <c r="I2511">
        <v>3</v>
      </c>
      <c r="J2511" t="s">
        <v>23</v>
      </c>
      <c r="K2511" s="59" t="s">
        <v>17</v>
      </c>
    </row>
    <row r="2512" spans="1:11" x14ac:dyDescent="0.2">
      <c r="A2512" t="s">
        <v>2551</v>
      </c>
      <c r="B2512">
        <v>2023</v>
      </c>
      <c r="C2512" t="s">
        <v>12</v>
      </c>
      <c r="D2512">
        <v>393</v>
      </c>
      <c r="E2512" t="s">
        <v>38</v>
      </c>
      <c r="F2512" t="s">
        <v>39</v>
      </c>
      <c r="G2512" t="s">
        <v>15</v>
      </c>
      <c r="H2512">
        <v>0.1161749880797895</v>
      </c>
      <c r="I2512">
        <v>3</v>
      </c>
      <c r="J2512" t="s">
        <v>16</v>
      </c>
      <c r="K2512" s="59" t="s">
        <v>4376</v>
      </c>
    </row>
    <row r="2513" spans="1:11" x14ac:dyDescent="0.2">
      <c r="A2513" t="s">
        <v>2552</v>
      </c>
      <c r="B2513">
        <v>2023</v>
      </c>
      <c r="C2513" t="s">
        <v>12</v>
      </c>
      <c r="D2513">
        <v>147</v>
      </c>
      <c r="E2513" t="s">
        <v>29</v>
      </c>
      <c r="F2513" t="s">
        <v>30</v>
      </c>
      <c r="G2513" t="s">
        <v>15</v>
      </c>
      <c r="H2513">
        <v>-9.9322984110851928E-2</v>
      </c>
      <c r="I2513">
        <v>4</v>
      </c>
      <c r="J2513" t="s">
        <v>23</v>
      </c>
      <c r="K2513" s="59" t="s">
        <v>4376</v>
      </c>
    </row>
    <row r="2514" spans="1:11" x14ac:dyDescent="0.2">
      <c r="A2514" t="s">
        <v>2553</v>
      </c>
      <c r="B2514">
        <v>2021</v>
      </c>
      <c r="C2514" t="s">
        <v>33</v>
      </c>
      <c r="D2514">
        <v>237</v>
      </c>
      <c r="E2514" t="s">
        <v>13</v>
      </c>
      <c r="F2514" t="s">
        <v>14</v>
      </c>
      <c r="G2514" t="s">
        <v>15</v>
      </c>
      <c r="H2514">
        <v>0.58555947541463693</v>
      </c>
      <c r="I2514">
        <v>4</v>
      </c>
      <c r="J2514" t="s">
        <v>23</v>
      </c>
      <c r="K2514" s="59" t="s">
        <v>23</v>
      </c>
    </row>
    <row r="2515" spans="1:11" x14ac:dyDescent="0.2">
      <c r="A2515" t="s">
        <v>2554</v>
      </c>
      <c r="B2515">
        <v>2023</v>
      </c>
      <c r="C2515" t="s">
        <v>12</v>
      </c>
      <c r="D2515">
        <v>451</v>
      </c>
      <c r="E2515" t="s">
        <v>13</v>
      </c>
      <c r="F2515" t="s">
        <v>14</v>
      </c>
      <c r="G2515" t="s">
        <v>48</v>
      </c>
      <c r="H2515">
        <v>5.1763816970086973E-2</v>
      </c>
      <c r="I2515">
        <v>4</v>
      </c>
      <c r="J2515" t="s">
        <v>23</v>
      </c>
      <c r="K2515" s="59" t="s">
        <v>16</v>
      </c>
    </row>
    <row r="2516" spans="1:11" x14ac:dyDescent="0.2">
      <c r="A2516" t="s">
        <v>2555</v>
      </c>
      <c r="B2516">
        <v>2023</v>
      </c>
      <c r="C2516" t="s">
        <v>19</v>
      </c>
      <c r="D2516">
        <v>59</v>
      </c>
      <c r="E2516" t="s">
        <v>20</v>
      </c>
      <c r="F2516" t="s">
        <v>21</v>
      </c>
      <c r="G2516" t="s">
        <v>15</v>
      </c>
      <c r="H2516">
        <v>-1.184346142820724</v>
      </c>
      <c r="I2516">
        <v>3</v>
      </c>
      <c r="J2516" t="s">
        <v>23</v>
      </c>
      <c r="K2516" s="59" t="s">
        <v>23</v>
      </c>
    </row>
    <row r="2517" spans="1:11" x14ac:dyDescent="0.2">
      <c r="A2517" t="s">
        <v>2556</v>
      </c>
      <c r="B2517">
        <v>2020</v>
      </c>
      <c r="C2517" t="s">
        <v>33</v>
      </c>
      <c r="D2517">
        <v>122</v>
      </c>
      <c r="E2517" t="s">
        <v>20</v>
      </c>
      <c r="F2517" t="s">
        <v>21</v>
      </c>
      <c r="G2517" t="s">
        <v>41</v>
      </c>
      <c r="H2517">
        <v>-1.1444881492354639</v>
      </c>
      <c r="I2517">
        <v>3</v>
      </c>
      <c r="J2517" t="s">
        <v>23</v>
      </c>
      <c r="K2517" s="59" t="s">
        <v>23</v>
      </c>
    </row>
    <row r="2518" spans="1:11" x14ac:dyDescent="0.2">
      <c r="A2518" t="s">
        <v>2557</v>
      </c>
      <c r="B2518">
        <v>2023</v>
      </c>
      <c r="C2518" t="s">
        <v>12</v>
      </c>
      <c r="D2518">
        <v>393</v>
      </c>
      <c r="E2518" t="s">
        <v>38</v>
      </c>
      <c r="F2518" t="s">
        <v>39</v>
      </c>
      <c r="G2518" t="s">
        <v>15</v>
      </c>
      <c r="H2518">
        <v>-5.0426212774462454E-3</v>
      </c>
      <c r="I2518">
        <v>3</v>
      </c>
      <c r="J2518" t="s">
        <v>16</v>
      </c>
      <c r="K2518" s="59" t="s">
        <v>4376</v>
      </c>
    </row>
    <row r="2519" spans="1:11" x14ac:dyDescent="0.2">
      <c r="A2519" t="s">
        <v>2558</v>
      </c>
      <c r="B2519">
        <v>2022</v>
      </c>
      <c r="C2519" t="s">
        <v>19</v>
      </c>
      <c r="D2519">
        <v>352</v>
      </c>
      <c r="E2519" t="s">
        <v>53</v>
      </c>
      <c r="F2519" t="s">
        <v>54</v>
      </c>
      <c r="G2519" t="s">
        <v>15</v>
      </c>
      <c r="H2519">
        <v>0.46280219742872031</v>
      </c>
      <c r="I2519">
        <v>3</v>
      </c>
      <c r="J2519" t="s">
        <v>16</v>
      </c>
      <c r="K2519" s="59" t="s">
        <v>4376</v>
      </c>
    </row>
    <row r="2520" spans="1:11" x14ac:dyDescent="0.2">
      <c r="A2520" t="s">
        <v>2559</v>
      </c>
      <c r="B2520">
        <v>2022</v>
      </c>
      <c r="C2520" t="s">
        <v>12</v>
      </c>
      <c r="D2520">
        <v>206</v>
      </c>
      <c r="E2520" t="s">
        <v>25</v>
      </c>
      <c r="F2520" t="s">
        <v>26</v>
      </c>
      <c r="G2520" t="s">
        <v>15</v>
      </c>
      <c r="H2520">
        <v>-0.12901517630189199</v>
      </c>
      <c r="I2520">
        <v>2</v>
      </c>
      <c r="J2520" t="s">
        <v>23</v>
      </c>
      <c r="K2520" s="59" t="s">
        <v>17</v>
      </c>
    </row>
    <row r="2521" spans="1:11" x14ac:dyDescent="0.2">
      <c r="A2521" t="s">
        <v>2560</v>
      </c>
      <c r="B2521">
        <v>2021</v>
      </c>
      <c r="C2521" t="s">
        <v>19</v>
      </c>
      <c r="D2521">
        <v>344</v>
      </c>
      <c r="E2521" t="s">
        <v>38</v>
      </c>
      <c r="F2521" t="s">
        <v>39</v>
      </c>
      <c r="G2521" t="s">
        <v>15</v>
      </c>
      <c r="H2521">
        <v>0.79214142143661093</v>
      </c>
      <c r="I2521">
        <v>3</v>
      </c>
      <c r="J2521" t="s">
        <v>23</v>
      </c>
      <c r="K2521" s="59" t="s">
        <v>17</v>
      </c>
    </row>
    <row r="2522" spans="1:11" x14ac:dyDescent="0.2">
      <c r="A2522" t="s">
        <v>2561</v>
      </c>
      <c r="B2522">
        <v>2020</v>
      </c>
      <c r="C2522" t="s">
        <v>33</v>
      </c>
      <c r="D2522">
        <v>70</v>
      </c>
      <c r="E2522" t="s">
        <v>20</v>
      </c>
      <c r="F2522" t="s">
        <v>21</v>
      </c>
      <c r="G2522" t="s">
        <v>147</v>
      </c>
      <c r="H2522">
        <v>-0.21809175287501251</v>
      </c>
      <c r="I2522">
        <v>3</v>
      </c>
      <c r="J2522" t="s">
        <v>23</v>
      </c>
      <c r="K2522" s="59" t="s">
        <v>4376</v>
      </c>
    </row>
    <row r="2523" spans="1:11" x14ac:dyDescent="0.2">
      <c r="A2523" t="s">
        <v>2562</v>
      </c>
      <c r="B2523">
        <v>2021</v>
      </c>
      <c r="C2523" t="s">
        <v>33</v>
      </c>
      <c r="D2523">
        <v>260</v>
      </c>
      <c r="E2523" t="s">
        <v>29</v>
      </c>
      <c r="F2523" t="s">
        <v>30</v>
      </c>
      <c r="G2523" t="s">
        <v>15</v>
      </c>
      <c r="H2523">
        <v>0.93786382097464049</v>
      </c>
      <c r="I2523">
        <v>4</v>
      </c>
      <c r="J2523" t="s">
        <v>23</v>
      </c>
      <c r="K2523" s="59" t="s">
        <v>4376</v>
      </c>
    </row>
    <row r="2524" spans="1:11" x14ac:dyDescent="0.2">
      <c r="A2524" t="s">
        <v>2563</v>
      </c>
      <c r="B2524">
        <v>2023</v>
      </c>
      <c r="C2524" t="s">
        <v>12</v>
      </c>
      <c r="D2524">
        <v>147</v>
      </c>
      <c r="E2524" t="s">
        <v>29</v>
      </c>
      <c r="F2524" t="s">
        <v>30</v>
      </c>
      <c r="G2524" t="s">
        <v>15</v>
      </c>
      <c r="H2524">
        <v>-9.9322984110851928E-2</v>
      </c>
      <c r="I2524">
        <v>4</v>
      </c>
      <c r="J2524" t="s">
        <v>23</v>
      </c>
      <c r="K2524" s="59" t="s">
        <v>4376</v>
      </c>
    </row>
    <row r="2525" spans="1:11" x14ac:dyDescent="0.2">
      <c r="A2525" t="s">
        <v>2564</v>
      </c>
      <c r="B2525">
        <v>2021</v>
      </c>
      <c r="C2525" t="s">
        <v>19</v>
      </c>
      <c r="D2525">
        <v>398</v>
      </c>
      <c r="E2525" t="s">
        <v>29</v>
      </c>
      <c r="F2525" t="s">
        <v>30</v>
      </c>
      <c r="G2525" t="s">
        <v>15</v>
      </c>
      <c r="H2525">
        <v>0.43743819565275671</v>
      </c>
      <c r="I2525">
        <v>4</v>
      </c>
      <c r="J2525" t="s">
        <v>23</v>
      </c>
      <c r="K2525" s="59" t="s">
        <v>17</v>
      </c>
    </row>
    <row r="2526" spans="1:11" x14ac:dyDescent="0.2">
      <c r="A2526" t="s">
        <v>2565</v>
      </c>
      <c r="B2526">
        <v>2021</v>
      </c>
      <c r="C2526" t="s">
        <v>33</v>
      </c>
      <c r="D2526">
        <v>411</v>
      </c>
      <c r="E2526" t="s">
        <v>38</v>
      </c>
      <c r="F2526" t="s">
        <v>39</v>
      </c>
      <c r="G2526" t="s">
        <v>15</v>
      </c>
      <c r="H2526">
        <v>0.34487221106710803</v>
      </c>
      <c r="I2526">
        <v>3</v>
      </c>
      <c r="J2526" t="s">
        <v>23</v>
      </c>
      <c r="K2526" s="59" t="s">
        <v>4376</v>
      </c>
    </row>
    <row r="2527" spans="1:11" x14ac:dyDescent="0.2">
      <c r="A2527" t="s">
        <v>2566</v>
      </c>
      <c r="B2527">
        <v>2019</v>
      </c>
      <c r="C2527" t="s">
        <v>19</v>
      </c>
      <c r="D2527">
        <v>127</v>
      </c>
      <c r="E2527" t="s">
        <v>25</v>
      </c>
      <c r="F2527" t="s">
        <v>26</v>
      </c>
      <c r="G2527" t="s">
        <v>15</v>
      </c>
      <c r="H2527">
        <v>-1.0504232843742489</v>
      </c>
      <c r="I2527">
        <v>2</v>
      </c>
      <c r="J2527" t="s">
        <v>16</v>
      </c>
      <c r="K2527" s="59" t="s">
        <v>17</v>
      </c>
    </row>
    <row r="2528" spans="1:11" x14ac:dyDescent="0.2">
      <c r="A2528" t="s">
        <v>2567</v>
      </c>
      <c r="B2528">
        <v>2022</v>
      </c>
      <c r="C2528" t="s">
        <v>12</v>
      </c>
      <c r="D2528">
        <v>138</v>
      </c>
      <c r="E2528" t="s">
        <v>25</v>
      </c>
      <c r="F2528" t="s">
        <v>26</v>
      </c>
      <c r="G2528" t="s">
        <v>15</v>
      </c>
      <c r="H2528">
        <v>-0.91463039675505087</v>
      </c>
      <c r="I2528">
        <v>2</v>
      </c>
      <c r="J2528" t="s">
        <v>23</v>
      </c>
      <c r="K2528" s="59" t="s">
        <v>16</v>
      </c>
    </row>
    <row r="2529" spans="1:11" x14ac:dyDescent="0.2">
      <c r="A2529" t="s">
        <v>2568</v>
      </c>
      <c r="B2529">
        <v>2019</v>
      </c>
      <c r="C2529" t="s">
        <v>19</v>
      </c>
      <c r="D2529">
        <v>127</v>
      </c>
      <c r="E2529" t="s">
        <v>25</v>
      </c>
      <c r="F2529" t="s">
        <v>26</v>
      </c>
      <c r="G2529" t="s">
        <v>15</v>
      </c>
      <c r="H2529">
        <v>-1.0504232843742489</v>
      </c>
      <c r="I2529">
        <v>2</v>
      </c>
      <c r="J2529" t="s">
        <v>16</v>
      </c>
      <c r="K2529" s="59" t="s">
        <v>4376</v>
      </c>
    </row>
    <row r="2530" spans="1:11" x14ac:dyDescent="0.2">
      <c r="A2530" t="s">
        <v>2569</v>
      </c>
      <c r="B2530">
        <v>2022</v>
      </c>
      <c r="C2530" t="s">
        <v>19</v>
      </c>
      <c r="D2530">
        <v>353</v>
      </c>
      <c r="E2530" t="s">
        <v>53</v>
      </c>
      <c r="F2530" t="s">
        <v>54</v>
      </c>
      <c r="G2530" t="s">
        <v>15</v>
      </c>
      <c r="H2530">
        <v>0.46058692577733279</v>
      </c>
      <c r="I2530">
        <v>3</v>
      </c>
      <c r="J2530" t="s">
        <v>16</v>
      </c>
      <c r="K2530" s="59" t="s">
        <v>4376</v>
      </c>
    </row>
    <row r="2531" spans="1:11" x14ac:dyDescent="0.2">
      <c r="A2531" t="s">
        <v>2570</v>
      </c>
      <c r="B2531">
        <v>2022</v>
      </c>
      <c r="C2531" t="s">
        <v>33</v>
      </c>
      <c r="D2531">
        <v>353</v>
      </c>
      <c r="E2531" t="s">
        <v>53</v>
      </c>
      <c r="F2531" t="s">
        <v>54</v>
      </c>
      <c r="G2531" t="s">
        <v>15</v>
      </c>
      <c r="H2531">
        <v>0.46058692577733279</v>
      </c>
      <c r="I2531">
        <v>3</v>
      </c>
      <c r="J2531" t="s">
        <v>16</v>
      </c>
      <c r="K2531" s="59" t="s">
        <v>23</v>
      </c>
    </row>
    <row r="2532" spans="1:11" x14ac:dyDescent="0.2">
      <c r="A2532" t="s">
        <v>2571</v>
      </c>
      <c r="B2532">
        <v>2021</v>
      </c>
      <c r="C2532" t="s">
        <v>19</v>
      </c>
      <c r="D2532">
        <v>311</v>
      </c>
      <c r="E2532" t="s">
        <v>29</v>
      </c>
      <c r="F2532" t="s">
        <v>30</v>
      </c>
      <c r="G2532" t="s">
        <v>15</v>
      </c>
      <c r="H2532">
        <v>0.53310179733397667</v>
      </c>
      <c r="I2532">
        <v>4</v>
      </c>
      <c r="J2532" t="s">
        <v>16</v>
      </c>
      <c r="K2532" s="59" t="s">
        <v>17</v>
      </c>
    </row>
    <row r="2533" spans="1:11" x14ac:dyDescent="0.2">
      <c r="A2533" t="s">
        <v>2572</v>
      </c>
      <c r="B2533">
        <v>2023</v>
      </c>
      <c r="C2533" t="s">
        <v>12</v>
      </c>
      <c r="D2533">
        <v>147</v>
      </c>
      <c r="E2533" t="s">
        <v>29</v>
      </c>
      <c r="F2533" t="s">
        <v>30</v>
      </c>
      <c r="G2533" t="s">
        <v>15</v>
      </c>
      <c r="H2533">
        <v>-9.9322984110851928E-2</v>
      </c>
      <c r="I2533">
        <v>4</v>
      </c>
      <c r="J2533" t="s">
        <v>23</v>
      </c>
      <c r="K2533" s="59" t="s">
        <v>4376</v>
      </c>
    </row>
    <row r="2534" spans="1:11" x14ac:dyDescent="0.2">
      <c r="A2534" t="s">
        <v>2573</v>
      </c>
      <c r="B2534">
        <v>2020</v>
      </c>
      <c r="C2534" t="s">
        <v>33</v>
      </c>
      <c r="D2534">
        <v>40</v>
      </c>
      <c r="E2534" t="s">
        <v>20</v>
      </c>
      <c r="F2534" t="s">
        <v>21</v>
      </c>
      <c r="G2534" t="s">
        <v>48</v>
      </c>
      <c r="H2534">
        <v>-2.505953298542523</v>
      </c>
      <c r="I2534">
        <v>3</v>
      </c>
      <c r="J2534" t="s">
        <v>23</v>
      </c>
      <c r="K2534" s="59" t="s">
        <v>17</v>
      </c>
    </row>
    <row r="2535" spans="1:11" x14ac:dyDescent="0.2">
      <c r="A2535" t="s">
        <v>2574</v>
      </c>
      <c r="B2535">
        <v>2023</v>
      </c>
      <c r="C2535" t="s">
        <v>12</v>
      </c>
      <c r="D2535">
        <v>147</v>
      </c>
      <c r="E2535" t="s">
        <v>29</v>
      </c>
      <c r="F2535" t="s">
        <v>30</v>
      </c>
      <c r="G2535" t="s">
        <v>15</v>
      </c>
      <c r="H2535">
        <v>-9.9322984110851928E-2</v>
      </c>
      <c r="I2535">
        <v>4</v>
      </c>
      <c r="J2535" t="s">
        <v>23</v>
      </c>
      <c r="K2535" s="59" t="s">
        <v>17</v>
      </c>
    </row>
    <row r="2536" spans="1:11" x14ac:dyDescent="0.2">
      <c r="A2536" t="s">
        <v>2575</v>
      </c>
      <c r="B2536">
        <v>2022</v>
      </c>
      <c r="C2536" t="s">
        <v>33</v>
      </c>
      <c r="D2536">
        <v>353</v>
      </c>
      <c r="E2536" t="s">
        <v>53</v>
      </c>
      <c r="F2536" t="s">
        <v>54</v>
      </c>
      <c r="G2536" t="s">
        <v>15</v>
      </c>
      <c r="H2536">
        <v>0.46280219742872031</v>
      </c>
      <c r="I2536">
        <v>3</v>
      </c>
      <c r="J2536" t="s">
        <v>16</v>
      </c>
      <c r="K2536" s="59" t="s">
        <v>4376</v>
      </c>
    </row>
    <row r="2537" spans="1:11" x14ac:dyDescent="0.2">
      <c r="A2537" t="s">
        <v>2576</v>
      </c>
      <c r="B2537">
        <v>2019</v>
      </c>
      <c r="C2537" t="s">
        <v>19</v>
      </c>
      <c r="D2537">
        <v>117</v>
      </c>
      <c r="E2537" t="s">
        <v>20</v>
      </c>
      <c r="F2537" t="s">
        <v>21</v>
      </c>
      <c r="G2537" t="s">
        <v>48</v>
      </c>
      <c r="H2537">
        <v>0.14784445358753601</v>
      </c>
      <c r="I2537">
        <v>3</v>
      </c>
      <c r="J2537" t="s">
        <v>16</v>
      </c>
      <c r="K2537" s="59" t="s">
        <v>4376</v>
      </c>
    </row>
    <row r="2538" spans="1:11" x14ac:dyDescent="0.2">
      <c r="A2538" t="s">
        <v>2577</v>
      </c>
      <c r="B2538">
        <v>2022</v>
      </c>
      <c r="C2538" t="s">
        <v>19</v>
      </c>
      <c r="D2538">
        <v>72</v>
      </c>
      <c r="E2538" t="s">
        <v>25</v>
      </c>
      <c r="F2538" t="s">
        <v>26</v>
      </c>
      <c r="G2538" t="s">
        <v>15</v>
      </c>
      <c r="H2538">
        <v>-0.1177237792714966</v>
      </c>
      <c r="I2538">
        <v>2</v>
      </c>
      <c r="J2538" t="s">
        <v>23</v>
      </c>
      <c r="K2538" s="59" t="s">
        <v>17</v>
      </c>
    </row>
    <row r="2539" spans="1:11" x14ac:dyDescent="0.2">
      <c r="A2539" t="s">
        <v>2578</v>
      </c>
      <c r="B2539">
        <v>2023</v>
      </c>
      <c r="C2539" t="s">
        <v>12</v>
      </c>
      <c r="D2539">
        <v>395</v>
      </c>
      <c r="E2539" t="s">
        <v>38</v>
      </c>
      <c r="F2539" t="s">
        <v>39</v>
      </c>
      <c r="G2539" t="s">
        <v>15</v>
      </c>
      <c r="H2539">
        <v>1.173666381899163E-3</v>
      </c>
      <c r="I2539">
        <v>3</v>
      </c>
      <c r="J2539" t="s">
        <v>16</v>
      </c>
      <c r="K2539" s="59" t="s">
        <v>4376</v>
      </c>
    </row>
    <row r="2540" spans="1:11" x14ac:dyDescent="0.2">
      <c r="A2540" t="s">
        <v>2579</v>
      </c>
      <c r="B2540">
        <v>2022</v>
      </c>
      <c r="C2540" t="s">
        <v>19</v>
      </c>
      <c r="D2540">
        <v>353</v>
      </c>
      <c r="E2540" t="s">
        <v>53</v>
      </c>
      <c r="F2540" t="s">
        <v>54</v>
      </c>
      <c r="G2540" t="s">
        <v>15</v>
      </c>
      <c r="H2540">
        <v>0.46058692577733279</v>
      </c>
      <c r="I2540">
        <v>3</v>
      </c>
      <c r="J2540" t="s">
        <v>16</v>
      </c>
      <c r="K2540" s="59" t="s">
        <v>4376</v>
      </c>
    </row>
    <row r="2541" spans="1:11" x14ac:dyDescent="0.2">
      <c r="A2541" t="s">
        <v>2580</v>
      </c>
      <c r="B2541">
        <v>2021</v>
      </c>
      <c r="C2541" t="s">
        <v>19</v>
      </c>
      <c r="D2541">
        <v>171</v>
      </c>
      <c r="E2541" t="s">
        <v>25</v>
      </c>
      <c r="F2541" t="s">
        <v>26</v>
      </c>
      <c r="G2541" t="s">
        <v>15</v>
      </c>
      <c r="H2541">
        <v>0.92208842726092755</v>
      </c>
      <c r="I2541">
        <v>2</v>
      </c>
      <c r="J2541" t="s">
        <v>23</v>
      </c>
      <c r="K2541" s="59" t="s">
        <v>16</v>
      </c>
    </row>
    <row r="2542" spans="1:11" x14ac:dyDescent="0.2">
      <c r="A2542" t="s">
        <v>2581</v>
      </c>
      <c r="B2542">
        <v>2021</v>
      </c>
      <c r="C2542" t="s">
        <v>19</v>
      </c>
      <c r="D2542">
        <v>58</v>
      </c>
      <c r="E2542" t="s">
        <v>20</v>
      </c>
      <c r="F2542" t="s">
        <v>21</v>
      </c>
      <c r="G2542" t="s">
        <v>48</v>
      </c>
      <c r="H2542">
        <v>2.0322638658143419</v>
      </c>
      <c r="I2542">
        <v>3</v>
      </c>
      <c r="J2542" t="s">
        <v>23</v>
      </c>
      <c r="K2542" s="59" t="s">
        <v>16</v>
      </c>
    </row>
    <row r="2543" spans="1:11" x14ac:dyDescent="0.2">
      <c r="A2543" t="s">
        <v>2582</v>
      </c>
      <c r="B2543">
        <v>2021</v>
      </c>
      <c r="C2543" t="s">
        <v>33</v>
      </c>
      <c r="D2543">
        <v>305</v>
      </c>
      <c r="E2543" t="s">
        <v>38</v>
      </c>
      <c r="F2543" t="s">
        <v>39</v>
      </c>
      <c r="G2543" t="s">
        <v>15</v>
      </c>
      <c r="H2543">
        <v>0.14931059755806511</v>
      </c>
      <c r="I2543">
        <v>3</v>
      </c>
      <c r="J2543" t="s">
        <v>23</v>
      </c>
      <c r="K2543" s="59" t="s">
        <v>4376</v>
      </c>
    </row>
    <row r="2544" spans="1:11" x14ac:dyDescent="0.2">
      <c r="A2544" t="s">
        <v>2583</v>
      </c>
      <c r="B2544">
        <v>2019</v>
      </c>
      <c r="C2544" t="s">
        <v>19</v>
      </c>
      <c r="D2544">
        <v>162</v>
      </c>
      <c r="E2544" t="s">
        <v>20</v>
      </c>
      <c r="F2544" t="s">
        <v>21</v>
      </c>
      <c r="G2544" t="s">
        <v>22</v>
      </c>
      <c r="H2544">
        <v>1.207133472294913</v>
      </c>
      <c r="I2544">
        <v>3</v>
      </c>
      <c r="J2544" t="s">
        <v>16</v>
      </c>
      <c r="K2544" s="59" t="s">
        <v>4376</v>
      </c>
    </row>
    <row r="2545" spans="1:11" x14ac:dyDescent="0.2">
      <c r="A2545" t="s">
        <v>2584</v>
      </c>
      <c r="B2545">
        <v>2020</v>
      </c>
      <c r="C2545" t="s">
        <v>19</v>
      </c>
      <c r="D2545">
        <v>150</v>
      </c>
      <c r="E2545" t="s">
        <v>13</v>
      </c>
      <c r="F2545" t="s">
        <v>14</v>
      </c>
      <c r="G2545" t="s">
        <v>41</v>
      </c>
      <c r="H2545">
        <v>-0.4259370982122932</v>
      </c>
      <c r="I2545">
        <v>4</v>
      </c>
      <c r="J2545" t="s">
        <v>23</v>
      </c>
      <c r="K2545" s="59" t="s">
        <v>23</v>
      </c>
    </row>
    <row r="2546" spans="1:11" x14ac:dyDescent="0.2">
      <c r="A2546" t="s">
        <v>2585</v>
      </c>
      <c r="B2546">
        <v>2021</v>
      </c>
      <c r="C2546" t="s">
        <v>33</v>
      </c>
      <c r="D2546">
        <v>236</v>
      </c>
      <c r="E2546" t="s">
        <v>13</v>
      </c>
      <c r="F2546" t="s">
        <v>14</v>
      </c>
      <c r="G2546" t="s">
        <v>15</v>
      </c>
      <c r="H2546">
        <v>0.37470103989477938</v>
      </c>
      <c r="I2546">
        <v>4</v>
      </c>
      <c r="J2546" t="s">
        <v>23</v>
      </c>
      <c r="K2546" s="59" t="s">
        <v>16</v>
      </c>
    </row>
    <row r="2547" spans="1:11" x14ac:dyDescent="0.2">
      <c r="A2547" t="s">
        <v>2586</v>
      </c>
      <c r="B2547">
        <v>2021</v>
      </c>
      <c r="C2547" t="s">
        <v>33</v>
      </c>
      <c r="D2547">
        <v>440</v>
      </c>
      <c r="E2547" t="s">
        <v>38</v>
      </c>
      <c r="F2547" t="s">
        <v>39</v>
      </c>
      <c r="G2547" t="s">
        <v>15</v>
      </c>
      <c r="H2547">
        <v>0.51117068710679503</v>
      </c>
      <c r="I2547">
        <v>3</v>
      </c>
      <c r="J2547" t="s">
        <v>23</v>
      </c>
      <c r="K2547" s="59" t="s">
        <v>4376</v>
      </c>
    </row>
    <row r="2548" spans="1:11" x14ac:dyDescent="0.2">
      <c r="A2548" t="s">
        <v>2587</v>
      </c>
      <c r="B2548">
        <v>2021</v>
      </c>
      <c r="C2548" t="s">
        <v>33</v>
      </c>
      <c r="D2548">
        <v>398</v>
      </c>
      <c r="E2548" t="s">
        <v>29</v>
      </c>
      <c r="F2548" t="s">
        <v>30</v>
      </c>
      <c r="G2548" t="s">
        <v>15</v>
      </c>
      <c r="H2548">
        <v>0.43743819565275671</v>
      </c>
      <c r="I2548">
        <v>4</v>
      </c>
      <c r="J2548" t="s">
        <v>23</v>
      </c>
      <c r="K2548" s="59" t="s">
        <v>17</v>
      </c>
    </row>
    <row r="2549" spans="1:11" x14ac:dyDescent="0.2">
      <c r="A2549" t="s">
        <v>2588</v>
      </c>
      <c r="B2549">
        <v>2023</v>
      </c>
      <c r="C2549" t="s">
        <v>33</v>
      </c>
      <c r="D2549">
        <v>40</v>
      </c>
      <c r="E2549" t="s">
        <v>13</v>
      </c>
      <c r="F2549" t="s">
        <v>14</v>
      </c>
      <c r="G2549" t="s">
        <v>48</v>
      </c>
      <c r="H2549">
        <v>-1.1444881492354639</v>
      </c>
      <c r="I2549">
        <v>4</v>
      </c>
      <c r="J2549" t="s">
        <v>23</v>
      </c>
      <c r="K2549" s="59" t="s">
        <v>16</v>
      </c>
    </row>
    <row r="2550" spans="1:11" x14ac:dyDescent="0.2">
      <c r="A2550" t="s">
        <v>2589</v>
      </c>
      <c r="B2550">
        <v>2023</v>
      </c>
      <c r="C2550" t="s">
        <v>33</v>
      </c>
      <c r="D2550">
        <v>55</v>
      </c>
      <c r="E2550" t="s">
        <v>13</v>
      </c>
      <c r="F2550" t="s">
        <v>14</v>
      </c>
      <c r="G2550" t="s">
        <v>48</v>
      </c>
      <c r="H2550">
        <v>-0.50313679790899735</v>
      </c>
      <c r="I2550">
        <v>4</v>
      </c>
      <c r="J2550" t="s">
        <v>23</v>
      </c>
      <c r="K2550" s="59" t="s">
        <v>17</v>
      </c>
    </row>
    <row r="2551" spans="1:11" x14ac:dyDescent="0.2">
      <c r="A2551" t="s">
        <v>2590</v>
      </c>
      <c r="B2551">
        <v>2023</v>
      </c>
      <c r="C2551" t="s">
        <v>12</v>
      </c>
      <c r="D2551">
        <v>229</v>
      </c>
      <c r="E2551" t="s">
        <v>25</v>
      </c>
      <c r="F2551" t="s">
        <v>26</v>
      </c>
      <c r="G2551" t="s">
        <v>15</v>
      </c>
      <c r="H2551">
        <v>0.75489854507753251</v>
      </c>
      <c r="I2551">
        <v>2</v>
      </c>
      <c r="J2551" t="s">
        <v>23</v>
      </c>
      <c r="K2551" s="59" t="s">
        <v>17</v>
      </c>
    </row>
    <row r="2552" spans="1:11" x14ac:dyDescent="0.2">
      <c r="A2552" t="s">
        <v>2591</v>
      </c>
      <c r="B2552">
        <v>2024</v>
      </c>
      <c r="C2552" t="s">
        <v>33</v>
      </c>
      <c r="D2552">
        <v>116</v>
      </c>
      <c r="E2552" t="s">
        <v>20</v>
      </c>
      <c r="F2552" t="s">
        <v>21</v>
      </c>
      <c r="G2552" t="s">
        <v>15</v>
      </c>
      <c r="H2552">
        <v>-0.91144456511984062</v>
      </c>
      <c r="I2552">
        <v>3</v>
      </c>
      <c r="J2552" t="s">
        <v>23</v>
      </c>
      <c r="K2552" s="59" t="s">
        <v>17</v>
      </c>
    </row>
    <row r="2553" spans="1:11" x14ac:dyDescent="0.2">
      <c r="A2553" t="s">
        <v>2592</v>
      </c>
      <c r="B2553">
        <v>2021</v>
      </c>
      <c r="C2553" t="s">
        <v>19</v>
      </c>
      <c r="D2553">
        <v>227</v>
      </c>
      <c r="E2553" t="s">
        <v>13</v>
      </c>
      <c r="F2553" t="s">
        <v>14</v>
      </c>
      <c r="G2553" t="s">
        <v>15</v>
      </c>
      <c r="H2553">
        <v>1.207133472294913</v>
      </c>
      <c r="I2553">
        <v>4</v>
      </c>
      <c r="J2553" t="s">
        <v>23</v>
      </c>
      <c r="K2553" s="59" t="s">
        <v>17</v>
      </c>
    </row>
    <row r="2554" spans="1:11" x14ac:dyDescent="0.2">
      <c r="A2554" t="s">
        <v>2593</v>
      </c>
      <c r="B2554">
        <v>2021</v>
      </c>
      <c r="C2554" t="s">
        <v>19</v>
      </c>
      <c r="D2554">
        <v>108</v>
      </c>
      <c r="E2554" t="s">
        <v>38</v>
      </c>
      <c r="F2554" t="s">
        <v>39</v>
      </c>
      <c r="G2554" t="s">
        <v>15</v>
      </c>
      <c r="H2554">
        <v>0.55390524409203035</v>
      </c>
      <c r="I2554">
        <v>3</v>
      </c>
      <c r="J2554" t="s">
        <v>23</v>
      </c>
      <c r="K2554" s="59" t="s">
        <v>17</v>
      </c>
    </row>
    <row r="2555" spans="1:11" x14ac:dyDescent="0.2">
      <c r="A2555" t="s">
        <v>2594</v>
      </c>
      <c r="B2555">
        <v>2021</v>
      </c>
      <c r="C2555" t="s">
        <v>19</v>
      </c>
      <c r="D2555">
        <v>305</v>
      </c>
      <c r="E2555" t="s">
        <v>13</v>
      </c>
      <c r="F2555" t="s">
        <v>14</v>
      </c>
      <c r="G2555" t="s">
        <v>48</v>
      </c>
      <c r="H2555">
        <v>0.85756809612147822</v>
      </c>
      <c r="I2555">
        <v>4</v>
      </c>
      <c r="J2555" t="s">
        <v>16</v>
      </c>
      <c r="K2555" s="59" t="s">
        <v>16</v>
      </c>
    </row>
    <row r="2556" spans="1:11" x14ac:dyDescent="0.2">
      <c r="A2556" t="s">
        <v>2595</v>
      </c>
      <c r="B2556">
        <v>2021</v>
      </c>
      <c r="C2556" t="s">
        <v>19</v>
      </c>
      <c r="D2556">
        <v>170</v>
      </c>
      <c r="E2556" t="s">
        <v>25</v>
      </c>
      <c r="F2556" t="s">
        <v>26</v>
      </c>
      <c r="G2556" t="s">
        <v>15</v>
      </c>
      <c r="H2556">
        <v>0.91859094204578673</v>
      </c>
      <c r="I2556">
        <v>2</v>
      </c>
      <c r="J2556" t="s">
        <v>23</v>
      </c>
      <c r="K2556" s="59" t="s">
        <v>16</v>
      </c>
    </row>
    <row r="2557" spans="1:11" x14ac:dyDescent="0.2">
      <c r="A2557" t="s">
        <v>2596</v>
      </c>
      <c r="B2557">
        <v>2021</v>
      </c>
      <c r="C2557" t="s">
        <v>33</v>
      </c>
      <c r="D2557">
        <v>69</v>
      </c>
      <c r="E2557" t="s">
        <v>20</v>
      </c>
      <c r="F2557" t="s">
        <v>21</v>
      </c>
      <c r="G2557" t="s">
        <v>41</v>
      </c>
      <c r="H2557">
        <v>-2.302749544914604</v>
      </c>
      <c r="I2557">
        <v>3</v>
      </c>
      <c r="J2557" t="s">
        <v>23</v>
      </c>
      <c r="K2557" s="59" t="s">
        <v>4376</v>
      </c>
    </row>
    <row r="2558" spans="1:11" x14ac:dyDescent="0.2">
      <c r="A2558" t="s">
        <v>2597</v>
      </c>
      <c r="B2558">
        <v>2024</v>
      </c>
      <c r="C2558" t="s">
        <v>19</v>
      </c>
      <c r="D2558">
        <v>166</v>
      </c>
      <c r="E2558" t="s">
        <v>25</v>
      </c>
      <c r="F2558" t="s">
        <v>26</v>
      </c>
      <c r="G2558" t="s">
        <v>15</v>
      </c>
      <c r="H2558">
        <v>0.60415356933840592</v>
      </c>
      <c r="I2558">
        <v>2</v>
      </c>
      <c r="J2558" t="s">
        <v>23</v>
      </c>
      <c r="K2558" s="59" t="s">
        <v>23</v>
      </c>
    </row>
    <row r="2559" spans="1:11" x14ac:dyDescent="0.2">
      <c r="A2559" t="s">
        <v>2598</v>
      </c>
      <c r="B2559">
        <v>2023</v>
      </c>
      <c r="C2559" t="s">
        <v>12</v>
      </c>
      <c r="D2559">
        <v>83</v>
      </c>
      <c r="E2559" t="s">
        <v>20</v>
      </c>
      <c r="F2559" t="s">
        <v>21</v>
      </c>
      <c r="G2559" t="s">
        <v>15</v>
      </c>
      <c r="H2559">
        <v>-0.49283396495596171</v>
      </c>
      <c r="I2559">
        <v>3</v>
      </c>
      <c r="J2559" t="s">
        <v>23</v>
      </c>
      <c r="K2559" s="59" t="s">
        <v>17</v>
      </c>
    </row>
    <row r="2560" spans="1:11" x14ac:dyDescent="0.2">
      <c r="A2560" t="s">
        <v>2599</v>
      </c>
      <c r="B2560">
        <v>2022</v>
      </c>
      <c r="C2560" t="s">
        <v>19</v>
      </c>
      <c r="D2560">
        <v>142</v>
      </c>
      <c r="E2560" t="s">
        <v>25</v>
      </c>
      <c r="F2560" t="s">
        <v>26</v>
      </c>
      <c r="G2560" t="s">
        <v>15</v>
      </c>
      <c r="H2560">
        <v>0.50515686885300926</v>
      </c>
      <c r="I2560">
        <v>2</v>
      </c>
      <c r="J2560" t="s">
        <v>23</v>
      </c>
      <c r="K2560" s="59" t="s">
        <v>17</v>
      </c>
    </row>
    <row r="2561" spans="1:11" x14ac:dyDescent="0.2">
      <c r="A2561" t="s">
        <v>2600</v>
      </c>
      <c r="B2561">
        <v>2021</v>
      </c>
      <c r="C2561" t="s">
        <v>19</v>
      </c>
      <c r="D2561">
        <v>119</v>
      </c>
      <c r="E2561" t="s">
        <v>20</v>
      </c>
      <c r="F2561" t="s">
        <v>21</v>
      </c>
      <c r="G2561" t="s">
        <v>15</v>
      </c>
      <c r="H2561">
        <v>0.78720103987877399</v>
      </c>
      <c r="I2561">
        <v>3</v>
      </c>
      <c r="J2561" t="s">
        <v>16</v>
      </c>
      <c r="K2561" s="59" t="s">
        <v>17</v>
      </c>
    </row>
    <row r="2562" spans="1:11" x14ac:dyDescent="0.2">
      <c r="A2562" t="s">
        <v>2601</v>
      </c>
      <c r="B2562">
        <v>2021</v>
      </c>
      <c r="C2562" t="s">
        <v>33</v>
      </c>
      <c r="D2562">
        <v>398</v>
      </c>
      <c r="E2562" t="s">
        <v>29</v>
      </c>
      <c r="F2562" t="s">
        <v>30</v>
      </c>
      <c r="G2562" t="s">
        <v>15</v>
      </c>
      <c r="H2562">
        <v>0.43743819565275671</v>
      </c>
      <c r="I2562">
        <v>4</v>
      </c>
      <c r="J2562" t="s">
        <v>23</v>
      </c>
      <c r="K2562" s="59" t="s">
        <v>4376</v>
      </c>
    </row>
    <row r="2563" spans="1:11" x14ac:dyDescent="0.2">
      <c r="A2563" t="s">
        <v>2602</v>
      </c>
      <c r="B2563">
        <v>2021</v>
      </c>
      <c r="C2563" t="s">
        <v>33</v>
      </c>
      <c r="D2563">
        <v>157</v>
      </c>
      <c r="E2563" t="s">
        <v>20</v>
      </c>
      <c r="F2563" t="s">
        <v>21</v>
      </c>
      <c r="G2563" t="s">
        <v>147</v>
      </c>
      <c r="H2563">
        <v>-0.32987412347657519</v>
      </c>
      <c r="I2563">
        <v>3</v>
      </c>
      <c r="J2563" t="s">
        <v>16</v>
      </c>
      <c r="K2563" s="59" t="s">
        <v>4376</v>
      </c>
    </row>
    <row r="2564" spans="1:11" x14ac:dyDescent="0.2">
      <c r="A2564" t="s">
        <v>2603</v>
      </c>
      <c r="B2564">
        <v>2022</v>
      </c>
      <c r="C2564" t="s">
        <v>33</v>
      </c>
      <c r="D2564">
        <v>125</v>
      </c>
      <c r="E2564" t="s">
        <v>20</v>
      </c>
      <c r="F2564" t="s">
        <v>21</v>
      </c>
      <c r="G2564" t="s">
        <v>41</v>
      </c>
      <c r="H2564">
        <v>1.207133472294913</v>
      </c>
      <c r="I2564">
        <v>3</v>
      </c>
      <c r="J2564" t="s">
        <v>17</v>
      </c>
      <c r="K2564" s="59" t="s">
        <v>4376</v>
      </c>
    </row>
    <row r="2565" spans="1:11" x14ac:dyDescent="0.2">
      <c r="A2565" t="s">
        <v>2604</v>
      </c>
      <c r="B2565">
        <v>2022</v>
      </c>
      <c r="C2565" t="s">
        <v>33</v>
      </c>
      <c r="D2565">
        <v>608</v>
      </c>
      <c r="E2565" t="s">
        <v>13</v>
      </c>
      <c r="F2565" t="s">
        <v>14</v>
      </c>
      <c r="G2565" t="s">
        <v>48</v>
      </c>
      <c r="H2565">
        <v>0.67173800679762896</v>
      </c>
      <c r="I2565">
        <v>4</v>
      </c>
      <c r="J2565" t="s">
        <v>16</v>
      </c>
      <c r="K2565" s="59" t="s">
        <v>23</v>
      </c>
    </row>
    <row r="2566" spans="1:11" x14ac:dyDescent="0.2">
      <c r="A2566" t="s">
        <v>2605</v>
      </c>
      <c r="B2566">
        <v>2023</v>
      </c>
      <c r="C2566" t="s">
        <v>19</v>
      </c>
      <c r="D2566">
        <v>176</v>
      </c>
      <c r="E2566" t="s">
        <v>25</v>
      </c>
      <c r="F2566" t="s">
        <v>26</v>
      </c>
      <c r="G2566" t="s">
        <v>15</v>
      </c>
      <c r="H2566">
        <v>0.23308901367286319</v>
      </c>
      <c r="I2566">
        <v>2</v>
      </c>
      <c r="J2566" t="s">
        <v>23</v>
      </c>
      <c r="K2566" s="59" t="s">
        <v>17</v>
      </c>
    </row>
    <row r="2567" spans="1:11" x14ac:dyDescent="0.2">
      <c r="A2567" t="s">
        <v>2606</v>
      </c>
      <c r="B2567">
        <v>2023</v>
      </c>
      <c r="C2567" t="s">
        <v>33</v>
      </c>
      <c r="D2567">
        <v>78</v>
      </c>
      <c r="E2567" t="s">
        <v>13</v>
      </c>
      <c r="F2567" t="s">
        <v>14</v>
      </c>
      <c r="G2567" t="s">
        <v>48</v>
      </c>
      <c r="H2567">
        <v>-3.056211798423274E-2</v>
      </c>
      <c r="I2567">
        <v>4</v>
      </c>
      <c r="J2567" t="s">
        <v>23</v>
      </c>
      <c r="K2567" s="59" t="s">
        <v>17</v>
      </c>
    </row>
    <row r="2568" spans="1:11" x14ac:dyDescent="0.2">
      <c r="A2568" t="s">
        <v>2607</v>
      </c>
      <c r="B2568">
        <v>2023</v>
      </c>
      <c r="C2568" t="s">
        <v>33</v>
      </c>
      <c r="D2568">
        <v>54</v>
      </c>
      <c r="E2568" t="s">
        <v>13</v>
      </c>
      <c r="F2568" t="s">
        <v>14</v>
      </c>
      <c r="G2568" t="s">
        <v>48</v>
      </c>
      <c r="H2568">
        <v>-1.405779440516616</v>
      </c>
      <c r="I2568">
        <v>4</v>
      </c>
      <c r="J2568" t="s">
        <v>23</v>
      </c>
      <c r="K2568" s="59" t="s">
        <v>4376</v>
      </c>
    </row>
    <row r="2569" spans="1:11" x14ac:dyDescent="0.2">
      <c r="A2569" t="s">
        <v>2608</v>
      </c>
      <c r="B2569">
        <v>2021</v>
      </c>
      <c r="C2569" t="s">
        <v>12</v>
      </c>
      <c r="D2569">
        <v>398</v>
      </c>
      <c r="E2569" t="s">
        <v>29</v>
      </c>
      <c r="F2569" t="s">
        <v>30</v>
      </c>
      <c r="G2569" t="s">
        <v>15</v>
      </c>
      <c r="H2569">
        <v>0.43743819565275671</v>
      </c>
      <c r="I2569">
        <v>4</v>
      </c>
      <c r="J2569" t="s">
        <v>23</v>
      </c>
      <c r="K2569" s="59" t="s">
        <v>17</v>
      </c>
    </row>
    <row r="2570" spans="1:11" x14ac:dyDescent="0.2">
      <c r="A2570" t="s">
        <v>2609</v>
      </c>
      <c r="B2570">
        <v>2022</v>
      </c>
      <c r="C2570" t="s">
        <v>33</v>
      </c>
      <c r="D2570">
        <v>36</v>
      </c>
      <c r="E2570" t="s">
        <v>20</v>
      </c>
      <c r="F2570" t="s">
        <v>21</v>
      </c>
      <c r="G2570" t="s">
        <v>15</v>
      </c>
      <c r="H2570">
        <v>-0.17617336389942639</v>
      </c>
      <c r="I2570">
        <v>3</v>
      </c>
      <c r="J2570" t="s">
        <v>23</v>
      </c>
      <c r="K2570" s="59" t="s">
        <v>23</v>
      </c>
    </row>
    <row r="2571" spans="1:11" x14ac:dyDescent="0.2">
      <c r="A2571" t="s">
        <v>2610</v>
      </c>
      <c r="B2571">
        <v>2023</v>
      </c>
      <c r="C2571" t="s">
        <v>12</v>
      </c>
      <c r="D2571">
        <v>394</v>
      </c>
      <c r="E2571" t="s">
        <v>38</v>
      </c>
      <c r="F2571" t="s">
        <v>39</v>
      </c>
      <c r="G2571" t="s">
        <v>15</v>
      </c>
      <c r="H2571">
        <v>-1.9264873608078889E-3</v>
      </c>
      <c r="I2571">
        <v>3</v>
      </c>
      <c r="J2571" t="s">
        <v>16</v>
      </c>
      <c r="K2571" s="59" t="s">
        <v>4376</v>
      </c>
    </row>
    <row r="2572" spans="1:11" x14ac:dyDescent="0.2">
      <c r="A2572" t="s">
        <v>2611</v>
      </c>
      <c r="B2572">
        <v>2022</v>
      </c>
      <c r="C2572" t="s">
        <v>19</v>
      </c>
      <c r="D2572">
        <v>353</v>
      </c>
      <c r="E2572" t="s">
        <v>53</v>
      </c>
      <c r="F2572" t="s">
        <v>54</v>
      </c>
      <c r="G2572" t="s">
        <v>15</v>
      </c>
      <c r="H2572">
        <v>0.46058692577733279</v>
      </c>
      <c r="I2572">
        <v>3</v>
      </c>
      <c r="J2572" t="s">
        <v>16</v>
      </c>
      <c r="K2572" s="59" t="s">
        <v>4376</v>
      </c>
    </row>
    <row r="2573" spans="1:11" x14ac:dyDescent="0.2">
      <c r="A2573" t="s">
        <v>2612</v>
      </c>
      <c r="B2573">
        <v>2022</v>
      </c>
      <c r="C2573" t="s">
        <v>33</v>
      </c>
      <c r="D2573">
        <v>353</v>
      </c>
      <c r="E2573" t="s">
        <v>53</v>
      </c>
      <c r="F2573" t="s">
        <v>54</v>
      </c>
      <c r="G2573" t="s">
        <v>15</v>
      </c>
      <c r="H2573">
        <v>0.46058692577733279</v>
      </c>
      <c r="I2573">
        <v>3</v>
      </c>
      <c r="J2573" t="s">
        <v>16</v>
      </c>
      <c r="K2573" s="59" t="s">
        <v>4376</v>
      </c>
    </row>
    <row r="2574" spans="1:11" x14ac:dyDescent="0.2">
      <c r="A2574" t="s">
        <v>2613</v>
      </c>
      <c r="B2574">
        <v>2023</v>
      </c>
      <c r="C2574" t="s">
        <v>12</v>
      </c>
      <c r="D2574">
        <v>155</v>
      </c>
      <c r="E2574" t="s">
        <v>13</v>
      </c>
      <c r="F2574" t="s">
        <v>14</v>
      </c>
      <c r="G2574" t="s">
        <v>15</v>
      </c>
      <c r="H2574">
        <v>-0.38180005576615261</v>
      </c>
      <c r="I2574">
        <v>4</v>
      </c>
      <c r="J2574" t="s">
        <v>23</v>
      </c>
      <c r="K2574" s="59" t="s">
        <v>23</v>
      </c>
    </row>
    <row r="2575" spans="1:11" x14ac:dyDescent="0.2">
      <c r="A2575" t="s">
        <v>2614</v>
      </c>
      <c r="B2575">
        <v>2021</v>
      </c>
      <c r="C2575" t="s">
        <v>19</v>
      </c>
      <c r="D2575">
        <v>155</v>
      </c>
      <c r="E2575" t="s">
        <v>53</v>
      </c>
      <c r="F2575" t="s">
        <v>54</v>
      </c>
      <c r="G2575" t="s">
        <v>48</v>
      </c>
      <c r="H2575">
        <v>-0.31004176740210432</v>
      </c>
      <c r="I2575">
        <v>3</v>
      </c>
      <c r="J2575" t="s">
        <v>23</v>
      </c>
      <c r="K2575" s="59" t="s">
        <v>23</v>
      </c>
    </row>
    <row r="2576" spans="1:11" x14ac:dyDescent="0.2">
      <c r="A2576" t="s">
        <v>2615</v>
      </c>
      <c r="B2576">
        <v>2023</v>
      </c>
      <c r="C2576" t="s">
        <v>12</v>
      </c>
      <c r="D2576">
        <v>395</v>
      </c>
      <c r="E2576" t="s">
        <v>38</v>
      </c>
      <c r="F2576" t="s">
        <v>39</v>
      </c>
      <c r="G2576" t="s">
        <v>15</v>
      </c>
      <c r="H2576">
        <v>1.173666381899163E-3</v>
      </c>
      <c r="I2576">
        <v>3</v>
      </c>
      <c r="J2576" t="s">
        <v>16</v>
      </c>
      <c r="K2576" s="59" t="s">
        <v>4376</v>
      </c>
    </row>
    <row r="2577" spans="1:11" x14ac:dyDescent="0.2">
      <c r="A2577" t="s">
        <v>2616</v>
      </c>
      <c r="B2577">
        <v>2020</v>
      </c>
      <c r="C2577" t="s">
        <v>33</v>
      </c>
      <c r="D2577">
        <v>94</v>
      </c>
      <c r="E2577" t="s">
        <v>13</v>
      </c>
      <c r="F2577" t="s">
        <v>14</v>
      </c>
      <c r="G2577" t="s">
        <v>48</v>
      </c>
      <c r="H2577">
        <v>-8.4966319754744668E-2</v>
      </c>
      <c r="I2577">
        <v>4</v>
      </c>
      <c r="J2577" t="s">
        <v>23</v>
      </c>
      <c r="K2577" s="59" t="s">
        <v>4376</v>
      </c>
    </row>
    <row r="2578" spans="1:11" x14ac:dyDescent="0.2">
      <c r="A2578" t="s">
        <v>2617</v>
      </c>
      <c r="B2578">
        <v>2022</v>
      </c>
      <c r="C2578" t="s">
        <v>33</v>
      </c>
      <c r="D2578">
        <v>352</v>
      </c>
      <c r="E2578" t="s">
        <v>53</v>
      </c>
      <c r="F2578" t="s">
        <v>54</v>
      </c>
      <c r="G2578" t="s">
        <v>15</v>
      </c>
      <c r="H2578">
        <v>0.46280219742872031</v>
      </c>
      <c r="I2578">
        <v>3</v>
      </c>
      <c r="J2578" t="s">
        <v>16</v>
      </c>
      <c r="K2578" s="59" t="s">
        <v>16</v>
      </c>
    </row>
    <row r="2579" spans="1:11" x14ac:dyDescent="0.2">
      <c r="A2579" t="s">
        <v>2618</v>
      </c>
      <c r="B2579">
        <v>2022</v>
      </c>
      <c r="C2579" t="s">
        <v>33</v>
      </c>
      <c r="D2579">
        <v>124</v>
      </c>
      <c r="E2579" t="s">
        <v>20</v>
      </c>
      <c r="F2579" t="s">
        <v>21</v>
      </c>
      <c r="G2579" t="s">
        <v>15</v>
      </c>
      <c r="H2579">
        <v>0.43610998982593668</v>
      </c>
      <c r="I2579">
        <v>3</v>
      </c>
      <c r="J2579" t="s">
        <v>23</v>
      </c>
      <c r="K2579" s="59" t="s">
        <v>4376</v>
      </c>
    </row>
    <row r="2580" spans="1:11" x14ac:dyDescent="0.2">
      <c r="A2580" t="s">
        <v>2619</v>
      </c>
      <c r="B2580">
        <v>2021</v>
      </c>
      <c r="C2580" t="s">
        <v>33</v>
      </c>
      <c r="D2580">
        <v>440</v>
      </c>
      <c r="E2580" t="s">
        <v>38</v>
      </c>
      <c r="F2580" t="s">
        <v>39</v>
      </c>
      <c r="G2580" t="s">
        <v>15</v>
      </c>
      <c r="H2580">
        <v>0.51117068710679503</v>
      </c>
      <c r="I2580">
        <v>3</v>
      </c>
      <c r="J2580" t="s">
        <v>23</v>
      </c>
      <c r="K2580" s="59" t="s">
        <v>4376</v>
      </c>
    </row>
    <row r="2581" spans="1:11" x14ac:dyDescent="0.2">
      <c r="A2581" t="s">
        <v>2620</v>
      </c>
      <c r="B2581">
        <v>2021</v>
      </c>
      <c r="C2581" t="s">
        <v>19</v>
      </c>
      <c r="D2581">
        <v>122</v>
      </c>
      <c r="E2581" t="s">
        <v>25</v>
      </c>
      <c r="F2581" t="s">
        <v>26</v>
      </c>
      <c r="G2581" t="s">
        <v>15</v>
      </c>
      <c r="H2581">
        <v>-0.16808385023747111</v>
      </c>
      <c r="I2581">
        <v>2</v>
      </c>
      <c r="J2581" t="s">
        <v>23</v>
      </c>
      <c r="K2581" s="59" t="s">
        <v>16</v>
      </c>
    </row>
    <row r="2582" spans="1:11" x14ac:dyDescent="0.2">
      <c r="A2582" t="s">
        <v>2621</v>
      </c>
      <c r="B2582">
        <v>2021</v>
      </c>
      <c r="C2582" t="s">
        <v>33</v>
      </c>
      <c r="D2582">
        <v>305</v>
      </c>
      <c r="E2582" t="s">
        <v>29</v>
      </c>
      <c r="F2582" t="s">
        <v>30</v>
      </c>
      <c r="G2582" t="s">
        <v>15</v>
      </c>
      <c r="H2582">
        <v>0.519971310159413</v>
      </c>
      <c r="I2582">
        <v>4</v>
      </c>
      <c r="J2582" t="s">
        <v>16</v>
      </c>
      <c r="K2582" s="59" t="s">
        <v>4376</v>
      </c>
    </row>
    <row r="2583" spans="1:11" x14ac:dyDescent="0.2">
      <c r="A2583" t="s">
        <v>2622</v>
      </c>
      <c r="B2583">
        <v>2021</v>
      </c>
      <c r="C2583" t="s">
        <v>33</v>
      </c>
      <c r="D2583">
        <v>238</v>
      </c>
      <c r="E2583" t="s">
        <v>13</v>
      </c>
      <c r="F2583" t="s">
        <v>14</v>
      </c>
      <c r="G2583" t="s">
        <v>15</v>
      </c>
      <c r="H2583">
        <v>0.79456827553519749</v>
      </c>
      <c r="I2583">
        <v>4</v>
      </c>
      <c r="J2583" t="s">
        <v>23</v>
      </c>
      <c r="K2583" s="59" t="s">
        <v>17</v>
      </c>
    </row>
    <row r="2584" spans="1:11" x14ac:dyDescent="0.2">
      <c r="A2584" t="s">
        <v>2623</v>
      </c>
      <c r="B2584">
        <v>2021</v>
      </c>
      <c r="C2584" t="s">
        <v>33</v>
      </c>
      <c r="D2584">
        <v>398</v>
      </c>
      <c r="E2584" t="s">
        <v>29</v>
      </c>
      <c r="F2584" t="s">
        <v>30</v>
      </c>
      <c r="G2584" t="s">
        <v>15</v>
      </c>
      <c r="H2584">
        <v>0.43743819565275671</v>
      </c>
      <c r="I2584">
        <v>4</v>
      </c>
      <c r="J2584" t="s">
        <v>23</v>
      </c>
      <c r="K2584" s="59" t="s">
        <v>4376</v>
      </c>
    </row>
    <row r="2585" spans="1:11" x14ac:dyDescent="0.2">
      <c r="A2585" t="s">
        <v>2624</v>
      </c>
      <c r="B2585">
        <v>2024</v>
      </c>
      <c r="C2585" t="s">
        <v>12</v>
      </c>
      <c r="D2585">
        <v>63</v>
      </c>
      <c r="E2585" t="s">
        <v>20</v>
      </c>
      <c r="F2585" t="s">
        <v>21</v>
      </c>
      <c r="G2585" t="s">
        <v>15</v>
      </c>
      <c r="H2585">
        <v>1.207133472294913</v>
      </c>
      <c r="I2585">
        <v>3</v>
      </c>
      <c r="J2585" t="s">
        <v>17</v>
      </c>
      <c r="K2585" s="59" t="s">
        <v>23</v>
      </c>
    </row>
    <row r="2586" spans="1:11" x14ac:dyDescent="0.2">
      <c r="A2586" t="s">
        <v>2625</v>
      </c>
      <c r="B2586">
        <v>2024</v>
      </c>
      <c r="C2586" t="s">
        <v>19</v>
      </c>
      <c r="D2586">
        <v>725</v>
      </c>
      <c r="E2586" t="s">
        <v>25</v>
      </c>
      <c r="F2586" t="s">
        <v>26</v>
      </c>
      <c r="G2586" t="s">
        <v>15</v>
      </c>
      <c r="H2586">
        <v>0.61428768535448153</v>
      </c>
      <c r="I2586">
        <v>2</v>
      </c>
      <c r="J2586" t="s">
        <v>23</v>
      </c>
      <c r="K2586" s="59" t="s">
        <v>23</v>
      </c>
    </row>
    <row r="2587" spans="1:11" x14ac:dyDescent="0.2">
      <c r="A2587" t="s">
        <v>2626</v>
      </c>
      <c r="B2587">
        <v>2024</v>
      </c>
      <c r="C2587" t="s">
        <v>12</v>
      </c>
      <c r="D2587">
        <v>51</v>
      </c>
      <c r="E2587" t="s">
        <v>25</v>
      </c>
      <c r="F2587" t="s">
        <v>26</v>
      </c>
      <c r="G2587" t="s">
        <v>15</v>
      </c>
      <c r="H2587">
        <v>2.166979032103229</v>
      </c>
      <c r="I2587">
        <v>2</v>
      </c>
      <c r="J2587" t="s">
        <v>17</v>
      </c>
      <c r="K2587" s="59" t="s">
        <v>23</v>
      </c>
    </row>
    <row r="2588" spans="1:11" x14ac:dyDescent="0.2">
      <c r="A2588" t="s">
        <v>2627</v>
      </c>
      <c r="B2588">
        <v>2022</v>
      </c>
      <c r="C2588" t="s">
        <v>33</v>
      </c>
      <c r="D2588">
        <v>353</v>
      </c>
      <c r="E2588" t="s">
        <v>53</v>
      </c>
      <c r="F2588" t="s">
        <v>54</v>
      </c>
      <c r="G2588" t="s">
        <v>15</v>
      </c>
      <c r="H2588">
        <v>0.46280219742872031</v>
      </c>
      <c r="I2588">
        <v>3</v>
      </c>
      <c r="J2588" t="s">
        <v>16</v>
      </c>
      <c r="K2588" s="59" t="s">
        <v>4376</v>
      </c>
    </row>
    <row r="2589" spans="1:11" x14ac:dyDescent="0.2">
      <c r="A2589" t="s">
        <v>2628</v>
      </c>
      <c r="B2589">
        <v>2022</v>
      </c>
      <c r="C2589" t="s">
        <v>19</v>
      </c>
      <c r="D2589">
        <v>100</v>
      </c>
      <c r="E2589" t="s">
        <v>25</v>
      </c>
      <c r="F2589" t="s">
        <v>26</v>
      </c>
      <c r="G2589" t="s">
        <v>15</v>
      </c>
      <c r="H2589">
        <v>3.1322661529724391E-2</v>
      </c>
      <c r="I2589">
        <v>2</v>
      </c>
      <c r="J2589" t="s">
        <v>16</v>
      </c>
      <c r="K2589" s="59" t="s">
        <v>17</v>
      </c>
    </row>
    <row r="2590" spans="1:11" x14ac:dyDescent="0.2">
      <c r="A2590" t="s">
        <v>2629</v>
      </c>
      <c r="B2590">
        <v>2019</v>
      </c>
      <c r="C2590" t="s">
        <v>19</v>
      </c>
      <c r="D2590">
        <v>120</v>
      </c>
      <c r="E2590" t="s">
        <v>25</v>
      </c>
      <c r="F2590" t="s">
        <v>26</v>
      </c>
      <c r="G2590" t="s">
        <v>15</v>
      </c>
      <c r="H2590">
        <v>-1.1444881492354639</v>
      </c>
      <c r="I2590">
        <v>2</v>
      </c>
      <c r="J2590" t="s">
        <v>16</v>
      </c>
      <c r="K2590" s="59" t="s">
        <v>17</v>
      </c>
    </row>
    <row r="2591" spans="1:11" x14ac:dyDescent="0.2">
      <c r="A2591" t="s">
        <v>2630</v>
      </c>
      <c r="B2591">
        <v>2017</v>
      </c>
      <c r="C2591" t="s">
        <v>19</v>
      </c>
      <c r="D2591">
        <v>89</v>
      </c>
      <c r="E2591" t="s">
        <v>20</v>
      </c>
      <c r="F2591" t="s">
        <v>21</v>
      </c>
      <c r="G2591" t="s">
        <v>15</v>
      </c>
      <c r="H2591">
        <v>1.7806997214486631</v>
      </c>
      <c r="I2591">
        <v>3</v>
      </c>
      <c r="J2591" t="s">
        <v>23</v>
      </c>
      <c r="K2591" s="59" t="s">
        <v>16</v>
      </c>
    </row>
    <row r="2592" spans="1:11" x14ac:dyDescent="0.2">
      <c r="A2592" t="s">
        <v>2631</v>
      </c>
      <c r="B2592">
        <v>2024</v>
      </c>
      <c r="C2592" t="s">
        <v>33</v>
      </c>
      <c r="D2592">
        <v>109</v>
      </c>
      <c r="E2592" t="s">
        <v>20</v>
      </c>
      <c r="F2592" t="s">
        <v>21</v>
      </c>
      <c r="G2592" t="s">
        <v>15</v>
      </c>
      <c r="H2592">
        <v>0.40544428313682979</v>
      </c>
      <c r="I2592">
        <v>3</v>
      </c>
      <c r="J2592" t="s">
        <v>16</v>
      </c>
      <c r="K2592" s="59" t="s">
        <v>4376</v>
      </c>
    </row>
    <row r="2593" spans="1:11" x14ac:dyDescent="0.2">
      <c r="A2593" t="s">
        <v>2632</v>
      </c>
      <c r="B2593">
        <v>2021</v>
      </c>
      <c r="C2593" t="s">
        <v>19</v>
      </c>
      <c r="D2593">
        <v>310</v>
      </c>
      <c r="E2593" t="s">
        <v>29</v>
      </c>
      <c r="F2593" t="s">
        <v>30</v>
      </c>
      <c r="G2593" t="s">
        <v>15</v>
      </c>
      <c r="H2593">
        <v>0.53094834150343062</v>
      </c>
      <c r="I2593">
        <v>4</v>
      </c>
      <c r="J2593" t="s">
        <v>16</v>
      </c>
      <c r="K2593" s="59" t="s">
        <v>17</v>
      </c>
    </row>
    <row r="2594" spans="1:11" x14ac:dyDescent="0.2">
      <c r="A2594" t="s">
        <v>2633</v>
      </c>
      <c r="B2594">
        <v>2019</v>
      </c>
      <c r="C2594" t="s">
        <v>19</v>
      </c>
      <c r="D2594">
        <v>131</v>
      </c>
      <c r="E2594" t="s">
        <v>25</v>
      </c>
      <c r="F2594" t="s">
        <v>26</v>
      </c>
      <c r="G2594" t="s">
        <v>15</v>
      </c>
      <c r="H2594">
        <v>1.207133472294913</v>
      </c>
      <c r="I2594">
        <v>2</v>
      </c>
      <c r="J2594" t="s">
        <v>23</v>
      </c>
      <c r="K2594" s="59" t="s">
        <v>4376</v>
      </c>
    </row>
    <row r="2595" spans="1:11" x14ac:dyDescent="0.2">
      <c r="A2595" t="s">
        <v>2634</v>
      </c>
      <c r="B2595">
        <v>2024</v>
      </c>
      <c r="C2595" t="s">
        <v>19</v>
      </c>
      <c r="D2595">
        <v>302</v>
      </c>
      <c r="E2595" t="s">
        <v>25</v>
      </c>
      <c r="F2595" t="s">
        <v>26</v>
      </c>
      <c r="G2595" t="s">
        <v>15</v>
      </c>
      <c r="H2595">
        <v>0.90458566133778817</v>
      </c>
      <c r="I2595">
        <v>2</v>
      </c>
      <c r="J2595" t="s">
        <v>23</v>
      </c>
      <c r="K2595" s="59" t="s">
        <v>17</v>
      </c>
    </row>
    <row r="2596" spans="1:11" x14ac:dyDescent="0.2">
      <c r="A2596" t="s">
        <v>2635</v>
      </c>
      <c r="B2596">
        <v>2022</v>
      </c>
      <c r="C2596" t="s">
        <v>12</v>
      </c>
      <c r="D2596">
        <v>92</v>
      </c>
      <c r="E2596" t="s">
        <v>20</v>
      </c>
      <c r="F2596" t="s">
        <v>21</v>
      </c>
      <c r="G2596" t="s">
        <v>41</v>
      </c>
      <c r="H2596">
        <v>0.11335597390869109</v>
      </c>
      <c r="I2596">
        <v>3</v>
      </c>
      <c r="J2596" t="s">
        <v>23</v>
      </c>
      <c r="K2596" s="59" t="s">
        <v>23</v>
      </c>
    </row>
    <row r="2597" spans="1:11" x14ac:dyDescent="0.2">
      <c r="A2597" t="s">
        <v>2636</v>
      </c>
      <c r="B2597">
        <v>2024</v>
      </c>
      <c r="C2597" t="s">
        <v>12</v>
      </c>
      <c r="D2597">
        <v>53</v>
      </c>
      <c r="E2597" t="s">
        <v>25</v>
      </c>
      <c r="F2597" t="s">
        <v>26</v>
      </c>
      <c r="G2597" t="s">
        <v>15</v>
      </c>
      <c r="H2597">
        <v>-1.4550796841545699</v>
      </c>
      <c r="I2597">
        <v>2</v>
      </c>
      <c r="J2597" t="s">
        <v>23</v>
      </c>
      <c r="K2597" s="59" t="s">
        <v>23</v>
      </c>
    </row>
    <row r="2598" spans="1:11" x14ac:dyDescent="0.2">
      <c r="A2598" t="s">
        <v>2637</v>
      </c>
      <c r="B2598">
        <v>2022</v>
      </c>
      <c r="C2598" t="s">
        <v>19</v>
      </c>
      <c r="D2598">
        <v>179</v>
      </c>
      <c r="E2598" t="s">
        <v>25</v>
      </c>
      <c r="F2598" t="s">
        <v>26</v>
      </c>
      <c r="G2598" t="s">
        <v>15</v>
      </c>
      <c r="H2598">
        <v>4.9137976844348397E-2</v>
      </c>
      <c r="I2598">
        <v>2</v>
      </c>
      <c r="J2598" t="s">
        <v>23</v>
      </c>
      <c r="K2598" s="59" t="s">
        <v>17</v>
      </c>
    </row>
    <row r="2599" spans="1:11" x14ac:dyDescent="0.2">
      <c r="A2599" t="s">
        <v>2638</v>
      </c>
      <c r="B2599">
        <v>2022</v>
      </c>
      <c r="C2599" t="s">
        <v>33</v>
      </c>
      <c r="D2599">
        <v>353</v>
      </c>
      <c r="E2599" t="s">
        <v>53</v>
      </c>
      <c r="F2599" t="s">
        <v>54</v>
      </c>
      <c r="G2599" t="s">
        <v>15</v>
      </c>
      <c r="H2599">
        <v>0.46058692577733279</v>
      </c>
      <c r="I2599">
        <v>3</v>
      </c>
      <c r="J2599" t="s">
        <v>16</v>
      </c>
      <c r="K2599" s="59" t="s">
        <v>4376</v>
      </c>
    </row>
    <row r="2600" spans="1:11" x14ac:dyDescent="0.2">
      <c r="A2600" t="s">
        <v>2639</v>
      </c>
      <c r="B2600">
        <v>2024</v>
      </c>
      <c r="C2600" t="s">
        <v>19</v>
      </c>
      <c r="D2600">
        <v>184</v>
      </c>
      <c r="E2600" t="s">
        <v>29</v>
      </c>
      <c r="F2600" t="s">
        <v>30</v>
      </c>
      <c r="G2600" t="s">
        <v>15</v>
      </c>
      <c r="H2600">
        <v>0.41888041479869709</v>
      </c>
      <c r="I2600">
        <v>4</v>
      </c>
      <c r="J2600" t="s">
        <v>16</v>
      </c>
      <c r="K2600" s="59" t="s">
        <v>16</v>
      </c>
    </row>
    <row r="2601" spans="1:11" x14ac:dyDescent="0.2">
      <c r="A2601" t="s">
        <v>2640</v>
      </c>
      <c r="B2601">
        <v>2022</v>
      </c>
      <c r="C2601" t="s">
        <v>33</v>
      </c>
      <c r="D2601">
        <v>353</v>
      </c>
      <c r="E2601" t="s">
        <v>53</v>
      </c>
      <c r="F2601" t="s">
        <v>54</v>
      </c>
      <c r="G2601" t="s">
        <v>15</v>
      </c>
      <c r="H2601">
        <v>0.46058692577733279</v>
      </c>
      <c r="I2601">
        <v>3</v>
      </c>
      <c r="J2601" t="s">
        <v>16</v>
      </c>
      <c r="K2601" s="59" t="s">
        <v>4376</v>
      </c>
    </row>
    <row r="2602" spans="1:11" x14ac:dyDescent="0.2">
      <c r="A2602" t="s">
        <v>2641</v>
      </c>
      <c r="B2602">
        <v>2023</v>
      </c>
      <c r="C2602" t="s">
        <v>12</v>
      </c>
      <c r="D2602">
        <v>395</v>
      </c>
      <c r="E2602" t="s">
        <v>38</v>
      </c>
      <c r="F2602" t="s">
        <v>39</v>
      </c>
      <c r="G2602" t="s">
        <v>15</v>
      </c>
      <c r="H2602">
        <v>1.173666381899163E-3</v>
      </c>
      <c r="I2602">
        <v>3</v>
      </c>
      <c r="J2602" t="s">
        <v>16</v>
      </c>
      <c r="K2602" s="59" t="s">
        <v>4376</v>
      </c>
    </row>
    <row r="2603" spans="1:11" x14ac:dyDescent="0.2">
      <c r="A2603" t="s">
        <v>2642</v>
      </c>
      <c r="B2603">
        <v>2023</v>
      </c>
      <c r="C2603" t="s">
        <v>12</v>
      </c>
      <c r="D2603">
        <v>265</v>
      </c>
      <c r="E2603" t="s">
        <v>25</v>
      </c>
      <c r="F2603" t="s">
        <v>26</v>
      </c>
      <c r="G2603" t="s">
        <v>15</v>
      </c>
      <c r="H2603">
        <v>-0.5948754330923488</v>
      </c>
      <c r="I2603">
        <v>2</v>
      </c>
      <c r="J2603" t="s">
        <v>23</v>
      </c>
      <c r="K2603" s="59" t="s">
        <v>17</v>
      </c>
    </row>
    <row r="2604" spans="1:11" x14ac:dyDescent="0.2">
      <c r="A2604" t="s">
        <v>2643</v>
      </c>
      <c r="B2604">
        <v>2021</v>
      </c>
      <c r="C2604" t="s">
        <v>33</v>
      </c>
      <c r="D2604">
        <v>279</v>
      </c>
      <c r="E2604" t="s">
        <v>38</v>
      </c>
      <c r="F2604" t="s">
        <v>39</v>
      </c>
      <c r="G2604" t="s">
        <v>15</v>
      </c>
      <c r="H2604">
        <v>0.87357012172322801</v>
      </c>
      <c r="I2604">
        <v>3</v>
      </c>
      <c r="J2604" t="s">
        <v>23</v>
      </c>
      <c r="K2604" s="59" t="s">
        <v>4376</v>
      </c>
    </row>
    <row r="2605" spans="1:11" x14ac:dyDescent="0.2">
      <c r="A2605" t="s">
        <v>2644</v>
      </c>
      <c r="B2605">
        <v>2024</v>
      </c>
      <c r="C2605" t="s">
        <v>19</v>
      </c>
      <c r="D2605">
        <v>235</v>
      </c>
      <c r="E2605" t="s">
        <v>20</v>
      </c>
      <c r="F2605" t="s">
        <v>21</v>
      </c>
      <c r="G2605" t="s">
        <v>15</v>
      </c>
      <c r="H2605">
        <v>0.38200307877548229</v>
      </c>
      <c r="I2605">
        <v>3</v>
      </c>
      <c r="J2605" t="s">
        <v>16</v>
      </c>
      <c r="K2605" s="59" t="s">
        <v>17</v>
      </c>
    </row>
    <row r="2606" spans="1:11" x14ac:dyDescent="0.2">
      <c r="A2606" t="s">
        <v>2645</v>
      </c>
      <c r="B2606">
        <v>2023</v>
      </c>
      <c r="C2606" t="s">
        <v>33</v>
      </c>
      <c r="D2606">
        <v>42</v>
      </c>
      <c r="E2606" t="s">
        <v>25</v>
      </c>
      <c r="F2606" t="s">
        <v>26</v>
      </c>
      <c r="G2606" t="s">
        <v>22</v>
      </c>
      <c r="H2606">
        <v>8.7313652518543006E-2</v>
      </c>
      <c r="I2606">
        <v>2</v>
      </c>
      <c r="J2606" t="s">
        <v>17</v>
      </c>
      <c r="K2606" s="59" t="s">
        <v>4376</v>
      </c>
    </row>
    <row r="2607" spans="1:11" x14ac:dyDescent="0.2">
      <c r="A2607" t="s">
        <v>2646</v>
      </c>
      <c r="B2607">
        <v>2024</v>
      </c>
      <c r="C2607" t="s">
        <v>19</v>
      </c>
      <c r="D2607">
        <v>186</v>
      </c>
      <c r="E2607" t="s">
        <v>29</v>
      </c>
      <c r="F2607" t="s">
        <v>30</v>
      </c>
      <c r="G2607" t="s">
        <v>15</v>
      </c>
      <c r="H2607">
        <v>0.42759039333456689</v>
      </c>
      <c r="I2607">
        <v>4</v>
      </c>
      <c r="J2607" t="s">
        <v>17</v>
      </c>
      <c r="K2607" s="59" t="s">
        <v>17</v>
      </c>
    </row>
    <row r="2608" spans="1:11" x14ac:dyDescent="0.2">
      <c r="A2608" t="s">
        <v>2647</v>
      </c>
      <c r="B2608">
        <v>2023</v>
      </c>
      <c r="C2608" t="s">
        <v>12</v>
      </c>
      <c r="D2608">
        <v>138</v>
      </c>
      <c r="E2608" t="s">
        <v>25</v>
      </c>
      <c r="F2608" t="s">
        <v>26</v>
      </c>
      <c r="G2608" t="s">
        <v>15</v>
      </c>
      <c r="H2608">
        <v>0.51035669554517138</v>
      </c>
      <c r="I2608">
        <v>2</v>
      </c>
      <c r="J2608" t="s">
        <v>23</v>
      </c>
      <c r="K2608" s="59" t="s">
        <v>17</v>
      </c>
    </row>
    <row r="2609" spans="1:11" x14ac:dyDescent="0.2">
      <c r="A2609" t="s">
        <v>2648</v>
      </c>
      <c r="B2609">
        <v>2024</v>
      </c>
      <c r="C2609" t="s">
        <v>19</v>
      </c>
      <c r="D2609">
        <v>184</v>
      </c>
      <c r="E2609" t="s">
        <v>29</v>
      </c>
      <c r="F2609" t="s">
        <v>30</v>
      </c>
      <c r="G2609" t="s">
        <v>15</v>
      </c>
      <c r="H2609">
        <v>0.41888041479869709</v>
      </c>
      <c r="I2609">
        <v>4</v>
      </c>
      <c r="J2609" t="s">
        <v>16</v>
      </c>
      <c r="K2609" s="59" t="s">
        <v>23</v>
      </c>
    </row>
    <row r="2610" spans="1:11" x14ac:dyDescent="0.2">
      <c r="A2610" t="s">
        <v>2649</v>
      </c>
      <c r="B2610">
        <v>2021</v>
      </c>
      <c r="C2610" t="s">
        <v>33</v>
      </c>
      <c r="D2610">
        <v>46</v>
      </c>
      <c r="E2610" t="s">
        <v>20</v>
      </c>
      <c r="F2610" t="s">
        <v>21</v>
      </c>
      <c r="G2610" t="s">
        <v>15</v>
      </c>
      <c r="H2610">
        <v>-1.9996232843374191</v>
      </c>
      <c r="I2610">
        <v>3</v>
      </c>
      <c r="J2610" t="s">
        <v>16</v>
      </c>
      <c r="K2610" s="59" t="s">
        <v>4376</v>
      </c>
    </row>
    <row r="2611" spans="1:11" x14ac:dyDescent="0.2">
      <c r="A2611" t="s">
        <v>2650</v>
      </c>
      <c r="B2611">
        <v>2023</v>
      </c>
      <c r="C2611" t="s">
        <v>19</v>
      </c>
      <c r="D2611">
        <v>156</v>
      </c>
      <c r="E2611" t="s">
        <v>53</v>
      </c>
      <c r="F2611" t="s">
        <v>54</v>
      </c>
      <c r="G2611" t="s">
        <v>15</v>
      </c>
      <c r="H2611">
        <v>-1.04784616478901</v>
      </c>
      <c r="I2611">
        <v>3</v>
      </c>
      <c r="J2611" t="s">
        <v>23</v>
      </c>
      <c r="K2611" s="59" t="s">
        <v>23</v>
      </c>
    </row>
    <row r="2612" spans="1:11" x14ac:dyDescent="0.2">
      <c r="A2612" t="s">
        <v>2651</v>
      </c>
      <c r="B2612">
        <v>2024</v>
      </c>
      <c r="C2612" t="s">
        <v>19</v>
      </c>
      <c r="D2612">
        <v>176</v>
      </c>
      <c r="E2612" t="s">
        <v>29</v>
      </c>
      <c r="F2612" t="s">
        <v>30</v>
      </c>
      <c r="G2612" t="s">
        <v>15</v>
      </c>
      <c r="H2612">
        <v>0.38200307877548229</v>
      </c>
      <c r="I2612">
        <v>4</v>
      </c>
      <c r="J2612" t="s">
        <v>17</v>
      </c>
      <c r="K2612" s="59" t="s">
        <v>17</v>
      </c>
    </row>
    <row r="2613" spans="1:11" x14ac:dyDescent="0.2">
      <c r="A2613" t="s">
        <v>2652</v>
      </c>
      <c r="B2613">
        <v>2023</v>
      </c>
      <c r="C2613" t="s">
        <v>12</v>
      </c>
      <c r="D2613">
        <v>156</v>
      </c>
      <c r="E2613" t="s">
        <v>53</v>
      </c>
      <c r="F2613" t="s">
        <v>54</v>
      </c>
      <c r="G2613" t="s">
        <v>15</v>
      </c>
      <c r="H2613">
        <v>-1.04784616478901</v>
      </c>
      <c r="I2613">
        <v>3</v>
      </c>
      <c r="J2613" t="s">
        <v>23</v>
      </c>
      <c r="K2613" s="59" t="s">
        <v>23</v>
      </c>
    </row>
    <row r="2614" spans="1:11" x14ac:dyDescent="0.2">
      <c r="A2614" t="s">
        <v>2653</v>
      </c>
      <c r="B2614">
        <v>2024</v>
      </c>
      <c r="C2614" t="s">
        <v>19</v>
      </c>
      <c r="D2614">
        <v>179</v>
      </c>
      <c r="E2614" t="s">
        <v>29</v>
      </c>
      <c r="F2614" t="s">
        <v>30</v>
      </c>
      <c r="G2614" t="s">
        <v>15</v>
      </c>
      <c r="H2614">
        <v>0.39622946487064492</v>
      </c>
      <c r="I2614">
        <v>4</v>
      </c>
      <c r="J2614" t="s">
        <v>17</v>
      </c>
      <c r="K2614" s="59" t="s">
        <v>16</v>
      </c>
    </row>
    <row r="2615" spans="1:11" x14ac:dyDescent="0.2">
      <c r="A2615" t="s">
        <v>2654</v>
      </c>
      <c r="B2615">
        <v>2020</v>
      </c>
      <c r="C2615" t="s">
        <v>12</v>
      </c>
      <c r="D2615">
        <v>89</v>
      </c>
      <c r="E2615" t="s">
        <v>20</v>
      </c>
      <c r="F2615" t="s">
        <v>21</v>
      </c>
      <c r="G2615" t="s">
        <v>15</v>
      </c>
      <c r="H2615">
        <v>1.207133472294913</v>
      </c>
      <c r="I2615">
        <v>3</v>
      </c>
      <c r="J2615" t="s">
        <v>23</v>
      </c>
      <c r="K2615" s="59" t="s">
        <v>17</v>
      </c>
    </row>
    <row r="2616" spans="1:11" x14ac:dyDescent="0.2">
      <c r="A2616" t="s">
        <v>2655</v>
      </c>
      <c r="B2616">
        <v>2024</v>
      </c>
      <c r="C2616" t="s">
        <v>19</v>
      </c>
      <c r="D2616">
        <v>176</v>
      </c>
      <c r="E2616" t="s">
        <v>29</v>
      </c>
      <c r="F2616" t="s">
        <v>30</v>
      </c>
      <c r="G2616" t="s">
        <v>15</v>
      </c>
      <c r="H2616">
        <v>0.38200307877548229</v>
      </c>
      <c r="I2616">
        <v>4</v>
      </c>
      <c r="J2616" t="s">
        <v>16</v>
      </c>
      <c r="K2616" s="59" t="s">
        <v>16</v>
      </c>
    </row>
    <row r="2617" spans="1:11" x14ac:dyDescent="0.2">
      <c r="A2617" t="s">
        <v>2656</v>
      </c>
      <c r="B2617">
        <v>2022</v>
      </c>
      <c r="C2617" t="s">
        <v>33</v>
      </c>
      <c r="D2617">
        <v>353</v>
      </c>
      <c r="E2617" t="s">
        <v>53</v>
      </c>
      <c r="F2617" t="s">
        <v>54</v>
      </c>
      <c r="G2617" t="s">
        <v>15</v>
      </c>
      <c r="H2617">
        <v>0.46058692577733279</v>
      </c>
      <c r="I2617">
        <v>3</v>
      </c>
      <c r="J2617" t="s">
        <v>16</v>
      </c>
      <c r="K2617" s="59" t="s">
        <v>4376</v>
      </c>
    </row>
    <row r="2618" spans="1:11" x14ac:dyDescent="0.2">
      <c r="A2618" t="s">
        <v>2657</v>
      </c>
      <c r="B2618">
        <v>2021</v>
      </c>
      <c r="C2618" t="s">
        <v>33</v>
      </c>
      <c r="D2618">
        <v>276</v>
      </c>
      <c r="E2618" t="s">
        <v>38</v>
      </c>
      <c r="F2618" t="s">
        <v>39</v>
      </c>
      <c r="G2618" t="s">
        <v>15</v>
      </c>
      <c r="H2618">
        <v>0.86998341902890874</v>
      </c>
      <c r="I2618">
        <v>3</v>
      </c>
      <c r="J2618" t="s">
        <v>23</v>
      </c>
      <c r="K2618" s="59" t="s">
        <v>4376</v>
      </c>
    </row>
    <row r="2619" spans="1:11" x14ac:dyDescent="0.2">
      <c r="A2619" t="s">
        <v>2658</v>
      </c>
      <c r="B2619">
        <v>2022</v>
      </c>
      <c r="C2619" t="s">
        <v>33</v>
      </c>
      <c r="D2619">
        <v>353</v>
      </c>
      <c r="E2619" t="s">
        <v>53</v>
      </c>
      <c r="F2619" t="s">
        <v>54</v>
      </c>
      <c r="G2619" t="s">
        <v>15</v>
      </c>
      <c r="H2619">
        <v>0.46058692577733279</v>
      </c>
      <c r="I2619">
        <v>3</v>
      </c>
      <c r="J2619" t="s">
        <v>16</v>
      </c>
      <c r="K2619" s="59" t="s">
        <v>4376</v>
      </c>
    </row>
    <row r="2620" spans="1:11" x14ac:dyDescent="0.2">
      <c r="A2620" t="s">
        <v>2659</v>
      </c>
      <c r="B2620">
        <v>2024</v>
      </c>
      <c r="C2620" t="s">
        <v>12</v>
      </c>
      <c r="D2620">
        <v>218</v>
      </c>
      <c r="E2620" t="s">
        <v>25</v>
      </c>
      <c r="F2620" t="s">
        <v>26</v>
      </c>
      <c r="G2620" t="s">
        <v>15</v>
      </c>
      <c r="H2620">
        <v>0.76551438843944286</v>
      </c>
      <c r="I2620">
        <v>2</v>
      </c>
      <c r="J2620" t="s">
        <v>16</v>
      </c>
      <c r="K2620" s="59" t="s">
        <v>16</v>
      </c>
    </row>
    <row r="2621" spans="1:11" x14ac:dyDescent="0.2">
      <c r="A2621" t="s">
        <v>2660</v>
      </c>
      <c r="B2621">
        <v>2022</v>
      </c>
      <c r="C2621" t="s">
        <v>33</v>
      </c>
      <c r="D2621">
        <v>353</v>
      </c>
      <c r="E2621" t="s">
        <v>53</v>
      </c>
      <c r="F2621" t="s">
        <v>54</v>
      </c>
      <c r="G2621" t="s">
        <v>15</v>
      </c>
      <c r="H2621">
        <v>0.46058692577733279</v>
      </c>
      <c r="I2621">
        <v>3</v>
      </c>
      <c r="J2621" t="s">
        <v>16</v>
      </c>
      <c r="K2621" s="59" t="s">
        <v>4376</v>
      </c>
    </row>
    <row r="2622" spans="1:11" x14ac:dyDescent="0.2">
      <c r="A2622" t="s">
        <v>2661</v>
      </c>
      <c r="B2622">
        <v>2021</v>
      </c>
      <c r="C2622" t="s">
        <v>12</v>
      </c>
      <c r="D2622">
        <v>129</v>
      </c>
      <c r="E2622" t="s">
        <v>20</v>
      </c>
      <c r="F2622" t="s">
        <v>21</v>
      </c>
      <c r="G2622" t="s">
        <v>15</v>
      </c>
      <c r="H2622">
        <v>-0.72042523387752677</v>
      </c>
      <c r="I2622">
        <v>3</v>
      </c>
      <c r="J2622" t="s">
        <v>23</v>
      </c>
      <c r="K2622" s="59" t="s">
        <v>23</v>
      </c>
    </row>
    <row r="2623" spans="1:11" x14ac:dyDescent="0.2">
      <c r="A2623" t="s">
        <v>2662</v>
      </c>
      <c r="B2623">
        <v>2022</v>
      </c>
      <c r="C2623" t="s">
        <v>19</v>
      </c>
      <c r="D2623">
        <v>103</v>
      </c>
      <c r="E2623" t="s">
        <v>20</v>
      </c>
      <c r="F2623" t="s">
        <v>21</v>
      </c>
      <c r="G2623" t="s">
        <v>15</v>
      </c>
      <c r="H2623">
        <v>0.7272106923907542</v>
      </c>
      <c r="I2623">
        <v>3</v>
      </c>
      <c r="J2623" t="s">
        <v>23</v>
      </c>
      <c r="K2623" s="59" t="s">
        <v>23</v>
      </c>
    </row>
    <row r="2624" spans="1:11" x14ac:dyDescent="0.2">
      <c r="A2624" t="s">
        <v>2663</v>
      </c>
      <c r="B2624">
        <v>2020</v>
      </c>
      <c r="C2624" t="s">
        <v>12</v>
      </c>
      <c r="D2624">
        <v>254</v>
      </c>
      <c r="E2624" t="s">
        <v>20</v>
      </c>
      <c r="F2624" t="s">
        <v>21</v>
      </c>
      <c r="G2624" t="s">
        <v>15</v>
      </c>
      <c r="H2624">
        <v>1.621516136881763</v>
      </c>
      <c r="I2624">
        <v>3</v>
      </c>
      <c r="J2624" t="s">
        <v>23</v>
      </c>
      <c r="K2624" s="59" t="s">
        <v>23</v>
      </c>
    </row>
    <row r="2625" spans="1:11" x14ac:dyDescent="0.2">
      <c r="A2625" t="s">
        <v>2664</v>
      </c>
      <c r="B2625">
        <v>2024</v>
      </c>
      <c r="C2625" t="s">
        <v>19</v>
      </c>
      <c r="D2625">
        <v>185</v>
      </c>
      <c r="E2625" t="s">
        <v>29</v>
      </c>
      <c r="F2625" t="s">
        <v>30</v>
      </c>
      <c r="G2625" t="s">
        <v>15</v>
      </c>
      <c r="H2625">
        <v>0.42325959845145378</v>
      </c>
      <c r="I2625">
        <v>4</v>
      </c>
      <c r="J2625" t="s">
        <v>16</v>
      </c>
      <c r="K2625" s="59" t="s">
        <v>23</v>
      </c>
    </row>
    <row r="2626" spans="1:11" x14ac:dyDescent="0.2">
      <c r="A2626" t="s">
        <v>2665</v>
      </c>
      <c r="B2626">
        <v>2024</v>
      </c>
      <c r="C2626" t="s">
        <v>33</v>
      </c>
      <c r="D2626">
        <v>176</v>
      </c>
      <c r="E2626" t="s">
        <v>29</v>
      </c>
      <c r="F2626" t="s">
        <v>30</v>
      </c>
      <c r="G2626" t="s">
        <v>15</v>
      </c>
      <c r="H2626">
        <v>0.38200307877548229</v>
      </c>
      <c r="I2626">
        <v>4</v>
      </c>
      <c r="J2626" t="s">
        <v>17</v>
      </c>
      <c r="K2626" s="59" t="s">
        <v>4376</v>
      </c>
    </row>
    <row r="2627" spans="1:11" x14ac:dyDescent="0.2">
      <c r="A2627" t="s">
        <v>2666</v>
      </c>
      <c r="B2627">
        <v>2021</v>
      </c>
      <c r="C2627" t="s">
        <v>33</v>
      </c>
      <c r="D2627">
        <v>236</v>
      </c>
      <c r="E2627" t="s">
        <v>13</v>
      </c>
      <c r="F2627" t="s">
        <v>14</v>
      </c>
      <c r="G2627" t="s">
        <v>48</v>
      </c>
      <c r="H2627">
        <v>0.79091725609484598</v>
      </c>
      <c r="I2627">
        <v>4</v>
      </c>
      <c r="J2627" t="s">
        <v>23</v>
      </c>
      <c r="K2627" s="59" t="s">
        <v>4376</v>
      </c>
    </row>
    <row r="2628" spans="1:11" x14ac:dyDescent="0.2">
      <c r="A2628" t="s">
        <v>2667</v>
      </c>
      <c r="B2628">
        <v>2024</v>
      </c>
      <c r="C2628" t="s">
        <v>19</v>
      </c>
      <c r="D2628">
        <v>198</v>
      </c>
      <c r="E2628" t="s">
        <v>29</v>
      </c>
      <c r="F2628" t="s">
        <v>30</v>
      </c>
      <c r="G2628" t="s">
        <v>15</v>
      </c>
      <c r="H2628">
        <v>0.47225171556667001</v>
      </c>
      <c r="I2628">
        <v>4</v>
      </c>
      <c r="J2628" t="s">
        <v>23</v>
      </c>
      <c r="K2628" s="59" t="s">
        <v>17</v>
      </c>
    </row>
    <row r="2629" spans="1:11" x14ac:dyDescent="0.2">
      <c r="A2629" t="s">
        <v>2668</v>
      </c>
      <c r="B2629">
        <v>2024</v>
      </c>
      <c r="C2629" t="s">
        <v>33</v>
      </c>
      <c r="D2629">
        <v>37</v>
      </c>
      <c r="E2629" t="s">
        <v>20</v>
      </c>
      <c r="F2629" t="s">
        <v>21</v>
      </c>
      <c r="G2629" t="s">
        <v>48</v>
      </c>
      <c r="H2629">
        <v>-9.9322984110851928E-2</v>
      </c>
      <c r="I2629">
        <v>3</v>
      </c>
      <c r="J2629" t="s">
        <v>23</v>
      </c>
      <c r="K2629" s="59" t="s">
        <v>4376</v>
      </c>
    </row>
    <row r="2630" spans="1:11" x14ac:dyDescent="0.2">
      <c r="A2630" t="s">
        <v>2669</v>
      </c>
      <c r="B2630">
        <v>2021</v>
      </c>
      <c r="C2630" t="s">
        <v>33</v>
      </c>
      <c r="D2630">
        <v>276</v>
      </c>
      <c r="E2630" t="s">
        <v>38</v>
      </c>
      <c r="F2630" t="s">
        <v>39</v>
      </c>
      <c r="G2630" t="s">
        <v>15</v>
      </c>
      <c r="H2630">
        <v>0.86998341902890874</v>
      </c>
      <c r="I2630">
        <v>3</v>
      </c>
      <c r="J2630" t="s">
        <v>23</v>
      </c>
      <c r="K2630" s="59" t="s">
        <v>4376</v>
      </c>
    </row>
    <row r="2631" spans="1:11" x14ac:dyDescent="0.2">
      <c r="A2631" t="s">
        <v>2670</v>
      </c>
      <c r="B2631">
        <v>2023</v>
      </c>
      <c r="C2631" t="s">
        <v>19</v>
      </c>
      <c r="D2631">
        <v>156</v>
      </c>
      <c r="E2631" t="s">
        <v>53</v>
      </c>
      <c r="F2631" t="s">
        <v>54</v>
      </c>
      <c r="G2631" t="s">
        <v>15</v>
      </c>
      <c r="H2631">
        <v>-1.04784616478901</v>
      </c>
      <c r="I2631">
        <v>3</v>
      </c>
      <c r="J2631" t="s">
        <v>23</v>
      </c>
      <c r="K2631" s="59" t="s">
        <v>23</v>
      </c>
    </row>
    <row r="2632" spans="1:11" x14ac:dyDescent="0.2">
      <c r="A2632" t="s">
        <v>2671</v>
      </c>
      <c r="B2632">
        <v>2021</v>
      </c>
      <c r="C2632" t="s">
        <v>33</v>
      </c>
      <c r="D2632">
        <v>440</v>
      </c>
      <c r="E2632" t="s">
        <v>38</v>
      </c>
      <c r="F2632" t="s">
        <v>39</v>
      </c>
      <c r="G2632" t="s">
        <v>15</v>
      </c>
      <c r="H2632">
        <v>0.51117068710679503</v>
      </c>
      <c r="I2632">
        <v>3</v>
      </c>
      <c r="J2632" t="s">
        <v>23</v>
      </c>
      <c r="K2632" s="59" t="s">
        <v>4376</v>
      </c>
    </row>
    <row r="2633" spans="1:11" x14ac:dyDescent="0.2">
      <c r="A2633" t="s">
        <v>2672</v>
      </c>
      <c r="B2633">
        <v>2024</v>
      </c>
      <c r="C2633" t="s">
        <v>19</v>
      </c>
      <c r="D2633">
        <v>176</v>
      </c>
      <c r="E2633" t="s">
        <v>29</v>
      </c>
      <c r="F2633" t="s">
        <v>30</v>
      </c>
      <c r="G2633" t="s">
        <v>15</v>
      </c>
      <c r="H2633">
        <v>0.38200307877548229</v>
      </c>
      <c r="I2633">
        <v>4</v>
      </c>
      <c r="J2633" t="s">
        <v>17</v>
      </c>
      <c r="K2633" s="59" t="s">
        <v>17</v>
      </c>
    </row>
    <row r="2634" spans="1:11" x14ac:dyDescent="0.2">
      <c r="A2634" t="s">
        <v>2673</v>
      </c>
      <c r="B2634">
        <v>2022</v>
      </c>
      <c r="C2634" t="s">
        <v>33</v>
      </c>
      <c r="D2634">
        <v>353</v>
      </c>
      <c r="E2634" t="s">
        <v>53</v>
      </c>
      <c r="F2634" t="s">
        <v>54</v>
      </c>
      <c r="G2634" t="s">
        <v>15</v>
      </c>
      <c r="H2634">
        <v>0.46280219742872031</v>
      </c>
      <c r="I2634">
        <v>3</v>
      </c>
      <c r="J2634" t="s">
        <v>16</v>
      </c>
      <c r="K2634" s="59" t="s">
        <v>17</v>
      </c>
    </row>
    <row r="2635" spans="1:11" x14ac:dyDescent="0.2">
      <c r="A2635" t="s">
        <v>2674</v>
      </c>
      <c r="B2635">
        <v>2021</v>
      </c>
      <c r="C2635" t="s">
        <v>19</v>
      </c>
      <c r="D2635">
        <v>295</v>
      </c>
      <c r="E2635" t="s">
        <v>38</v>
      </c>
      <c r="F2635" t="s">
        <v>39</v>
      </c>
      <c r="G2635" t="s">
        <v>15</v>
      </c>
      <c r="H2635">
        <v>0.29629411184300641</v>
      </c>
      <c r="I2635">
        <v>3</v>
      </c>
      <c r="J2635" t="s">
        <v>16</v>
      </c>
      <c r="K2635" s="59" t="s">
        <v>23</v>
      </c>
    </row>
    <row r="2636" spans="1:11" x14ac:dyDescent="0.2">
      <c r="A2636" t="s">
        <v>2675</v>
      </c>
      <c r="B2636">
        <v>2024</v>
      </c>
      <c r="C2636" t="s">
        <v>19</v>
      </c>
      <c r="D2636">
        <v>185</v>
      </c>
      <c r="E2636" t="s">
        <v>29</v>
      </c>
      <c r="F2636" t="s">
        <v>30</v>
      </c>
      <c r="G2636" t="s">
        <v>15</v>
      </c>
      <c r="H2636">
        <v>0.16196830717030089</v>
      </c>
      <c r="I2636">
        <v>4</v>
      </c>
      <c r="J2636" t="s">
        <v>17</v>
      </c>
      <c r="K2636" s="59" t="s">
        <v>17</v>
      </c>
    </row>
    <row r="2637" spans="1:11" x14ac:dyDescent="0.2">
      <c r="A2637" t="s">
        <v>2676</v>
      </c>
      <c r="B2637">
        <v>2023</v>
      </c>
      <c r="C2637" t="s">
        <v>12</v>
      </c>
      <c r="D2637">
        <v>393</v>
      </c>
      <c r="E2637" t="s">
        <v>38</v>
      </c>
      <c r="F2637" t="s">
        <v>39</v>
      </c>
      <c r="G2637" t="s">
        <v>15</v>
      </c>
      <c r="H2637">
        <v>-5.0426212774462454E-3</v>
      </c>
      <c r="I2637">
        <v>3</v>
      </c>
      <c r="J2637" t="s">
        <v>16</v>
      </c>
      <c r="K2637" s="59" t="s">
        <v>4376</v>
      </c>
    </row>
    <row r="2638" spans="1:11" x14ac:dyDescent="0.2">
      <c r="A2638" t="s">
        <v>2677</v>
      </c>
      <c r="B2638">
        <v>2021</v>
      </c>
      <c r="C2638" t="s">
        <v>19</v>
      </c>
      <c r="D2638">
        <v>245</v>
      </c>
      <c r="E2638" t="s">
        <v>25</v>
      </c>
      <c r="F2638" t="s">
        <v>26</v>
      </c>
      <c r="G2638" t="s">
        <v>15</v>
      </c>
      <c r="H2638">
        <v>0.59098806927385328</v>
      </c>
      <c r="I2638">
        <v>2</v>
      </c>
      <c r="J2638" t="s">
        <v>23</v>
      </c>
      <c r="K2638" s="59" t="s">
        <v>17</v>
      </c>
    </row>
    <row r="2639" spans="1:11" x14ac:dyDescent="0.2">
      <c r="A2639" t="s">
        <v>2678</v>
      </c>
      <c r="B2639">
        <v>2023</v>
      </c>
      <c r="C2639" t="s">
        <v>19</v>
      </c>
      <c r="D2639">
        <v>132</v>
      </c>
      <c r="E2639" t="s">
        <v>20</v>
      </c>
      <c r="F2639" t="s">
        <v>21</v>
      </c>
      <c r="G2639" t="s">
        <v>15</v>
      </c>
      <c r="H2639">
        <v>0.11335597390869109</v>
      </c>
      <c r="I2639">
        <v>3</v>
      </c>
      <c r="J2639" t="s">
        <v>16</v>
      </c>
      <c r="K2639" s="59" t="s">
        <v>23</v>
      </c>
    </row>
    <row r="2640" spans="1:11" x14ac:dyDescent="0.2">
      <c r="A2640" t="s">
        <v>2679</v>
      </c>
      <c r="B2640">
        <v>2021</v>
      </c>
      <c r="C2640" t="s">
        <v>19</v>
      </c>
      <c r="D2640">
        <v>398</v>
      </c>
      <c r="E2640" t="s">
        <v>29</v>
      </c>
      <c r="F2640" t="s">
        <v>30</v>
      </c>
      <c r="G2640" t="s">
        <v>15</v>
      </c>
      <c r="H2640">
        <v>0.43743819565275671</v>
      </c>
      <c r="I2640">
        <v>4</v>
      </c>
      <c r="J2640" t="s">
        <v>16</v>
      </c>
      <c r="K2640" s="59" t="s">
        <v>17</v>
      </c>
    </row>
    <row r="2641" spans="1:11" x14ac:dyDescent="0.2">
      <c r="A2641" t="s">
        <v>2680</v>
      </c>
      <c r="B2641">
        <v>2022</v>
      </c>
      <c r="C2641" t="s">
        <v>33</v>
      </c>
      <c r="D2641">
        <v>353</v>
      </c>
      <c r="E2641" t="s">
        <v>53</v>
      </c>
      <c r="F2641" t="s">
        <v>54</v>
      </c>
      <c r="G2641" t="s">
        <v>15</v>
      </c>
      <c r="H2641">
        <v>0.46058692577733279</v>
      </c>
      <c r="I2641">
        <v>3</v>
      </c>
      <c r="J2641" t="s">
        <v>16</v>
      </c>
      <c r="K2641" s="59" t="s">
        <v>4376</v>
      </c>
    </row>
    <row r="2642" spans="1:11" x14ac:dyDescent="0.2">
      <c r="A2642" t="s">
        <v>2681</v>
      </c>
      <c r="B2642">
        <v>2023</v>
      </c>
      <c r="C2642" t="s">
        <v>19</v>
      </c>
      <c r="D2642">
        <v>63</v>
      </c>
      <c r="E2642" t="s">
        <v>20</v>
      </c>
      <c r="F2642" t="s">
        <v>21</v>
      </c>
      <c r="G2642" t="s">
        <v>48</v>
      </c>
      <c r="H2642">
        <v>-1.9815060145259371</v>
      </c>
      <c r="I2642">
        <v>3</v>
      </c>
      <c r="J2642" t="s">
        <v>23</v>
      </c>
      <c r="K2642" s="59" t="s">
        <v>16</v>
      </c>
    </row>
    <row r="2643" spans="1:11" x14ac:dyDescent="0.2">
      <c r="A2643" t="s">
        <v>2682</v>
      </c>
      <c r="B2643">
        <v>2022</v>
      </c>
      <c r="C2643" t="s">
        <v>19</v>
      </c>
      <c r="D2643">
        <v>98</v>
      </c>
      <c r="E2643" t="s">
        <v>20</v>
      </c>
      <c r="F2643" t="s">
        <v>21</v>
      </c>
      <c r="G2643" t="s">
        <v>15</v>
      </c>
      <c r="H2643">
        <v>-0.24747783999191811</v>
      </c>
      <c r="I2643">
        <v>3</v>
      </c>
      <c r="J2643" t="s">
        <v>23</v>
      </c>
      <c r="K2643" s="59" t="s">
        <v>23</v>
      </c>
    </row>
    <row r="2644" spans="1:11" x14ac:dyDescent="0.2">
      <c r="A2644" t="s">
        <v>2683</v>
      </c>
      <c r="B2644">
        <v>2022</v>
      </c>
      <c r="C2644" t="s">
        <v>19</v>
      </c>
      <c r="D2644">
        <v>353</v>
      </c>
      <c r="E2644" t="s">
        <v>53</v>
      </c>
      <c r="F2644" t="s">
        <v>54</v>
      </c>
      <c r="G2644" t="s">
        <v>15</v>
      </c>
      <c r="H2644">
        <v>0.46058692577733279</v>
      </c>
      <c r="I2644">
        <v>3</v>
      </c>
      <c r="J2644" t="s">
        <v>16</v>
      </c>
      <c r="K2644" s="59" t="s">
        <v>4376</v>
      </c>
    </row>
    <row r="2645" spans="1:11" x14ac:dyDescent="0.2">
      <c r="A2645" t="s">
        <v>2684</v>
      </c>
      <c r="B2645">
        <v>2022</v>
      </c>
      <c r="C2645" t="s">
        <v>33</v>
      </c>
      <c r="D2645">
        <v>353</v>
      </c>
      <c r="E2645" t="s">
        <v>53</v>
      </c>
      <c r="F2645" t="s">
        <v>54</v>
      </c>
      <c r="G2645" t="s">
        <v>15</v>
      </c>
      <c r="H2645">
        <v>0.46058692577733279</v>
      </c>
      <c r="I2645">
        <v>3</v>
      </c>
      <c r="J2645" t="s">
        <v>16</v>
      </c>
      <c r="K2645" s="59" t="s">
        <v>4376</v>
      </c>
    </row>
    <row r="2646" spans="1:11" x14ac:dyDescent="0.2">
      <c r="A2646" t="s">
        <v>2685</v>
      </c>
      <c r="B2646">
        <v>2021</v>
      </c>
      <c r="C2646" t="s">
        <v>33</v>
      </c>
      <c r="D2646">
        <v>96</v>
      </c>
      <c r="E2646" t="s">
        <v>25</v>
      </c>
      <c r="F2646" t="s">
        <v>26</v>
      </c>
      <c r="G2646" t="s">
        <v>48</v>
      </c>
      <c r="H2646">
        <v>-0.37822941862444209</v>
      </c>
      <c r="I2646">
        <v>2</v>
      </c>
      <c r="J2646" t="s">
        <v>23</v>
      </c>
      <c r="K2646" s="59" t="s">
        <v>4376</v>
      </c>
    </row>
    <row r="2647" spans="1:11" x14ac:dyDescent="0.2">
      <c r="A2647" t="s">
        <v>2686</v>
      </c>
      <c r="B2647">
        <v>2022</v>
      </c>
      <c r="C2647" t="s">
        <v>33</v>
      </c>
      <c r="D2647">
        <v>353</v>
      </c>
      <c r="E2647" t="s">
        <v>53</v>
      </c>
      <c r="F2647" t="s">
        <v>54</v>
      </c>
      <c r="G2647" t="s">
        <v>15</v>
      </c>
      <c r="H2647">
        <v>0.46058692577733279</v>
      </c>
      <c r="I2647">
        <v>3</v>
      </c>
      <c r="J2647" t="s">
        <v>16</v>
      </c>
      <c r="K2647" s="59" t="s">
        <v>4376</v>
      </c>
    </row>
    <row r="2648" spans="1:11" x14ac:dyDescent="0.2">
      <c r="A2648" t="s">
        <v>2687</v>
      </c>
      <c r="B2648">
        <v>2023</v>
      </c>
      <c r="C2648" t="s">
        <v>33</v>
      </c>
      <c r="D2648">
        <v>383</v>
      </c>
      <c r="E2648" t="s">
        <v>29</v>
      </c>
      <c r="F2648" t="s">
        <v>30</v>
      </c>
      <c r="G2648" t="s">
        <v>15</v>
      </c>
      <c r="H2648">
        <v>0.21436445001295959</v>
      </c>
      <c r="I2648">
        <v>4</v>
      </c>
      <c r="J2648" t="s">
        <v>16</v>
      </c>
      <c r="K2648" s="59" t="s">
        <v>4376</v>
      </c>
    </row>
    <row r="2649" spans="1:11" x14ac:dyDescent="0.2">
      <c r="A2649" t="s">
        <v>2688</v>
      </c>
      <c r="B2649">
        <v>2020</v>
      </c>
      <c r="C2649" t="s">
        <v>12</v>
      </c>
      <c r="D2649">
        <v>95</v>
      </c>
      <c r="E2649" t="s">
        <v>38</v>
      </c>
      <c r="F2649" t="s">
        <v>39</v>
      </c>
      <c r="G2649" t="s">
        <v>15</v>
      </c>
      <c r="H2649">
        <v>0.66024472310180182</v>
      </c>
      <c r="I2649">
        <v>3</v>
      </c>
      <c r="J2649" t="s">
        <v>23</v>
      </c>
      <c r="K2649" s="59" t="s">
        <v>17</v>
      </c>
    </row>
    <row r="2650" spans="1:11" x14ac:dyDescent="0.2">
      <c r="A2650" t="s">
        <v>2689</v>
      </c>
      <c r="B2650">
        <v>2020</v>
      </c>
      <c r="C2650" t="s">
        <v>12</v>
      </c>
      <c r="D2650">
        <v>95</v>
      </c>
      <c r="E2650" t="s">
        <v>38</v>
      </c>
      <c r="F2650" t="s">
        <v>39</v>
      </c>
      <c r="G2650" t="s">
        <v>15</v>
      </c>
      <c r="H2650">
        <v>0.66024472310180182</v>
      </c>
      <c r="I2650">
        <v>3</v>
      </c>
      <c r="J2650" t="s">
        <v>23</v>
      </c>
      <c r="K2650" s="59" t="s">
        <v>17</v>
      </c>
    </row>
    <row r="2651" spans="1:11" x14ac:dyDescent="0.2">
      <c r="A2651" t="s">
        <v>2690</v>
      </c>
      <c r="B2651">
        <v>2020</v>
      </c>
      <c r="C2651" t="s">
        <v>12</v>
      </c>
      <c r="D2651">
        <v>53</v>
      </c>
      <c r="E2651" t="s">
        <v>20</v>
      </c>
      <c r="F2651" t="s">
        <v>21</v>
      </c>
      <c r="G2651" t="s">
        <v>15</v>
      </c>
      <c r="H2651">
        <v>1.207133472294913</v>
      </c>
      <c r="I2651">
        <v>3</v>
      </c>
      <c r="J2651" t="s">
        <v>23</v>
      </c>
      <c r="K2651" s="59" t="s">
        <v>23</v>
      </c>
    </row>
    <row r="2652" spans="1:11" x14ac:dyDescent="0.2">
      <c r="A2652" t="s">
        <v>2691</v>
      </c>
      <c r="B2652">
        <v>2021</v>
      </c>
      <c r="C2652" t="s">
        <v>19</v>
      </c>
      <c r="D2652">
        <v>65</v>
      </c>
      <c r="E2652" t="s">
        <v>25</v>
      </c>
      <c r="F2652" t="s">
        <v>26</v>
      </c>
      <c r="G2652" t="s">
        <v>15</v>
      </c>
      <c r="H2652">
        <v>0.46058692577733279</v>
      </c>
      <c r="I2652">
        <v>2</v>
      </c>
      <c r="J2652" t="s">
        <v>16</v>
      </c>
      <c r="K2652" s="59" t="s">
        <v>17</v>
      </c>
    </row>
    <row r="2653" spans="1:11" x14ac:dyDescent="0.2">
      <c r="A2653" t="s">
        <v>2692</v>
      </c>
      <c r="B2653">
        <v>2024</v>
      </c>
      <c r="C2653" t="s">
        <v>19</v>
      </c>
      <c r="D2653">
        <v>176</v>
      </c>
      <c r="E2653" t="s">
        <v>29</v>
      </c>
      <c r="F2653" t="s">
        <v>30</v>
      </c>
      <c r="G2653" t="s">
        <v>15</v>
      </c>
      <c r="H2653">
        <v>0.38200307877548229</v>
      </c>
      <c r="I2653">
        <v>4</v>
      </c>
      <c r="J2653" t="s">
        <v>17</v>
      </c>
      <c r="K2653" s="59" t="s">
        <v>17</v>
      </c>
    </row>
    <row r="2654" spans="1:11" x14ac:dyDescent="0.2">
      <c r="A2654" t="s">
        <v>2693</v>
      </c>
      <c r="B2654">
        <v>2021</v>
      </c>
      <c r="C2654" t="s">
        <v>33</v>
      </c>
      <c r="D2654">
        <v>65</v>
      </c>
      <c r="E2654" t="s">
        <v>13</v>
      </c>
      <c r="F2654" t="s">
        <v>14</v>
      </c>
      <c r="G2654" t="s">
        <v>147</v>
      </c>
      <c r="H2654">
        <v>0.4485458524464041</v>
      </c>
      <c r="I2654">
        <v>4</v>
      </c>
      <c r="J2654" t="s">
        <v>16</v>
      </c>
      <c r="K2654" s="59" t="s">
        <v>4376</v>
      </c>
    </row>
    <row r="2655" spans="1:11" x14ac:dyDescent="0.2">
      <c r="A2655" t="s">
        <v>2694</v>
      </c>
      <c r="B2655">
        <v>2023</v>
      </c>
      <c r="C2655" t="s">
        <v>33</v>
      </c>
      <c r="D2655">
        <v>385</v>
      </c>
      <c r="E2655" t="s">
        <v>29</v>
      </c>
      <c r="F2655" t="s">
        <v>30</v>
      </c>
      <c r="G2655" t="s">
        <v>15</v>
      </c>
      <c r="H2655">
        <v>0.21957583595669691</v>
      </c>
      <c r="I2655">
        <v>4</v>
      </c>
      <c r="J2655" t="s">
        <v>16</v>
      </c>
      <c r="K2655" s="59" t="s">
        <v>4376</v>
      </c>
    </row>
    <row r="2656" spans="1:11" x14ac:dyDescent="0.2">
      <c r="A2656" t="s">
        <v>2695</v>
      </c>
      <c r="B2656">
        <v>2021</v>
      </c>
      <c r="C2656" t="s">
        <v>19</v>
      </c>
      <c r="D2656">
        <v>70</v>
      </c>
      <c r="E2656" t="s">
        <v>53</v>
      </c>
      <c r="F2656" t="s">
        <v>54</v>
      </c>
      <c r="G2656" t="s">
        <v>15</v>
      </c>
      <c r="H2656">
        <v>0.51548005419774312</v>
      </c>
      <c r="I2656">
        <v>3</v>
      </c>
      <c r="J2656" t="s">
        <v>16</v>
      </c>
      <c r="K2656" s="59" t="s">
        <v>17</v>
      </c>
    </row>
    <row r="2657" spans="1:11" x14ac:dyDescent="0.2">
      <c r="A2657" t="s">
        <v>2696</v>
      </c>
      <c r="B2657">
        <v>2024</v>
      </c>
      <c r="C2657" t="s">
        <v>19</v>
      </c>
      <c r="D2657">
        <v>178</v>
      </c>
      <c r="E2657" t="s">
        <v>29</v>
      </c>
      <c r="F2657" t="s">
        <v>30</v>
      </c>
      <c r="G2657" t="s">
        <v>15</v>
      </c>
      <c r="H2657">
        <v>0.39154215846934859</v>
      </c>
      <c r="I2657">
        <v>4</v>
      </c>
      <c r="J2657" t="s">
        <v>23</v>
      </c>
      <c r="K2657" s="59" t="s">
        <v>23</v>
      </c>
    </row>
    <row r="2658" spans="1:11" x14ac:dyDescent="0.2">
      <c r="A2658" t="s">
        <v>2697</v>
      </c>
      <c r="B2658">
        <v>2022</v>
      </c>
      <c r="C2658" t="s">
        <v>33</v>
      </c>
      <c r="D2658">
        <v>353</v>
      </c>
      <c r="E2658" t="s">
        <v>53</v>
      </c>
      <c r="F2658" t="s">
        <v>54</v>
      </c>
      <c r="G2658" t="s">
        <v>15</v>
      </c>
      <c r="H2658">
        <v>0.46058692577733279</v>
      </c>
      <c r="I2658">
        <v>3</v>
      </c>
      <c r="J2658" t="s">
        <v>16</v>
      </c>
      <c r="K2658" s="59" t="s">
        <v>4376</v>
      </c>
    </row>
    <row r="2659" spans="1:11" x14ac:dyDescent="0.2">
      <c r="A2659" t="s">
        <v>2698</v>
      </c>
      <c r="B2659">
        <v>2022</v>
      </c>
      <c r="C2659" t="s">
        <v>33</v>
      </c>
      <c r="D2659">
        <v>353</v>
      </c>
      <c r="E2659" t="s">
        <v>53</v>
      </c>
      <c r="F2659" t="s">
        <v>54</v>
      </c>
      <c r="G2659" t="s">
        <v>15</v>
      </c>
      <c r="H2659">
        <v>0.46058692577733279</v>
      </c>
      <c r="I2659">
        <v>3</v>
      </c>
      <c r="J2659" t="s">
        <v>16</v>
      </c>
      <c r="K2659" s="59" t="s">
        <v>4376</v>
      </c>
    </row>
    <row r="2660" spans="1:11" x14ac:dyDescent="0.2">
      <c r="A2660" t="s">
        <v>2699</v>
      </c>
      <c r="B2660">
        <v>2023</v>
      </c>
      <c r="C2660" t="s">
        <v>12</v>
      </c>
      <c r="D2660">
        <v>393</v>
      </c>
      <c r="E2660" t="s">
        <v>38</v>
      </c>
      <c r="F2660" t="s">
        <v>39</v>
      </c>
      <c r="G2660" t="s">
        <v>15</v>
      </c>
      <c r="H2660">
        <v>-5.0426212774462454E-3</v>
      </c>
      <c r="I2660">
        <v>3</v>
      </c>
      <c r="J2660" t="s">
        <v>16</v>
      </c>
      <c r="K2660" s="59" t="s">
        <v>4376</v>
      </c>
    </row>
    <row r="2661" spans="1:11" x14ac:dyDescent="0.2">
      <c r="A2661" t="s">
        <v>2700</v>
      </c>
      <c r="B2661">
        <v>2020</v>
      </c>
      <c r="C2661" t="s">
        <v>12</v>
      </c>
      <c r="D2661">
        <v>95</v>
      </c>
      <c r="E2661" t="s">
        <v>38</v>
      </c>
      <c r="F2661" t="s">
        <v>39</v>
      </c>
      <c r="G2661" t="s">
        <v>15</v>
      </c>
      <c r="H2661">
        <v>0.66024472310180182</v>
      </c>
      <c r="I2661">
        <v>3</v>
      </c>
      <c r="J2661" t="s">
        <v>23</v>
      </c>
      <c r="K2661" s="59" t="s">
        <v>17</v>
      </c>
    </row>
    <row r="2662" spans="1:11" x14ac:dyDescent="0.2">
      <c r="A2662" t="s">
        <v>2701</v>
      </c>
      <c r="B2662">
        <v>2024</v>
      </c>
      <c r="C2662" t="s">
        <v>19</v>
      </c>
      <c r="D2662">
        <v>178</v>
      </c>
      <c r="E2662" t="s">
        <v>29</v>
      </c>
      <c r="F2662" t="s">
        <v>30</v>
      </c>
      <c r="G2662" t="s">
        <v>15</v>
      </c>
      <c r="H2662">
        <v>0.39154215846934859</v>
      </c>
      <c r="I2662">
        <v>4</v>
      </c>
      <c r="J2662" t="s">
        <v>17</v>
      </c>
      <c r="K2662" s="59" t="s">
        <v>17</v>
      </c>
    </row>
    <row r="2663" spans="1:11" x14ac:dyDescent="0.2">
      <c r="A2663" t="s">
        <v>2702</v>
      </c>
      <c r="B2663">
        <v>2021</v>
      </c>
      <c r="C2663" t="s">
        <v>19</v>
      </c>
      <c r="D2663">
        <v>177</v>
      </c>
      <c r="E2663" t="s">
        <v>25</v>
      </c>
      <c r="F2663" t="s">
        <v>26</v>
      </c>
      <c r="G2663" t="s">
        <v>15</v>
      </c>
      <c r="H2663">
        <v>0.92380556608643338</v>
      </c>
      <c r="I2663">
        <v>2</v>
      </c>
      <c r="J2663" t="s">
        <v>23</v>
      </c>
      <c r="K2663" s="59" t="s">
        <v>17</v>
      </c>
    </row>
    <row r="2664" spans="1:11" x14ac:dyDescent="0.2">
      <c r="A2664" t="s">
        <v>2703</v>
      </c>
      <c r="B2664">
        <v>2024</v>
      </c>
      <c r="C2664" t="s">
        <v>33</v>
      </c>
      <c r="D2664">
        <v>176</v>
      </c>
      <c r="E2664" t="s">
        <v>29</v>
      </c>
      <c r="F2664" t="s">
        <v>30</v>
      </c>
      <c r="G2664" t="s">
        <v>15</v>
      </c>
      <c r="H2664">
        <v>0.38200307877548229</v>
      </c>
      <c r="I2664">
        <v>4</v>
      </c>
      <c r="J2664" t="s">
        <v>17</v>
      </c>
      <c r="K2664" s="59" t="s">
        <v>4376</v>
      </c>
    </row>
    <row r="2665" spans="1:11" x14ac:dyDescent="0.2">
      <c r="A2665" t="s">
        <v>2704</v>
      </c>
      <c r="B2665">
        <v>2024</v>
      </c>
      <c r="C2665" t="s">
        <v>19</v>
      </c>
      <c r="D2665">
        <v>184</v>
      </c>
      <c r="E2665" t="s">
        <v>29</v>
      </c>
      <c r="F2665" t="s">
        <v>30</v>
      </c>
      <c r="G2665" t="s">
        <v>15</v>
      </c>
      <c r="H2665">
        <v>0.41888041479869709</v>
      </c>
      <c r="I2665">
        <v>4</v>
      </c>
      <c r="J2665" t="s">
        <v>16</v>
      </c>
      <c r="K2665" s="59" t="s">
        <v>23</v>
      </c>
    </row>
    <row r="2666" spans="1:11" x14ac:dyDescent="0.2">
      <c r="A2666" t="s">
        <v>2705</v>
      </c>
      <c r="B2666">
        <v>2020</v>
      </c>
      <c r="C2666" t="s">
        <v>12</v>
      </c>
      <c r="D2666">
        <v>95</v>
      </c>
      <c r="E2666" t="s">
        <v>38</v>
      </c>
      <c r="F2666" t="s">
        <v>39</v>
      </c>
      <c r="G2666" t="s">
        <v>15</v>
      </c>
      <c r="H2666">
        <v>0.66024472310180182</v>
      </c>
      <c r="I2666">
        <v>3</v>
      </c>
      <c r="J2666" t="s">
        <v>23</v>
      </c>
      <c r="K2666" s="59" t="s">
        <v>17</v>
      </c>
    </row>
    <row r="2667" spans="1:11" x14ac:dyDescent="0.2">
      <c r="A2667" t="s">
        <v>2706</v>
      </c>
      <c r="B2667">
        <v>2023</v>
      </c>
      <c r="C2667" t="s">
        <v>19</v>
      </c>
      <c r="D2667">
        <v>158</v>
      </c>
      <c r="E2667" t="s">
        <v>53</v>
      </c>
      <c r="F2667" t="s">
        <v>54</v>
      </c>
      <c r="G2667" t="s">
        <v>15</v>
      </c>
      <c r="H2667">
        <v>-1.017373466990579</v>
      </c>
      <c r="I2667">
        <v>3</v>
      </c>
      <c r="J2667" t="s">
        <v>23</v>
      </c>
      <c r="K2667" s="59" t="s">
        <v>17</v>
      </c>
    </row>
    <row r="2668" spans="1:11" x14ac:dyDescent="0.2">
      <c r="A2668" t="s">
        <v>2707</v>
      </c>
      <c r="B2668">
        <v>2020</v>
      </c>
      <c r="C2668" t="s">
        <v>12</v>
      </c>
      <c r="D2668">
        <v>95</v>
      </c>
      <c r="E2668" t="s">
        <v>38</v>
      </c>
      <c r="F2668" t="s">
        <v>39</v>
      </c>
      <c r="G2668" t="s">
        <v>15</v>
      </c>
      <c r="H2668">
        <v>0.66024472310180182</v>
      </c>
      <c r="I2668">
        <v>3</v>
      </c>
      <c r="J2668" t="s">
        <v>23</v>
      </c>
      <c r="K2668" s="59" t="s">
        <v>17</v>
      </c>
    </row>
    <row r="2669" spans="1:11" x14ac:dyDescent="0.2">
      <c r="A2669" t="s">
        <v>2708</v>
      </c>
      <c r="B2669">
        <v>2023</v>
      </c>
      <c r="C2669" t="s">
        <v>19</v>
      </c>
      <c r="D2669">
        <v>395</v>
      </c>
      <c r="E2669" t="s">
        <v>38</v>
      </c>
      <c r="F2669" t="s">
        <v>39</v>
      </c>
      <c r="G2669" t="s">
        <v>15</v>
      </c>
      <c r="H2669">
        <v>1.173666381899163E-3</v>
      </c>
      <c r="I2669">
        <v>3</v>
      </c>
      <c r="J2669" t="s">
        <v>16</v>
      </c>
      <c r="K2669" s="59" t="s">
        <v>17</v>
      </c>
    </row>
    <row r="2670" spans="1:11" x14ac:dyDescent="0.2">
      <c r="A2670" t="s">
        <v>2709</v>
      </c>
      <c r="B2670">
        <v>2021</v>
      </c>
      <c r="C2670" t="s">
        <v>12</v>
      </c>
      <c r="D2670">
        <v>343</v>
      </c>
      <c r="E2670" t="s">
        <v>38</v>
      </c>
      <c r="F2670" t="s">
        <v>39</v>
      </c>
      <c r="G2670" t="s">
        <v>15</v>
      </c>
      <c r="H2670">
        <v>0.79091725609484598</v>
      </c>
      <c r="I2670">
        <v>3</v>
      </c>
      <c r="J2670" t="s">
        <v>23</v>
      </c>
      <c r="K2670" s="59" t="s">
        <v>17</v>
      </c>
    </row>
    <row r="2671" spans="1:11" x14ac:dyDescent="0.2">
      <c r="A2671" t="s">
        <v>2710</v>
      </c>
      <c r="B2671">
        <v>2024</v>
      </c>
      <c r="C2671" t="s">
        <v>19</v>
      </c>
      <c r="D2671">
        <v>176</v>
      </c>
      <c r="E2671" t="s">
        <v>29</v>
      </c>
      <c r="F2671" t="s">
        <v>30</v>
      </c>
      <c r="G2671" t="s">
        <v>15</v>
      </c>
      <c r="H2671">
        <v>0.38200307877548229</v>
      </c>
      <c r="I2671">
        <v>4</v>
      </c>
      <c r="J2671" t="s">
        <v>23</v>
      </c>
      <c r="K2671" s="59" t="s">
        <v>16</v>
      </c>
    </row>
    <row r="2672" spans="1:11" x14ac:dyDescent="0.2">
      <c r="A2672" t="s">
        <v>2711</v>
      </c>
      <c r="B2672">
        <v>2024</v>
      </c>
      <c r="C2672" t="s">
        <v>33</v>
      </c>
      <c r="D2672">
        <v>176</v>
      </c>
      <c r="E2672" t="s">
        <v>29</v>
      </c>
      <c r="F2672" t="s">
        <v>30</v>
      </c>
      <c r="G2672" t="s">
        <v>15</v>
      </c>
      <c r="H2672">
        <v>0.38200307877548229</v>
      </c>
      <c r="I2672">
        <v>4</v>
      </c>
      <c r="J2672" t="s">
        <v>17</v>
      </c>
      <c r="K2672" s="59" t="s">
        <v>4376</v>
      </c>
    </row>
    <row r="2673" spans="1:11" x14ac:dyDescent="0.2">
      <c r="A2673" t="s">
        <v>2712</v>
      </c>
      <c r="B2673">
        <v>2024</v>
      </c>
      <c r="C2673" t="s">
        <v>33</v>
      </c>
      <c r="D2673">
        <v>176</v>
      </c>
      <c r="E2673" t="s">
        <v>29</v>
      </c>
      <c r="F2673" t="s">
        <v>30</v>
      </c>
      <c r="G2673" t="s">
        <v>15</v>
      </c>
      <c r="H2673">
        <v>0.38200307877548229</v>
      </c>
      <c r="I2673">
        <v>4</v>
      </c>
      <c r="J2673" t="s">
        <v>17</v>
      </c>
      <c r="K2673" s="59" t="s">
        <v>4376</v>
      </c>
    </row>
    <row r="2674" spans="1:11" x14ac:dyDescent="0.2">
      <c r="A2674" t="s">
        <v>2713</v>
      </c>
      <c r="B2674">
        <v>2024</v>
      </c>
      <c r="C2674" t="s">
        <v>33</v>
      </c>
      <c r="D2674">
        <v>176</v>
      </c>
      <c r="E2674" t="s">
        <v>29</v>
      </c>
      <c r="F2674" t="s">
        <v>30</v>
      </c>
      <c r="G2674" t="s">
        <v>15</v>
      </c>
      <c r="H2674">
        <v>0.38200307877548229</v>
      </c>
      <c r="I2674">
        <v>4</v>
      </c>
      <c r="J2674" t="s">
        <v>17</v>
      </c>
      <c r="K2674" s="59" t="s">
        <v>4376</v>
      </c>
    </row>
    <row r="2675" spans="1:11" x14ac:dyDescent="0.2">
      <c r="A2675" t="s">
        <v>2714</v>
      </c>
      <c r="B2675">
        <v>2024</v>
      </c>
      <c r="C2675" t="s">
        <v>33</v>
      </c>
      <c r="D2675">
        <v>178</v>
      </c>
      <c r="E2675" t="s">
        <v>29</v>
      </c>
      <c r="F2675" t="s">
        <v>30</v>
      </c>
      <c r="G2675" t="s">
        <v>15</v>
      </c>
      <c r="H2675">
        <v>0.39154215846934859</v>
      </c>
      <c r="I2675">
        <v>4</v>
      </c>
      <c r="J2675" t="s">
        <v>17</v>
      </c>
      <c r="K2675" s="59" t="s">
        <v>4376</v>
      </c>
    </row>
    <row r="2676" spans="1:11" x14ac:dyDescent="0.2">
      <c r="A2676" t="s">
        <v>2715</v>
      </c>
      <c r="B2676">
        <v>2022</v>
      </c>
      <c r="C2676" t="s">
        <v>19</v>
      </c>
      <c r="D2676">
        <v>353</v>
      </c>
      <c r="E2676" t="s">
        <v>53</v>
      </c>
      <c r="F2676" t="s">
        <v>54</v>
      </c>
      <c r="G2676" t="s">
        <v>15</v>
      </c>
      <c r="H2676">
        <v>0.46058692577733279</v>
      </c>
      <c r="I2676">
        <v>3</v>
      </c>
      <c r="J2676" t="s">
        <v>16</v>
      </c>
      <c r="K2676" s="59" t="s">
        <v>4376</v>
      </c>
    </row>
    <row r="2677" spans="1:11" x14ac:dyDescent="0.2">
      <c r="A2677" t="s">
        <v>2716</v>
      </c>
      <c r="B2677">
        <v>2024</v>
      </c>
      <c r="C2677" t="s">
        <v>19</v>
      </c>
      <c r="D2677">
        <v>176</v>
      </c>
      <c r="E2677" t="s">
        <v>29</v>
      </c>
      <c r="F2677" t="s">
        <v>30</v>
      </c>
      <c r="G2677" t="s">
        <v>15</v>
      </c>
      <c r="H2677">
        <v>0.38200307877548229</v>
      </c>
      <c r="I2677">
        <v>4</v>
      </c>
      <c r="J2677" t="s">
        <v>17</v>
      </c>
      <c r="K2677" s="59" t="s">
        <v>16</v>
      </c>
    </row>
    <row r="2678" spans="1:11" x14ac:dyDescent="0.2">
      <c r="A2678" t="s">
        <v>2717</v>
      </c>
      <c r="B2678">
        <v>2024</v>
      </c>
      <c r="C2678" t="s">
        <v>19</v>
      </c>
      <c r="D2678">
        <v>176</v>
      </c>
      <c r="E2678" t="s">
        <v>29</v>
      </c>
      <c r="F2678" t="s">
        <v>30</v>
      </c>
      <c r="G2678" t="s">
        <v>15</v>
      </c>
      <c r="H2678">
        <v>0.38200307877548229</v>
      </c>
      <c r="I2678">
        <v>4</v>
      </c>
      <c r="J2678" t="s">
        <v>23</v>
      </c>
      <c r="K2678" s="59" t="s">
        <v>16</v>
      </c>
    </row>
    <row r="2679" spans="1:11" x14ac:dyDescent="0.2">
      <c r="A2679" t="s">
        <v>2718</v>
      </c>
      <c r="B2679">
        <v>2024</v>
      </c>
      <c r="C2679" t="s">
        <v>12</v>
      </c>
      <c r="D2679">
        <v>176</v>
      </c>
      <c r="E2679" t="s">
        <v>29</v>
      </c>
      <c r="F2679" t="s">
        <v>30</v>
      </c>
      <c r="G2679" t="s">
        <v>15</v>
      </c>
      <c r="H2679">
        <v>0.38200307877548229</v>
      </c>
      <c r="I2679">
        <v>4</v>
      </c>
      <c r="J2679" t="s">
        <v>16</v>
      </c>
      <c r="K2679" s="59" t="s">
        <v>23</v>
      </c>
    </row>
    <row r="2680" spans="1:11" x14ac:dyDescent="0.2">
      <c r="A2680" t="s">
        <v>2719</v>
      </c>
      <c r="B2680">
        <v>2021</v>
      </c>
      <c r="C2680" t="s">
        <v>19</v>
      </c>
      <c r="D2680">
        <v>185</v>
      </c>
      <c r="E2680" t="s">
        <v>25</v>
      </c>
      <c r="F2680" t="s">
        <v>26</v>
      </c>
      <c r="G2680" t="s">
        <v>15</v>
      </c>
      <c r="H2680">
        <v>0.86066988164586988</v>
      </c>
      <c r="I2680">
        <v>2</v>
      </c>
      <c r="J2680" t="s">
        <v>23</v>
      </c>
      <c r="K2680" s="59" t="s">
        <v>17</v>
      </c>
    </row>
    <row r="2681" spans="1:11" x14ac:dyDescent="0.2">
      <c r="A2681" t="s">
        <v>2720</v>
      </c>
      <c r="B2681">
        <v>2024</v>
      </c>
      <c r="C2681" t="s">
        <v>33</v>
      </c>
      <c r="D2681">
        <v>135</v>
      </c>
      <c r="E2681" t="s">
        <v>38</v>
      </c>
      <c r="F2681" t="s">
        <v>39</v>
      </c>
      <c r="G2681" t="s">
        <v>15</v>
      </c>
      <c r="H2681">
        <v>-3.9938599728771833E-2</v>
      </c>
      <c r="I2681">
        <v>3</v>
      </c>
      <c r="J2681" t="s">
        <v>23</v>
      </c>
      <c r="K2681" s="59" t="s">
        <v>17</v>
      </c>
    </row>
    <row r="2682" spans="1:11" x14ac:dyDescent="0.2">
      <c r="A2682" t="s">
        <v>2721</v>
      </c>
      <c r="B2682">
        <v>2024</v>
      </c>
      <c r="C2682" t="s">
        <v>19</v>
      </c>
      <c r="D2682">
        <v>184</v>
      </c>
      <c r="E2682" t="s">
        <v>29</v>
      </c>
      <c r="F2682" t="s">
        <v>30</v>
      </c>
      <c r="G2682" t="s">
        <v>15</v>
      </c>
      <c r="H2682">
        <v>0.41888041479869709</v>
      </c>
      <c r="I2682">
        <v>4</v>
      </c>
      <c r="J2682" t="s">
        <v>17</v>
      </c>
      <c r="K2682" s="59" t="s">
        <v>16</v>
      </c>
    </row>
    <row r="2683" spans="1:11" x14ac:dyDescent="0.2">
      <c r="A2683" t="s">
        <v>2722</v>
      </c>
      <c r="B2683">
        <v>2022</v>
      </c>
      <c r="C2683" t="s">
        <v>19</v>
      </c>
      <c r="D2683">
        <v>91</v>
      </c>
      <c r="E2683" t="s">
        <v>20</v>
      </c>
      <c r="F2683" t="s">
        <v>21</v>
      </c>
      <c r="G2683" t="s">
        <v>15</v>
      </c>
      <c r="H2683">
        <v>-0.61582902501545655</v>
      </c>
      <c r="I2683">
        <v>3</v>
      </c>
      <c r="J2683" t="s">
        <v>23</v>
      </c>
      <c r="K2683" s="59" t="s">
        <v>23</v>
      </c>
    </row>
    <row r="2684" spans="1:11" x14ac:dyDescent="0.2">
      <c r="A2684" t="s">
        <v>2723</v>
      </c>
      <c r="B2684">
        <v>2022</v>
      </c>
      <c r="C2684" t="s">
        <v>19</v>
      </c>
      <c r="D2684">
        <v>107</v>
      </c>
      <c r="E2684" t="s">
        <v>25</v>
      </c>
      <c r="F2684" t="s">
        <v>26</v>
      </c>
      <c r="G2684" t="s">
        <v>15</v>
      </c>
      <c r="H2684">
        <v>0.25698332218162923</v>
      </c>
      <c r="I2684">
        <v>2</v>
      </c>
      <c r="J2684" t="s">
        <v>23</v>
      </c>
      <c r="K2684" s="59" t="s">
        <v>4376</v>
      </c>
    </row>
    <row r="2685" spans="1:11" x14ac:dyDescent="0.2">
      <c r="A2685" t="s">
        <v>2724</v>
      </c>
      <c r="B2685">
        <v>2024</v>
      </c>
      <c r="C2685" t="s">
        <v>33</v>
      </c>
      <c r="D2685">
        <v>34</v>
      </c>
      <c r="E2685" t="s">
        <v>20</v>
      </c>
      <c r="F2685" t="s">
        <v>21</v>
      </c>
      <c r="G2685" t="s">
        <v>15</v>
      </c>
      <c r="H2685">
        <v>1.207133472294913</v>
      </c>
      <c r="I2685">
        <v>3</v>
      </c>
      <c r="J2685" t="s">
        <v>23</v>
      </c>
      <c r="K2685" s="59" t="s">
        <v>4376</v>
      </c>
    </row>
    <row r="2686" spans="1:11" x14ac:dyDescent="0.2">
      <c r="A2686" t="s">
        <v>2725</v>
      </c>
      <c r="B2686">
        <v>2024</v>
      </c>
      <c r="C2686" t="s">
        <v>33</v>
      </c>
      <c r="D2686">
        <v>62</v>
      </c>
      <c r="E2686" t="s">
        <v>13</v>
      </c>
      <c r="F2686" t="s">
        <v>14</v>
      </c>
      <c r="G2686" t="s">
        <v>15</v>
      </c>
      <c r="H2686">
        <v>-0.33491349264303921</v>
      </c>
      <c r="I2686">
        <v>4</v>
      </c>
      <c r="J2686" t="s">
        <v>23</v>
      </c>
      <c r="K2686" s="59" t="s">
        <v>17</v>
      </c>
    </row>
    <row r="2687" spans="1:11" x14ac:dyDescent="0.2">
      <c r="A2687" t="s">
        <v>2726</v>
      </c>
      <c r="B2687">
        <v>2020</v>
      </c>
      <c r="C2687" t="s">
        <v>33</v>
      </c>
      <c r="D2687">
        <v>66</v>
      </c>
      <c r="E2687" t="s">
        <v>29</v>
      </c>
      <c r="F2687" t="s">
        <v>30</v>
      </c>
      <c r="G2687" t="s">
        <v>15</v>
      </c>
      <c r="H2687">
        <v>0.47225171556667001</v>
      </c>
      <c r="I2687">
        <v>4</v>
      </c>
      <c r="J2687" t="s">
        <v>23</v>
      </c>
      <c r="K2687" s="59" t="s">
        <v>17</v>
      </c>
    </row>
    <row r="2688" spans="1:11" x14ac:dyDescent="0.2">
      <c r="A2688" t="s">
        <v>2727</v>
      </c>
      <c r="B2688">
        <v>2020</v>
      </c>
      <c r="C2688" t="s">
        <v>12</v>
      </c>
      <c r="D2688">
        <v>79</v>
      </c>
      <c r="E2688" t="s">
        <v>20</v>
      </c>
      <c r="F2688" t="s">
        <v>21</v>
      </c>
      <c r="G2688" t="s">
        <v>15</v>
      </c>
      <c r="H2688">
        <v>1.207133472294913</v>
      </c>
      <c r="I2688">
        <v>3</v>
      </c>
      <c r="J2688" t="s">
        <v>23</v>
      </c>
      <c r="K2688" s="59" t="s">
        <v>23</v>
      </c>
    </row>
    <row r="2689" spans="1:11" x14ac:dyDescent="0.2">
      <c r="A2689" t="s">
        <v>2728</v>
      </c>
      <c r="B2689">
        <v>2021</v>
      </c>
      <c r="C2689" t="s">
        <v>12</v>
      </c>
      <c r="D2689">
        <v>307</v>
      </c>
      <c r="E2689" t="s">
        <v>38</v>
      </c>
      <c r="F2689" t="s">
        <v>39</v>
      </c>
      <c r="G2689" t="s">
        <v>15</v>
      </c>
      <c r="H2689">
        <v>0.11335597390869109</v>
      </c>
      <c r="I2689">
        <v>3</v>
      </c>
      <c r="J2689" t="s">
        <v>23</v>
      </c>
      <c r="K2689" s="59" t="s">
        <v>4376</v>
      </c>
    </row>
    <row r="2690" spans="1:11" x14ac:dyDescent="0.2">
      <c r="A2690" t="s">
        <v>2729</v>
      </c>
      <c r="B2690">
        <v>2021</v>
      </c>
      <c r="C2690" t="s">
        <v>33</v>
      </c>
      <c r="D2690">
        <v>398</v>
      </c>
      <c r="E2690" t="s">
        <v>29</v>
      </c>
      <c r="F2690" t="s">
        <v>30</v>
      </c>
      <c r="G2690" t="s">
        <v>15</v>
      </c>
      <c r="H2690">
        <v>0.43743819565275671</v>
      </c>
      <c r="I2690">
        <v>4</v>
      </c>
      <c r="J2690" t="s">
        <v>23</v>
      </c>
      <c r="K2690" s="59" t="s">
        <v>4376</v>
      </c>
    </row>
    <row r="2691" spans="1:11" x14ac:dyDescent="0.2">
      <c r="A2691" t="s">
        <v>2730</v>
      </c>
      <c r="B2691">
        <v>2023</v>
      </c>
      <c r="C2691" t="s">
        <v>12</v>
      </c>
      <c r="D2691">
        <v>393</v>
      </c>
      <c r="E2691" t="s">
        <v>38</v>
      </c>
      <c r="F2691" t="s">
        <v>39</v>
      </c>
      <c r="G2691" t="s">
        <v>15</v>
      </c>
      <c r="H2691">
        <v>-5.0426212774462454E-3</v>
      </c>
      <c r="I2691">
        <v>3</v>
      </c>
      <c r="J2691" t="s">
        <v>16</v>
      </c>
      <c r="K2691" s="59" t="s">
        <v>4376</v>
      </c>
    </row>
    <row r="2692" spans="1:11" x14ac:dyDescent="0.2">
      <c r="A2692" t="s">
        <v>2731</v>
      </c>
      <c r="B2692">
        <v>2023</v>
      </c>
      <c r="C2692" t="s">
        <v>33</v>
      </c>
      <c r="D2692">
        <v>71</v>
      </c>
      <c r="E2692" t="s">
        <v>20</v>
      </c>
      <c r="F2692" t="s">
        <v>21</v>
      </c>
      <c r="G2692" t="s">
        <v>15</v>
      </c>
      <c r="H2692">
        <v>0.51548005419774312</v>
      </c>
      <c r="I2692">
        <v>3</v>
      </c>
      <c r="J2692" t="s">
        <v>23</v>
      </c>
      <c r="K2692" s="59" t="s">
        <v>4376</v>
      </c>
    </row>
    <row r="2693" spans="1:11" x14ac:dyDescent="0.2">
      <c r="A2693" t="s">
        <v>2732</v>
      </c>
      <c r="B2693">
        <v>2024</v>
      </c>
      <c r="C2693" t="s">
        <v>33</v>
      </c>
      <c r="D2693">
        <v>55</v>
      </c>
      <c r="E2693" t="s">
        <v>25</v>
      </c>
      <c r="F2693" t="s">
        <v>26</v>
      </c>
      <c r="G2693" t="s">
        <v>57</v>
      </c>
      <c r="H2693">
        <v>-0.86347676049912925</v>
      </c>
      <c r="I2693">
        <v>2</v>
      </c>
      <c r="J2693" t="s">
        <v>16</v>
      </c>
      <c r="K2693" s="59" t="s">
        <v>23</v>
      </c>
    </row>
    <row r="2694" spans="1:11" x14ac:dyDescent="0.2">
      <c r="A2694" t="s">
        <v>2733</v>
      </c>
      <c r="B2694">
        <v>2023</v>
      </c>
      <c r="C2694" t="s">
        <v>19</v>
      </c>
      <c r="D2694">
        <v>126</v>
      </c>
      <c r="E2694" t="s">
        <v>25</v>
      </c>
      <c r="F2694" t="s">
        <v>26</v>
      </c>
      <c r="G2694" t="s">
        <v>15</v>
      </c>
      <c r="H2694">
        <v>1.207133472294913</v>
      </c>
      <c r="I2694">
        <v>2</v>
      </c>
      <c r="J2694" t="s">
        <v>23</v>
      </c>
      <c r="K2694" s="59" t="s">
        <v>17</v>
      </c>
    </row>
    <row r="2695" spans="1:11" x14ac:dyDescent="0.2">
      <c r="A2695" t="s">
        <v>2734</v>
      </c>
      <c r="B2695">
        <v>2023</v>
      </c>
      <c r="C2695" t="s">
        <v>33</v>
      </c>
      <c r="D2695">
        <v>49</v>
      </c>
      <c r="E2695" t="s">
        <v>20</v>
      </c>
      <c r="F2695" t="s">
        <v>21</v>
      </c>
      <c r="G2695" t="s">
        <v>41</v>
      </c>
      <c r="H2695">
        <v>-2.6322487669383552</v>
      </c>
      <c r="I2695">
        <v>3</v>
      </c>
      <c r="J2695" t="s">
        <v>23</v>
      </c>
      <c r="K2695" s="59" t="s">
        <v>17</v>
      </c>
    </row>
    <row r="2696" spans="1:11" x14ac:dyDescent="0.2">
      <c r="A2696" t="s">
        <v>2735</v>
      </c>
      <c r="B2696">
        <v>2022</v>
      </c>
      <c r="C2696" t="s">
        <v>33</v>
      </c>
      <c r="D2696">
        <v>353</v>
      </c>
      <c r="E2696" t="s">
        <v>53</v>
      </c>
      <c r="F2696" t="s">
        <v>54</v>
      </c>
      <c r="G2696" t="s">
        <v>15</v>
      </c>
      <c r="H2696">
        <v>0.46058692577733279</v>
      </c>
      <c r="I2696">
        <v>3</v>
      </c>
      <c r="J2696" t="s">
        <v>16</v>
      </c>
      <c r="K2696" s="59" t="s">
        <v>4376</v>
      </c>
    </row>
    <row r="2697" spans="1:11" x14ac:dyDescent="0.2">
      <c r="A2697" t="s">
        <v>2736</v>
      </c>
      <c r="B2697">
        <v>2023</v>
      </c>
      <c r="C2697" t="s">
        <v>19</v>
      </c>
      <c r="D2697">
        <v>166</v>
      </c>
      <c r="E2697" t="s">
        <v>25</v>
      </c>
      <c r="F2697" t="s">
        <v>26</v>
      </c>
      <c r="G2697" t="s">
        <v>15</v>
      </c>
      <c r="H2697">
        <v>0.62287965328115458</v>
      </c>
      <c r="I2697">
        <v>2</v>
      </c>
      <c r="J2697" t="s">
        <v>23</v>
      </c>
      <c r="K2697" s="59" t="s">
        <v>17</v>
      </c>
    </row>
    <row r="2698" spans="1:11" x14ac:dyDescent="0.2">
      <c r="A2698" t="s">
        <v>2737</v>
      </c>
      <c r="B2698">
        <v>2022</v>
      </c>
      <c r="C2698" t="s">
        <v>33</v>
      </c>
      <c r="D2698">
        <v>353</v>
      </c>
      <c r="E2698" t="s">
        <v>53</v>
      </c>
      <c r="F2698" t="s">
        <v>54</v>
      </c>
      <c r="G2698" t="s">
        <v>15</v>
      </c>
      <c r="H2698">
        <v>0.46058692577733279</v>
      </c>
      <c r="I2698">
        <v>3</v>
      </c>
      <c r="J2698" t="s">
        <v>16</v>
      </c>
      <c r="K2698" s="59" t="s">
        <v>4376</v>
      </c>
    </row>
    <row r="2699" spans="1:11" x14ac:dyDescent="0.2">
      <c r="A2699" t="s">
        <v>2738</v>
      </c>
      <c r="B2699">
        <v>2024</v>
      </c>
      <c r="C2699" t="s">
        <v>12</v>
      </c>
      <c r="D2699">
        <v>100</v>
      </c>
      <c r="E2699" t="s">
        <v>25</v>
      </c>
      <c r="F2699" t="s">
        <v>26</v>
      </c>
      <c r="G2699" t="s">
        <v>15</v>
      </c>
      <c r="H2699">
        <v>9.8624963829415505E-2</v>
      </c>
      <c r="I2699">
        <v>2</v>
      </c>
      <c r="J2699" t="s">
        <v>23</v>
      </c>
      <c r="K2699" s="59" t="s">
        <v>23</v>
      </c>
    </row>
    <row r="2700" spans="1:11" x14ac:dyDescent="0.2">
      <c r="A2700" t="s">
        <v>2739</v>
      </c>
      <c r="B2700">
        <v>2023</v>
      </c>
      <c r="C2700" t="s">
        <v>12</v>
      </c>
      <c r="D2700">
        <v>393</v>
      </c>
      <c r="E2700" t="s">
        <v>38</v>
      </c>
      <c r="F2700" t="s">
        <v>39</v>
      </c>
      <c r="G2700" t="s">
        <v>15</v>
      </c>
      <c r="H2700">
        <v>-5.0426212774462454E-3</v>
      </c>
      <c r="I2700">
        <v>3</v>
      </c>
      <c r="J2700" t="s">
        <v>16</v>
      </c>
      <c r="K2700" s="59" t="s">
        <v>4376</v>
      </c>
    </row>
    <row r="2701" spans="1:11" x14ac:dyDescent="0.2">
      <c r="A2701" t="s">
        <v>2740</v>
      </c>
      <c r="B2701">
        <v>2023</v>
      </c>
      <c r="C2701" t="s">
        <v>12</v>
      </c>
      <c r="D2701">
        <v>190</v>
      </c>
      <c r="E2701" t="s">
        <v>20</v>
      </c>
      <c r="F2701" t="s">
        <v>21</v>
      </c>
      <c r="G2701" t="s">
        <v>15</v>
      </c>
      <c r="H2701">
        <v>-4.3729092348904583E-2</v>
      </c>
      <c r="I2701">
        <v>3</v>
      </c>
      <c r="J2701" t="s">
        <v>23</v>
      </c>
      <c r="K2701" s="59" t="s">
        <v>17</v>
      </c>
    </row>
    <row r="2702" spans="1:11" x14ac:dyDescent="0.2">
      <c r="A2702" t="s">
        <v>2741</v>
      </c>
      <c r="B2702">
        <v>2023</v>
      </c>
      <c r="C2702" t="s">
        <v>12</v>
      </c>
      <c r="D2702">
        <v>440</v>
      </c>
      <c r="E2702" t="s">
        <v>13</v>
      </c>
      <c r="F2702" t="s">
        <v>14</v>
      </c>
      <c r="G2702" t="s">
        <v>80</v>
      </c>
      <c r="H2702">
        <v>0.45415117968666402</v>
      </c>
      <c r="I2702">
        <v>4</v>
      </c>
      <c r="J2702" t="s">
        <v>23</v>
      </c>
      <c r="K2702" s="59" t="s">
        <v>17</v>
      </c>
    </row>
    <row r="2703" spans="1:11" x14ac:dyDescent="0.2">
      <c r="A2703" t="s">
        <v>2742</v>
      </c>
      <c r="B2703">
        <v>2022</v>
      </c>
      <c r="C2703" t="s">
        <v>12</v>
      </c>
      <c r="D2703">
        <v>181</v>
      </c>
      <c r="E2703" t="s">
        <v>20</v>
      </c>
      <c r="F2703" t="s">
        <v>21</v>
      </c>
      <c r="G2703" t="s">
        <v>15</v>
      </c>
      <c r="H2703">
        <v>0.2383005945108625</v>
      </c>
      <c r="I2703">
        <v>3</v>
      </c>
      <c r="J2703" t="s">
        <v>23</v>
      </c>
      <c r="K2703" s="59" t="s">
        <v>23</v>
      </c>
    </row>
    <row r="2704" spans="1:11" x14ac:dyDescent="0.2">
      <c r="A2704" t="s">
        <v>2743</v>
      </c>
      <c r="B2704">
        <v>2022</v>
      </c>
      <c r="C2704" t="s">
        <v>33</v>
      </c>
      <c r="D2704">
        <v>353</v>
      </c>
      <c r="E2704" t="s">
        <v>53</v>
      </c>
      <c r="F2704" t="s">
        <v>54</v>
      </c>
      <c r="G2704" t="s">
        <v>15</v>
      </c>
      <c r="H2704">
        <v>0.46058692577733279</v>
      </c>
      <c r="I2704">
        <v>3</v>
      </c>
      <c r="J2704" t="s">
        <v>16</v>
      </c>
      <c r="K2704" s="59" t="s">
        <v>4376</v>
      </c>
    </row>
    <row r="2705" spans="1:11" x14ac:dyDescent="0.2">
      <c r="A2705" t="s">
        <v>2744</v>
      </c>
      <c r="B2705">
        <v>2024</v>
      </c>
      <c r="C2705" t="s">
        <v>33</v>
      </c>
      <c r="D2705">
        <v>41</v>
      </c>
      <c r="E2705" t="s">
        <v>20</v>
      </c>
      <c r="F2705" t="s">
        <v>21</v>
      </c>
      <c r="G2705" t="s">
        <v>15</v>
      </c>
      <c r="H2705">
        <v>-2.2342640226275892</v>
      </c>
      <c r="I2705">
        <v>3</v>
      </c>
      <c r="J2705" t="s">
        <v>17</v>
      </c>
      <c r="K2705" s="59" t="s">
        <v>4376</v>
      </c>
    </row>
    <row r="2706" spans="1:11" x14ac:dyDescent="0.2">
      <c r="A2706" t="s">
        <v>2745</v>
      </c>
      <c r="B2706">
        <v>2023</v>
      </c>
      <c r="C2706" t="s">
        <v>19</v>
      </c>
      <c r="D2706">
        <v>73</v>
      </c>
      <c r="E2706" t="s">
        <v>20</v>
      </c>
      <c r="F2706" t="s">
        <v>21</v>
      </c>
      <c r="G2706" t="s">
        <v>15</v>
      </c>
      <c r="H2706">
        <v>-0.15612543873718959</v>
      </c>
      <c r="I2706">
        <v>3</v>
      </c>
      <c r="J2706" t="s">
        <v>16</v>
      </c>
      <c r="K2706" s="59" t="s">
        <v>4376</v>
      </c>
    </row>
    <row r="2707" spans="1:11" x14ac:dyDescent="0.2">
      <c r="A2707" t="s">
        <v>2746</v>
      </c>
      <c r="B2707">
        <v>2022</v>
      </c>
      <c r="C2707" t="s">
        <v>33</v>
      </c>
      <c r="D2707">
        <v>353</v>
      </c>
      <c r="E2707" t="s">
        <v>53</v>
      </c>
      <c r="F2707" t="s">
        <v>54</v>
      </c>
      <c r="G2707" t="s">
        <v>15</v>
      </c>
      <c r="H2707">
        <v>0.46058692577733279</v>
      </c>
      <c r="I2707">
        <v>3</v>
      </c>
      <c r="J2707" t="s">
        <v>16</v>
      </c>
      <c r="K2707" s="59" t="s">
        <v>4376</v>
      </c>
    </row>
    <row r="2708" spans="1:11" x14ac:dyDescent="0.2">
      <c r="A2708" t="s">
        <v>2747</v>
      </c>
      <c r="B2708">
        <v>2023</v>
      </c>
      <c r="C2708" t="s">
        <v>33</v>
      </c>
      <c r="D2708">
        <v>58</v>
      </c>
      <c r="E2708" t="s">
        <v>20</v>
      </c>
      <c r="F2708" t="s">
        <v>21</v>
      </c>
      <c r="G2708" t="s">
        <v>15</v>
      </c>
      <c r="H2708">
        <v>-2.8473865648264258</v>
      </c>
      <c r="I2708">
        <v>3</v>
      </c>
      <c r="J2708" t="s">
        <v>23</v>
      </c>
      <c r="K2708" s="59" t="s">
        <v>17</v>
      </c>
    </row>
    <row r="2709" spans="1:11" x14ac:dyDescent="0.2">
      <c r="A2709" t="s">
        <v>2748</v>
      </c>
      <c r="B2709">
        <v>2025</v>
      </c>
      <c r="C2709" t="s">
        <v>12</v>
      </c>
      <c r="D2709">
        <v>198</v>
      </c>
      <c r="E2709" t="s">
        <v>13</v>
      </c>
      <c r="F2709" t="s">
        <v>14</v>
      </c>
      <c r="G2709" t="s">
        <v>15</v>
      </c>
      <c r="H2709">
        <v>1.207133472294913</v>
      </c>
      <c r="I2709">
        <v>4</v>
      </c>
      <c r="J2709" t="s">
        <v>23</v>
      </c>
      <c r="K2709" s="59" t="s">
        <v>17</v>
      </c>
    </row>
    <row r="2710" spans="1:11" x14ac:dyDescent="0.2">
      <c r="A2710" t="s">
        <v>2749</v>
      </c>
      <c r="B2710">
        <v>2023</v>
      </c>
      <c r="C2710" t="s">
        <v>33</v>
      </c>
      <c r="D2710">
        <v>42</v>
      </c>
      <c r="E2710" t="s">
        <v>20</v>
      </c>
      <c r="F2710" t="s">
        <v>21</v>
      </c>
      <c r="G2710" t="s">
        <v>15</v>
      </c>
      <c r="H2710">
        <v>8.7313652518543006E-2</v>
      </c>
      <c r="I2710">
        <v>3</v>
      </c>
      <c r="J2710" t="s">
        <v>23</v>
      </c>
      <c r="K2710" s="59" t="s">
        <v>4376</v>
      </c>
    </row>
    <row r="2711" spans="1:11" x14ac:dyDescent="0.2">
      <c r="A2711" t="s">
        <v>2750</v>
      </c>
      <c r="B2711">
        <v>2023</v>
      </c>
      <c r="C2711" t="s">
        <v>12</v>
      </c>
      <c r="D2711">
        <v>395</v>
      </c>
      <c r="E2711" t="s">
        <v>38</v>
      </c>
      <c r="F2711" t="s">
        <v>39</v>
      </c>
      <c r="G2711" t="s">
        <v>15</v>
      </c>
      <c r="H2711">
        <v>1.173666381899163E-3</v>
      </c>
      <c r="I2711">
        <v>3</v>
      </c>
      <c r="J2711" t="s">
        <v>16</v>
      </c>
      <c r="K2711" s="59" t="s">
        <v>4376</v>
      </c>
    </row>
    <row r="2712" spans="1:11" x14ac:dyDescent="0.2">
      <c r="A2712" t="s">
        <v>2751</v>
      </c>
      <c r="B2712">
        <v>2019</v>
      </c>
      <c r="C2712" t="s">
        <v>19</v>
      </c>
      <c r="D2712">
        <v>129</v>
      </c>
      <c r="E2712" t="s">
        <v>25</v>
      </c>
      <c r="F2712" t="s">
        <v>26</v>
      </c>
      <c r="G2712" t="s">
        <v>15</v>
      </c>
      <c r="H2712">
        <v>-0.6445370958392419</v>
      </c>
      <c r="I2712">
        <v>2</v>
      </c>
      <c r="J2712" t="s">
        <v>16</v>
      </c>
      <c r="K2712" s="59" t="s">
        <v>23</v>
      </c>
    </row>
    <row r="2713" spans="1:11" x14ac:dyDescent="0.2">
      <c r="A2713" t="s">
        <v>2752</v>
      </c>
      <c r="B2713">
        <v>2018</v>
      </c>
      <c r="C2713" t="s">
        <v>33</v>
      </c>
      <c r="D2713">
        <v>69</v>
      </c>
      <c r="E2713" t="s">
        <v>20</v>
      </c>
      <c r="F2713" t="s">
        <v>21</v>
      </c>
      <c r="G2713" t="s">
        <v>48</v>
      </c>
      <c r="H2713">
        <v>-0.17617336389942639</v>
      </c>
      <c r="I2713">
        <v>3</v>
      </c>
      <c r="J2713" t="s">
        <v>23</v>
      </c>
      <c r="K2713" s="59" t="s">
        <v>23</v>
      </c>
    </row>
    <row r="2714" spans="1:11" x14ac:dyDescent="0.2">
      <c r="A2714" t="s">
        <v>2753</v>
      </c>
      <c r="B2714">
        <v>2023</v>
      </c>
      <c r="C2714" t="s">
        <v>33</v>
      </c>
      <c r="D2714">
        <v>156</v>
      </c>
      <c r="E2714" t="s">
        <v>53</v>
      </c>
      <c r="F2714" t="s">
        <v>54</v>
      </c>
      <c r="G2714" t="s">
        <v>15</v>
      </c>
      <c r="H2714">
        <v>-1.04784616478901</v>
      </c>
      <c r="I2714">
        <v>3</v>
      </c>
      <c r="J2714" t="s">
        <v>23</v>
      </c>
      <c r="K2714" s="59" t="s">
        <v>4376</v>
      </c>
    </row>
    <row r="2715" spans="1:11" x14ac:dyDescent="0.2">
      <c r="A2715" t="s">
        <v>2754</v>
      </c>
      <c r="B2715">
        <v>2023</v>
      </c>
      <c r="C2715" t="s">
        <v>33</v>
      </c>
      <c r="D2715">
        <v>256</v>
      </c>
      <c r="E2715" t="s">
        <v>13</v>
      </c>
      <c r="F2715" t="s">
        <v>14</v>
      </c>
      <c r="G2715" t="s">
        <v>167</v>
      </c>
      <c r="H2715">
        <v>-0.14014974837353231</v>
      </c>
      <c r="I2715">
        <v>4</v>
      </c>
      <c r="J2715" t="s">
        <v>23</v>
      </c>
      <c r="K2715" s="59" t="s">
        <v>4376</v>
      </c>
    </row>
    <row r="2716" spans="1:11" x14ac:dyDescent="0.2">
      <c r="A2716" t="s">
        <v>2755</v>
      </c>
      <c r="B2716">
        <v>2022</v>
      </c>
      <c r="C2716" t="s">
        <v>33</v>
      </c>
      <c r="D2716">
        <v>353</v>
      </c>
      <c r="E2716" t="s">
        <v>53</v>
      </c>
      <c r="F2716" t="s">
        <v>54</v>
      </c>
      <c r="G2716" t="s">
        <v>15</v>
      </c>
      <c r="H2716">
        <v>0.46058692577733279</v>
      </c>
      <c r="I2716">
        <v>3</v>
      </c>
      <c r="J2716" t="s">
        <v>16</v>
      </c>
      <c r="K2716" s="59" t="s">
        <v>4376</v>
      </c>
    </row>
    <row r="2717" spans="1:11" x14ac:dyDescent="0.2">
      <c r="A2717" t="s">
        <v>2756</v>
      </c>
      <c r="B2717">
        <v>2023</v>
      </c>
      <c r="C2717" t="s">
        <v>19</v>
      </c>
      <c r="D2717">
        <v>157</v>
      </c>
      <c r="E2717" t="s">
        <v>53</v>
      </c>
      <c r="F2717" t="s">
        <v>54</v>
      </c>
      <c r="G2717" t="s">
        <v>15</v>
      </c>
      <c r="H2717">
        <v>-1.0325061672578271</v>
      </c>
      <c r="I2717">
        <v>3</v>
      </c>
      <c r="J2717" t="s">
        <v>23</v>
      </c>
      <c r="K2717" s="59" t="s">
        <v>23</v>
      </c>
    </row>
    <row r="2718" spans="1:11" x14ac:dyDescent="0.2">
      <c r="A2718" t="s">
        <v>2757</v>
      </c>
      <c r="B2718">
        <v>2023</v>
      </c>
      <c r="C2718" t="s">
        <v>19</v>
      </c>
      <c r="D2718">
        <v>156</v>
      </c>
      <c r="E2718" t="s">
        <v>53</v>
      </c>
      <c r="F2718" t="s">
        <v>54</v>
      </c>
      <c r="G2718" t="s">
        <v>15</v>
      </c>
      <c r="H2718">
        <v>-1.04784616478901</v>
      </c>
      <c r="I2718">
        <v>3</v>
      </c>
      <c r="J2718" t="s">
        <v>23</v>
      </c>
      <c r="K2718" s="59" t="s">
        <v>17</v>
      </c>
    </row>
    <row r="2719" spans="1:11" x14ac:dyDescent="0.2">
      <c r="A2719" t="s">
        <v>2758</v>
      </c>
      <c r="B2719">
        <v>2022</v>
      </c>
      <c r="C2719" t="s">
        <v>19</v>
      </c>
      <c r="D2719">
        <v>125</v>
      </c>
      <c r="E2719" t="s">
        <v>20</v>
      </c>
      <c r="F2719" t="s">
        <v>21</v>
      </c>
      <c r="G2719" t="s">
        <v>41</v>
      </c>
      <c r="H2719">
        <v>-1.014871209466073</v>
      </c>
      <c r="I2719">
        <v>3</v>
      </c>
      <c r="J2719" t="s">
        <v>23</v>
      </c>
      <c r="K2719" s="59" t="s">
        <v>23</v>
      </c>
    </row>
    <row r="2720" spans="1:11" x14ac:dyDescent="0.2">
      <c r="A2720" t="s">
        <v>2759</v>
      </c>
      <c r="B2720">
        <v>2022</v>
      </c>
      <c r="C2720" t="s">
        <v>33</v>
      </c>
      <c r="D2720">
        <v>353</v>
      </c>
      <c r="E2720" t="s">
        <v>53</v>
      </c>
      <c r="F2720" t="s">
        <v>54</v>
      </c>
      <c r="G2720" t="s">
        <v>15</v>
      </c>
      <c r="H2720">
        <v>0.46058692577733279</v>
      </c>
      <c r="I2720">
        <v>3</v>
      </c>
      <c r="J2720" t="s">
        <v>16</v>
      </c>
      <c r="K2720" s="59" t="s">
        <v>4376</v>
      </c>
    </row>
    <row r="2721" spans="1:11" x14ac:dyDescent="0.2">
      <c r="A2721" t="s">
        <v>2760</v>
      </c>
      <c r="B2721">
        <v>2023</v>
      </c>
      <c r="C2721" t="s">
        <v>12</v>
      </c>
      <c r="D2721">
        <v>176</v>
      </c>
      <c r="E2721" t="s">
        <v>25</v>
      </c>
      <c r="F2721" t="s">
        <v>26</v>
      </c>
      <c r="G2721" t="s">
        <v>15</v>
      </c>
      <c r="H2721">
        <v>0.66024472310180182</v>
      </c>
      <c r="I2721">
        <v>2</v>
      </c>
      <c r="J2721" t="s">
        <v>23</v>
      </c>
      <c r="K2721" s="59" t="s">
        <v>17</v>
      </c>
    </row>
    <row r="2722" spans="1:11" x14ac:dyDescent="0.2">
      <c r="A2722" t="s">
        <v>2761</v>
      </c>
      <c r="B2722">
        <v>2021</v>
      </c>
      <c r="C2722" t="s">
        <v>19</v>
      </c>
      <c r="D2722">
        <v>163</v>
      </c>
      <c r="E2722" t="s">
        <v>25</v>
      </c>
      <c r="F2722" t="s">
        <v>26</v>
      </c>
      <c r="G2722" t="s">
        <v>15</v>
      </c>
      <c r="H2722">
        <v>-0.54562798474636165</v>
      </c>
      <c r="I2722">
        <v>2</v>
      </c>
      <c r="J2722" t="s">
        <v>16</v>
      </c>
      <c r="K2722" s="59" t="s">
        <v>17</v>
      </c>
    </row>
    <row r="2723" spans="1:11" x14ac:dyDescent="0.2">
      <c r="A2723" t="s">
        <v>2762</v>
      </c>
      <c r="B2723">
        <v>2024</v>
      </c>
      <c r="C2723" t="s">
        <v>19</v>
      </c>
      <c r="D2723">
        <v>197</v>
      </c>
      <c r="E2723" t="s">
        <v>29</v>
      </c>
      <c r="F2723" t="s">
        <v>30</v>
      </c>
      <c r="G2723" t="s">
        <v>15</v>
      </c>
      <c r="H2723">
        <v>0.71721230114275092</v>
      </c>
      <c r="I2723">
        <v>4</v>
      </c>
      <c r="J2723" t="s">
        <v>16</v>
      </c>
      <c r="K2723" s="59" t="s">
        <v>16</v>
      </c>
    </row>
    <row r="2724" spans="1:11" x14ac:dyDescent="0.2">
      <c r="A2724" t="s">
        <v>2763</v>
      </c>
      <c r="B2724">
        <v>2022</v>
      </c>
      <c r="C2724" t="s">
        <v>19</v>
      </c>
      <c r="D2724">
        <v>168</v>
      </c>
      <c r="E2724" t="s">
        <v>25</v>
      </c>
      <c r="F2724" t="s">
        <v>26</v>
      </c>
      <c r="G2724" t="s">
        <v>15</v>
      </c>
      <c r="H2724">
        <v>0.90945984931638402</v>
      </c>
      <c r="I2724">
        <v>2</v>
      </c>
      <c r="J2724" t="s">
        <v>23</v>
      </c>
      <c r="K2724" s="59" t="s">
        <v>17</v>
      </c>
    </row>
    <row r="2725" spans="1:11" x14ac:dyDescent="0.2">
      <c r="A2725" t="s">
        <v>2764</v>
      </c>
      <c r="B2725">
        <v>2022</v>
      </c>
      <c r="C2725" t="s">
        <v>33</v>
      </c>
      <c r="D2725">
        <v>353</v>
      </c>
      <c r="E2725" t="s">
        <v>53</v>
      </c>
      <c r="F2725" t="s">
        <v>54</v>
      </c>
      <c r="G2725" t="s">
        <v>15</v>
      </c>
      <c r="H2725">
        <v>0.46058692577733279</v>
      </c>
      <c r="I2725">
        <v>3</v>
      </c>
      <c r="J2725" t="s">
        <v>16</v>
      </c>
      <c r="K2725" s="59" t="s">
        <v>4376</v>
      </c>
    </row>
    <row r="2726" spans="1:11" x14ac:dyDescent="0.2">
      <c r="A2726" t="s">
        <v>2765</v>
      </c>
      <c r="B2726">
        <v>2023</v>
      </c>
      <c r="C2726" t="s">
        <v>19</v>
      </c>
      <c r="D2726">
        <v>493</v>
      </c>
      <c r="E2726" t="s">
        <v>53</v>
      </c>
      <c r="F2726" t="s">
        <v>54</v>
      </c>
      <c r="G2726" t="s">
        <v>15</v>
      </c>
      <c r="H2726">
        <v>0.47172941154625192</v>
      </c>
      <c r="I2726">
        <v>3</v>
      </c>
      <c r="J2726" t="s">
        <v>16</v>
      </c>
      <c r="K2726" s="59" t="s">
        <v>17</v>
      </c>
    </row>
    <row r="2727" spans="1:11" x14ac:dyDescent="0.2">
      <c r="A2727" t="s">
        <v>2766</v>
      </c>
      <c r="B2727">
        <v>2022</v>
      </c>
      <c r="C2727" t="s">
        <v>33</v>
      </c>
      <c r="D2727">
        <v>353</v>
      </c>
      <c r="E2727" t="s">
        <v>53</v>
      </c>
      <c r="F2727" t="s">
        <v>54</v>
      </c>
      <c r="G2727" t="s">
        <v>15</v>
      </c>
      <c r="H2727">
        <v>0.46058692577733279</v>
      </c>
      <c r="I2727">
        <v>3</v>
      </c>
      <c r="J2727" t="s">
        <v>16</v>
      </c>
      <c r="K2727" s="59" t="s">
        <v>4376</v>
      </c>
    </row>
    <row r="2728" spans="1:11" x14ac:dyDescent="0.2">
      <c r="A2728" t="s">
        <v>2767</v>
      </c>
      <c r="B2728">
        <v>2022</v>
      </c>
      <c r="C2728" t="s">
        <v>33</v>
      </c>
      <c r="D2728">
        <v>353</v>
      </c>
      <c r="E2728" t="s">
        <v>53</v>
      </c>
      <c r="F2728" t="s">
        <v>54</v>
      </c>
      <c r="G2728" t="s">
        <v>15</v>
      </c>
      <c r="H2728">
        <v>0.46058692577733279</v>
      </c>
      <c r="I2728">
        <v>3</v>
      </c>
      <c r="J2728" t="s">
        <v>16</v>
      </c>
      <c r="K2728" s="59" t="s">
        <v>4376</v>
      </c>
    </row>
    <row r="2729" spans="1:11" x14ac:dyDescent="0.2">
      <c r="A2729" t="s">
        <v>2768</v>
      </c>
      <c r="B2729">
        <v>2021</v>
      </c>
      <c r="C2729" t="s">
        <v>19</v>
      </c>
      <c r="D2729">
        <v>164</v>
      </c>
      <c r="E2729" t="s">
        <v>25</v>
      </c>
      <c r="F2729" t="s">
        <v>26</v>
      </c>
      <c r="G2729" t="s">
        <v>80</v>
      </c>
      <c r="H2729">
        <v>0.33075274377427538</v>
      </c>
      <c r="I2729">
        <v>2</v>
      </c>
      <c r="J2729" t="s">
        <v>23</v>
      </c>
      <c r="K2729" s="59" t="s">
        <v>23</v>
      </c>
    </row>
    <row r="2730" spans="1:11" x14ac:dyDescent="0.2">
      <c r="A2730" t="s">
        <v>2769</v>
      </c>
      <c r="B2730">
        <v>2024</v>
      </c>
      <c r="C2730" t="s">
        <v>12</v>
      </c>
      <c r="D2730">
        <v>113</v>
      </c>
      <c r="E2730" t="s">
        <v>25</v>
      </c>
      <c r="F2730" t="s">
        <v>26</v>
      </c>
      <c r="G2730" t="s">
        <v>15</v>
      </c>
      <c r="H2730">
        <v>1.207133472294913</v>
      </c>
      <c r="I2730">
        <v>2</v>
      </c>
      <c r="J2730" t="s">
        <v>23</v>
      </c>
      <c r="K2730" s="59" t="s">
        <v>4376</v>
      </c>
    </row>
    <row r="2731" spans="1:11" x14ac:dyDescent="0.2">
      <c r="A2731" t="s">
        <v>2770</v>
      </c>
      <c r="B2731">
        <v>2024</v>
      </c>
      <c r="C2731" t="s">
        <v>33</v>
      </c>
      <c r="D2731">
        <v>372</v>
      </c>
      <c r="E2731" t="s">
        <v>20</v>
      </c>
      <c r="F2731" t="s">
        <v>21</v>
      </c>
      <c r="G2731" t="s">
        <v>48</v>
      </c>
      <c r="H2731">
        <v>0.55751423982795778</v>
      </c>
      <c r="I2731">
        <v>3</v>
      </c>
      <c r="J2731" t="s">
        <v>23</v>
      </c>
      <c r="K2731" s="59" t="s">
        <v>4376</v>
      </c>
    </row>
    <row r="2732" spans="1:11" x14ac:dyDescent="0.2">
      <c r="A2732" t="s">
        <v>2771</v>
      </c>
      <c r="B2732">
        <v>2023</v>
      </c>
      <c r="C2732" t="s">
        <v>19</v>
      </c>
      <c r="D2732">
        <v>99</v>
      </c>
      <c r="E2732" t="s">
        <v>20</v>
      </c>
      <c r="F2732" t="s">
        <v>21</v>
      </c>
      <c r="G2732" t="s">
        <v>36</v>
      </c>
      <c r="H2732">
        <v>-0.73234827742086162</v>
      </c>
      <c r="I2732">
        <v>3</v>
      </c>
      <c r="J2732" t="s">
        <v>17</v>
      </c>
      <c r="K2732" s="59" t="s">
        <v>16</v>
      </c>
    </row>
    <row r="2733" spans="1:11" x14ac:dyDescent="0.2">
      <c r="A2733" t="s">
        <v>2772</v>
      </c>
      <c r="B2733">
        <v>2021</v>
      </c>
      <c r="C2733" t="s">
        <v>12</v>
      </c>
      <c r="D2733">
        <v>367</v>
      </c>
      <c r="E2733" t="s">
        <v>38</v>
      </c>
      <c r="F2733" t="s">
        <v>39</v>
      </c>
      <c r="G2733" t="s">
        <v>15</v>
      </c>
      <c r="H2733">
        <v>0.69029355547504967</v>
      </c>
      <c r="I2733">
        <v>3</v>
      </c>
      <c r="J2733" t="s">
        <v>23</v>
      </c>
      <c r="K2733" s="59" t="s">
        <v>16</v>
      </c>
    </row>
    <row r="2734" spans="1:11" x14ac:dyDescent="0.2">
      <c r="A2734" t="s">
        <v>2773</v>
      </c>
      <c r="B2734">
        <v>2021</v>
      </c>
      <c r="C2734" t="s">
        <v>33</v>
      </c>
      <c r="D2734">
        <v>481</v>
      </c>
      <c r="E2734" t="s">
        <v>29</v>
      </c>
      <c r="F2734" t="s">
        <v>30</v>
      </c>
      <c r="G2734" t="s">
        <v>15</v>
      </c>
      <c r="H2734">
        <v>0.4023348338519363</v>
      </c>
      <c r="I2734">
        <v>4</v>
      </c>
      <c r="J2734" t="s">
        <v>23</v>
      </c>
      <c r="K2734" s="59" t="s">
        <v>4376</v>
      </c>
    </row>
    <row r="2735" spans="1:11" x14ac:dyDescent="0.2">
      <c r="A2735" t="s">
        <v>2774</v>
      </c>
      <c r="B2735">
        <v>2023</v>
      </c>
      <c r="C2735" t="s">
        <v>19</v>
      </c>
      <c r="D2735">
        <v>110</v>
      </c>
      <c r="E2735" t="s">
        <v>20</v>
      </c>
      <c r="F2735" t="s">
        <v>21</v>
      </c>
      <c r="G2735" t="s">
        <v>15</v>
      </c>
      <c r="H2735">
        <v>-0.24747783999191811</v>
      </c>
      <c r="I2735">
        <v>3</v>
      </c>
      <c r="J2735" t="s">
        <v>23</v>
      </c>
      <c r="K2735" s="59" t="s">
        <v>17</v>
      </c>
    </row>
    <row r="2736" spans="1:11" x14ac:dyDescent="0.2">
      <c r="A2736" t="s">
        <v>2775</v>
      </c>
      <c r="B2736">
        <v>2023</v>
      </c>
      <c r="C2736" t="s">
        <v>19</v>
      </c>
      <c r="D2736">
        <v>168</v>
      </c>
      <c r="E2736" t="s">
        <v>25</v>
      </c>
      <c r="F2736" t="s">
        <v>26</v>
      </c>
      <c r="G2736" t="s">
        <v>15</v>
      </c>
      <c r="H2736">
        <v>-1.7030569575430781</v>
      </c>
      <c r="I2736">
        <v>2</v>
      </c>
      <c r="J2736" t="s">
        <v>23</v>
      </c>
      <c r="K2736" s="59" t="s">
        <v>17</v>
      </c>
    </row>
    <row r="2737" spans="1:11" x14ac:dyDescent="0.2">
      <c r="A2737" t="s">
        <v>2776</v>
      </c>
      <c r="B2737">
        <v>2022</v>
      </c>
      <c r="C2737" t="s">
        <v>33</v>
      </c>
      <c r="D2737">
        <v>136</v>
      </c>
      <c r="E2737" t="s">
        <v>25</v>
      </c>
      <c r="F2737" t="s">
        <v>26</v>
      </c>
      <c r="G2737" t="s">
        <v>22</v>
      </c>
      <c r="H2737">
        <v>0.68839340872203547</v>
      </c>
      <c r="I2737">
        <v>2</v>
      </c>
      <c r="J2737" t="s">
        <v>16</v>
      </c>
      <c r="K2737" s="59" t="s">
        <v>23</v>
      </c>
    </row>
    <row r="2738" spans="1:11" x14ac:dyDescent="0.2">
      <c r="A2738" t="s">
        <v>2777</v>
      </c>
      <c r="B2738">
        <v>2023</v>
      </c>
      <c r="C2738" t="s">
        <v>33</v>
      </c>
      <c r="D2738">
        <v>104</v>
      </c>
      <c r="E2738" t="s">
        <v>20</v>
      </c>
      <c r="F2738" t="s">
        <v>21</v>
      </c>
      <c r="G2738" t="s">
        <v>36</v>
      </c>
      <c r="H2738">
        <v>-0.63727564263087266</v>
      </c>
      <c r="I2738">
        <v>3</v>
      </c>
      <c r="J2738" t="s">
        <v>17</v>
      </c>
      <c r="K2738" s="59" t="s">
        <v>4376</v>
      </c>
    </row>
    <row r="2739" spans="1:11" x14ac:dyDescent="0.2">
      <c r="A2739" t="s">
        <v>2778</v>
      </c>
      <c r="B2739">
        <v>2023</v>
      </c>
      <c r="C2739" t="s">
        <v>33</v>
      </c>
      <c r="D2739">
        <v>113</v>
      </c>
      <c r="E2739" t="s">
        <v>20</v>
      </c>
      <c r="F2739" t="s">
        <v>21</v>
      </c>
      <c r="G2739" t="s">
        <v>36</v>
      </c>
      <c r="H2739">
        <v>-1.7858395005619301</v>
      </c>
      <c r="I2739">
        <v>3</v>
      </c>
      <c r="J2739" t="s">
        <v>17</v>
      </c>
      <c r="K2739" s="59" t="s">
        <v>17</v>
      </c>
    </row>
    <row r="2740" spans="1:11" x14ac:dyDescent="0.2">
      <c r="A2740" t="s">
        <v>2779</v>
      </c>
      <c r="B2740">
        <v>2022</v>
      </c>
      <c r="C2740" t="s">
        <v>19</v>
      </c>
      <c r="D2740">
        <v>124</v>
      </c>
      <c r="E2740" t="s">
        <v>25</v>
      </c>
      <c r="F2740" t="s">
        <v>26</v>
      </c>
      <c r="G2740" t="s">
        <v>15</v>
      </c>
      <c r="H2740">
        <v>-0.99548733024042579</v>
      </c>
      <c r="I2740">
        <v>2</v>
      </c>
      <c r="J2740" t="s">
        <v>23</v>
      </c>
      <c r="K2740" s="59" t="s">
        <v>17</v>
      </c>
    </row>
    <row r="2741" spans="1:11" x14ac:dyDescent="0.2">
      <c r="A2741" t="s">
        <v>2780</v>
      </c>
      <c r="B2741">
        <v>2023</v>
      </c>
      <c r="C2741" t="s">
        <v>33</v>
      </c>
      <c r="D2741">
        <v>105</v>
      </c>
      <c r="E2741" t="s">
        <v>20</v>
      </c>
      <c r="F2741" t="s">
        <v>21</v>
      </c>
      <c r="G2741" t="s">
        <v>36</v>
      </c>
      <c r="H2741">
        <v>-0.63727564263087266</v>
      </c>
      <c r="I2741">
        <v>3</v>
      </c>
      <c r="J2741" t="s">
        <v>17</v>
      </c>
      <c r="K2741" s="59" t="s">
        <v>4376</v>
      </c>
    </row>
    <row r="2742" spans="1:11" x14ac:dyDescent="0.2">
      <c r="A2742" t="s">
        <v>2781</v>
      </c>
      <c r="B2742">
        <v>2021</v>
      </c>
      <c r="C2742" t="s">
        <v>19</v>
      </c>
      <c r="D2742">
        <v>382</v>
      </c>
      <c r="E2742" t="s">
        <v>29</v>
      </c>
      <c r="F2742" t="s">
        <v>30</v>
      </c>
      <c r="G2742" t="s">
        <v>15</v>
      </c>
      <c r="H2742">
        <v>-0.1911280323988247</v>
      </c>
      <c r="I2742">
        <v>4</v>
      </c>
      <c r="J2742" t="s">
        <v>23</v>
      </c>
      <c r="K2742" s="59" t="s">
        <v>17</v>
      </c>
    </row>
    <row r="2743" spans="1:11" x14ac:dyDescent="0.2">
      <c r="A2743" t="s">
        <v>2782</v>
      </c>
      <c r="B2743">
        <v>2023</v>
      </c>
      <c r="C2743" t="s">
        <v>12</v>
      </c>
      <c r="D2743">
        <v>85</v>
      </c>
      <c r="E2743" t="s">
        <v>20</v>
      </c>
      <c r="F2743" t="s">
        <v>21</v>
      </c>
      <c r="G2743" t="s">
        <v>15</v>
      </c>
      <c r="H2743">
        <v>1.207133472294913</v>
      </c>
      <c r="I2743">
        <v>3</v>
      </c>
      <c r="J2743" t="s">
        <v>16</v>
      </c>
      <c r="K2743" s="59" t="s">
        <v>16</v>
      </c>
    </row>
    <row r="2744" spans="1:11" x14ac:dyDescent="0.2">
      <c r="A2744" t="s">
        <v>2783</v>
      </c>
      <c r="B2744">
        <v>2021</v>
      </c>
      <c r="C2744" t="s">
        <v>19</v>
      </c>
      <c r="D2744">
        <v>185</v>
      </c>
      <c r="E2744" t="s">
        <v>25</v>
      </c>
      <c r="F2744" t="s">
        <v>26</v>
      </c>
      <c r="G2744" t="s">
        <v>15</v>
      </c>
      <c r="H2744">
        <v>0.39622946487064492</v>
      </c>
      <c r="I2744">
        <v>2</v>
      </c>
      <c r="J2744" t="s">
        <v>23</v>
      </c>
      <c r="K2744" s="59" t="s">
        <v>23</v>
      </c>
    </row>
    <row r="2745" spans="1:11" x14ac:dyDescent="0.2">
      <c r="A2745" t="s">
        <v>2784</v>
      </c>
      <c r="B2745">
        <v>2021</v>
      </c>
      <c r="C2745" t="s">
        <v>33</v>
      </c>
      <c r="D2745">
        <v>181</v>
      </c>
      <c r="E2745" t="s">
        <v>25</v>
      </c>
      <c r="F2745" t="s">
        <v>26</v>
      </c>
      <c r="G2745" t="s">
        <v>15</v>
      </c>
      <c r="H2745">
        <v>0.37714937057830922</v>
      </c>
      <c r="I2745">
        <v>2</v>
      </c>
      <c r="J2745" t="s">
        <v>23</v>
      </c>
      <c r="K2745" s="59" t="s">
        <v>4376</v>
      </c>
    </row>
    <row r="2746" spans="1:11" x14ac:dyDescent="0.2">
      <c r="A2746" t="s">
        <v>2785</v>
      </c>
      <c r="B2746">
        <v>2022</v>
      </c>
      <c r="C2746" t="s">
        <v>33</v>
      </c>
      <c r="D2746">
        <v>352</v>
      </c>
      <c r="E2746" t="s">
        <v>53</v>
      </c>
      <c r="F2746" t="s">
        <v>54</v>
      </c>
      <c r="G2746" t="s">
        <v>36</v>
      </c>
      <c r="H2746">
        <v>5.4377775466296963E-2</v>
      </c>
      <c r="I2746">
        <v>3</v>
      </c>
      <c r="J2746" t="s">
        <v>16</v>
      </c>
      <c r="K2746" s="59" t="s">
        <v>4376</v>
      </c>
    </row>
    <row r="2747" spans="1:11" x14ac:dyDescent="0.2">
      <c r="A2747" t="s">
        <v>2786</v>
      </c>
      <c r="B2747">
        <v>2020</v>
      </c>
      <c r="C2747" t="s">
        <v>19</v>
      </c>
      <c r="D2747">
        <v>110</v>
      </c>
      <c r="E2747" t="s">
        <v>20</v>
      </c>
      <c r="F2747" t="s">
        <v>21</v>
      </c>
      <c r="G2747" t="s">
        <v>15</v>
      </c>
      <c r="H2747">
        <v>-0.50313679790899735</v>
      </c>
      <c r="I2747">
        <v>3</v>
      </c>
      <c r="J2747" t="s">
        <v>16</v>
      </c>
      <c r="K2747" s="59" t="s">
        <v>23</v>
      </c>
    </row>
    <row r="2748" spans="1:11" x14ac:dyDescent="0.2">
      <c r="A2748" t="s">
        <v>2787</v>
      </c>
      <c r="B2748">
        <v>2020</v>
      </c>
      <c r="C2748" t="s">
        <v>19</v>
      </c>
      <c r="D2748">
        <v>198</v>
      </c>
      <c r="E2748" t="s">
        <v>25</v>
      </c>
      <c r="F2748" t="s">
        <v>26</v>
      </c>
      <c r="G2748" t="s">
        <v>15</v>
      </c>
      <c r="H2748">
        <v>-0.79424663113519478</v>
      </c>
      <c r="I2748">
        <v>2</v>
      </c>
      <c r="J2748" t="s">
        <v>17</v>
      </c>
      <c r="K2748" s="59" t="s">
        <v>17</v>
      </c>
    </row>
    <row r="2749" spans="1:11" x14ac:dyDescent="0.2">
      <c r="A2749" t="s">
        <v>2788</v>
      </c>
      <c r="B2749">
        <v>2021</v>
      </c>
      <c r="C2749" t="s">
        <v>12</v>
      </c>
      <c r="D2749">
        <v>195</v>
      </c>
      <c r="E2749" t="s">
        <v>29</v>
      </c>
      <c r="F2749" t="s">
        <v>30</v>
      </c>
      <c r="G2749" t="s">
        <v>48</v>
      </c>
      <c r="H2749">
        <v>-5.0418196972668257E-2</v>
      </c>
      <c r="I2749">
        <v>4</v>
      </c>
      <c r="J2749" t="s">
        <v>23</v>
      </c>
      <c r="K2749" s="59" t="s">
        <v>17</v>
      </c>
    </row>
    <row r="2750" spans="1:11" x14ac:dyDescent="0.2">
      <c r="A2750" t="s">
        <v>2789</v>
      </c>
      <c r="B2750">
        <v>2024</v>
      </c>
      <c r="C2750" t="s">
        <v>19</v>
      </c>
      <c r="D2750">
        <v>430</v>
      </c>
      <c r="E2750" t="s">
        <v>53</v>
      </c>
      <c r="F2750" t="s">
        <v>54</v>
      </c>
      <c r="G2750" t="s">
        <v>15</v>
      </c>
      <c r="H2750">
        <v>-6.7144253657508118E-2</v>
      </c>
      <c r="I2750">
        <v>3</v>
      </c>
      <c r="J2750" t="s">
        <v>16</v>
      </c>
      <c r="K2750" s="59" t="s">
        <v>23</v>
      </c>
    </row>
    <row r="2751" spans="1:11" x14ac:dyDescent="0.2">
      <c r="A2751" t="s">
        <v>2790</v>
      </c>
      <c r="B2751">
        <v>2023</v>
      </c>
      <c r="C2751" t="s">
        <v>33</v>
      </c>
      <c r="D2751">
        <v>74</v>
      </c>
      <c r="E2751" t="s">
        <v>20</v>
      </c>
      <c r="F2751" t="s">
        <v>21</v>
      </c>
      <c r="G2751" t="s">
        <v>48</v>
      </c>
      <c r="H2751">
        <v>-2.325819198548845</v>
      </c>
      <c r="I2751">
        <v>3</v>
      </c>
      <c r="J2751" t="s">
        <v>23</v>
      </c>
      <c r="K2751" s="59" t="s">
        <v>16</v>
      </c>
    </row>
    <row r="2752" spans="1:11" x14ac:dyDescent="0.2">
      <c r="A2752" t="s">
        <v>2791</v>
      </c>
      <c r="B2752">
        <v>2023</v>
      </c>
      <c r="C2752" t="s">
        <v>19</v>
      </c>
      <c r="D2752">
        <v>191</v>
      </c>
      <c r="E2752" t="s">
        <v>25</v>
      </c>
      <c r="F2752" t="s">
        <v>26</v>
      </c>
      <c r="G2752" t="s">
        <v>15</v>
      </c>
      <c r="H2752">
        <v>-0.1066216235321132</v>
      </c>
      <c r="I2752">
        <v>2</v>
      </c>
      <c r="J2752" t="s">
        <v>23</v>
      </c>
      <c r="K2752" s="59" t="s">
        <v>4376</v>
      </c>
    </row>
    <row r="2753" spans="1:11" x14ac:dyDescent="0.2">
      <c r="A2753" t="s">
        <v>2792</v>
      </c>
      <c r="B2753">
        <v>2023</v>
      </c>
      <c r="C2753" t="s">
        <v>19</v>
      </c>
      <c r="D2753">
        <v>186</v>
      </c>
      <c r="E2753" t="s">
        <v>25</v>
      </c>
      <c r="F2753" t="s">
        <v>26</v>
      </c>
      <c r="G2753" t="s">
        <v>15</v>
      </c>
      <c r="H2753">
        <v>1.207133472294913</v>
      </c>
      <c r="I2753">
        <v>2</v>
      </c>
      <c r="J2753" t="s">
        <v>23</v>
      </c>
      <c r="K2753" s="59" t="s">
        <v>4376</v>
      </c>
    </row>
    <row r="2754" spans="1:11" x14ac:dyDescent="0.2">
      <c r="A2754" t="s">
        <v>2793</v>
      </c>
      <c r="B2754">
        <v>2022</v>
      </c>
      <c r="C2754" t="s">
        <v>33</v>
      </c>
      <c r="D2754">
        <v>352</v>
      </c>
      <c r="E2754" t="s">
        <v>53</v>
      </c>
      <c r="F2754" t="s">
        <v>54</v>
      </c>
      <c r="G2754" t="s">
        <v>36</v>
      </c>
      <c r="H2754">
        <v>5.4377775466296963E-2</v>
      </c>
      <c r="I2754">
        <v>3</v>
      </c>
      <c r="J2754" t="s">
        <v>16</v>
      </c>
      <c r="K2754" s="59" t="s">
        <v>4376</v>
      </c>
    </row>
    <row r="2755" spans="1:11" x14ac:dyDescent="0.2">
      <c r="A2755" t="s">
        <v>2794</v>
      </c>
      <c r="B2755">
        <v>2022</v>
      </c>
      <c r="C2755" t="s">
        <v>33</v>
      </c>
      <c r="D2755">
        <v>352</v>
      </c>
      <c r="E2755" t="s">
        <v>53</v>
      </c>
      <c r="F2755" t="s">
        <v>54</v>
      </c>
      <c r="G2755" t="s">
        <v>36</v>
      </c>
      <c r="H2755">
        <v>5.4377775466296963E-2</v>
      </c>
      <c r="I2755">
        <v>3</v>
      </c>
      <c r="J2755" t="s">
        <v>16</v>
      </c>
      <c r="K2755" s="59" t="s">
        <v>4376</v>
      </c>
    </row>
    <row r="2756" spans="1:11" x14ac:dyDescent="0.2">
      <c r="A2756" t="s">
        <v>2795</v>
      </c>
      <c r="B2756">
        <v>2021</v>
      </c>
      <c r="C2756" t="s">
        <v>33</v>
      </c>
      <c r="D2756">
        <v>169</v>
      </c>
      <c r="E2756" t="s">
        <v>20</v>
      </c>
      <c r="F2756" t="s">
        <v>21</v>
      </c>
      <c r="G2756" t="s">
        <v>15</v>
      </c>
      <c r="H2756">
        <v>8.7313652518543006E-2</v>
      </c>
      <c r="I2756">
        <v>3</v>
      </c>
      <c r="J2756" t="s">
        <v>23</v>
      </c>
      <c r="K2756" s="59" t="s">
        <v>4376</v>
      </c>
    </row>
    <row r="2757" spans="1:11" x14ac:dyDescent="0.2">
      <c r="A2757" t="s">
        <v>2796</v>
      </c>
      <c r="B2757">
        <v>2020</v>
      </c>
      <c r="C2757" t="s">
        <v>33</v>
      </c>
      <c r="D2757">
        <v>118</v>
      </c>
      <c r="E2757" t="s">
        <v>13</v>
      </c>
      <c r="F2757" t="s">
        <v>14</v>
      </c>
      <c r="G2757" t="s">
        <v>41</v>
      </c>
      <c r="H2757">
        <v>0.59366696233046667</v>
      </c>
      <c r="I2757">
        <v>4</v>
      </c>
      <c r="J2757" t="s">
        <v>23</v>
      </c>
      <c r="K2757" s="59" t="s">
        <v>4376</v>
      </c>
    </row>
    <row r="2758" spans="1:11" x14ac:dyDescent="0.2">
      <c r="A2758" t="s">
        <v>2797</v>
      </c>
      <c r="B2758">
        <v>2020</v>
      </c>
      <c r="C2758" t="s">
        <v>19</v>
      </c>
      <c r="D2758">
        <v>52</v>
      </c>
      <c r="E2758" t="s">
        <v>20</v>
      </c>
      <c r="F2758" t="s">
        <v>21</v>
      </c>
      <c r="G2758" t="s">
        <v>48</v>
      </c>
      <c r="H2758">
        <v>0.30266361786015239</v>
      </c>
      <c r="I2758">
        <v>3</v>
      </c>
      <c r="J2758" t="s">
        <v>16</v>
      </c>
      <c r="K2758" s="59" t="s">
        <v>16</v>
      </c>
    </row>
    <row r="2759" spans="1:11" x14ac:dyDescent="0.2">
      <c r="A2759" t="s">
        <v>2798</v>
      </c>
      <c r="B2759">
        <v>2019</v>
      </c>
      <c r="C2759" t="s">
        <v>19</v>
      </c>
      <c r="D2759">
        <v>44</v>
      </c>
      <c r="E2759" t="s">
        <v>13</v>
      </c>
      <c r="F2759" t="s">
        <v>14</v>
      </c>
      <c r="G2759" t="s">
        <v>15</v>
      </c>
      <c r="H2759">
        <v>2.2760523911723571</v>
      </c>
      <c r="I2759">
        <v>4</v>
      </c>
      <c r="J2759" t="s">
        <v>17</v>
      </c>
      <c r="K2759" s="59" t="s">
        <v>17</v>
      </c>
    </row>
    <row r="2760" spans="1:11" x14ac:dyDescent="0.2">
      <c r="A2760" t="s">
        <v>2799</v>
      </c>
      <c r="B2760">
        <v>2020</v>
      </c>
      <c r="C2760" t="s">
        <v>33</v>
      </c>
      <c r="D2760">
        <v>89</v>
      </c>
      <c r="E2760" t="s">
        <v>13</v>
      </c>
      <c r="F2760" t="s">
        <v>14</v>
      </c>
      <c r="G2760" t="s">
        <v>41</v>
      </c>
      <c r="H2760">
        <v>-0.16008840068786431</v>
      </c>
      <c r="I2760">
        <v>4</v>
      </c>
      <c r="J2760" t="s">
        <v>23</v>
      </c>
      <c r="K2760" s="59" t="s">
        <v>4376</v>
      </c>
    </row>
    <row r="2761" spans="1:11" x14ac:dyDescent="0.2">
      <c r="A2761" t="s">
        <v>2800</v>
      </c>
      <c r="B2761">
        <v>2022</v>
      </c>
      <c r="C2761" t="s">
        <v>33</v>
      </c>
      <c r="D2761">
        <v>70</v>
      </c>
      <c r="E2761" t="s">
        <v>13</v>
      </c>
      <c r="F2761" t="s">
        <v>14</v>
      </c>
      <c r="G2761" t="s">
        <v>41</v>
      </c>
      <c r="H2761">
        <v>-0.49694016649521522</v>
      </c>
      <c r="I2761">
        <v>4</v>
      </c>
      <c r="J2761" t="s">
        <v>23</v>
      </c>
      <c r="K2761" s="59" t="s">
        <v>23</v>
      </c>
    </row>
    <row r="2762" spans="1:11" x14ac:dyDescent="0.2">
      <c r="A2762" t="s">
        <v>2801</v>
      </c>
      <c r="B2762">
        <v>2023</v>
      </c>
      <c r="C2762" t="s">
        <v>12</v>
      </c>
      <c r="D2762">
        <v>393</v>
      </c>
      <c r="E2762" t="s">
        <v>38</v>
      </c>
      <c r="F2762" t="s">
        <v>39</v>
      </c>
      <c r="G2762" t="s">
        <v>15</v>
      </c>
      <c r="H2762">
        <v>-5.0426212774462454E-3</v>
      </c>
      <c r="I2762">
        <v>3</v>
      </c>
      <c r="J2762" t="s">
        <v>16</v>
      </c>
      <c r="K2762" s="59" t="s">
        <v>4376</v>
      </c>
    </row>
    <row r="2763" spans="1:11" x14ac:dyDescent="0.2">
      <c r="A2763" t="s">
        <v>2802</v>
      </c>
      <c r="B2763">
        <v>2023</v>
      </c>
      <c r="C2763" t="s">
        <v>19</v>
      </c>
      <c r="D2763">
        <v>91</v>
      </c>
      <c r="E2763" t="s">
        <v>25</v>
      </c>
      <c r="F2763" t="s">
        <v>26</v>
      </c>
      <c r="G2763" t="s">
        <v>41</v>
      </c>
      <c r="H2763">
        <v>0.16196830717030089</v>
      </c>
      <c r="I2763">
        <v>2</v>
      </c>
      <c r="J2763" t="s">
        <v>23</v>
      </c>
      <c r="K2763" s="59" t="s">
        <v>23</v>
      </c>
    </row>
    <row r="2764" spans="1:11" x14ac:dyDescent="0.2">
      <c r="A2764" t="s">
        <v>2803</v>
      </c>
      <c r="B2764">
        <v>2024</v>
      </c>
      <c r="C2764" t="s">
        <v>33</v>
      </c>
      <c r="D2764">
        <v>282</v>
      </c>
      <c r="E2764" t="s">
        <v>25</v>
      </c>
      <c r="F2764" t="s">
        <v>26</v>
      </c>
      <c r="G2764" t="s">
        <v>48</v>
      </c>
      <c r="H2764">
        <v>0.30806666358556928</v>
      </c>
      <c r="I2764">
        <v>2</v>
      </c>
      <c r="J2764" t="s">
        <v>23</v>
      </c>
      <c r="K2764" s="59" t="s">
        <v>4376</v>
      </c>
    </row>
    <row r="2765" spans="1:11" x14ac:dyDescent="0.2">
      <c r="A2765" t="s">
        <v>2804</v>
      </c>
      <c r="B2765">
        <v>2020</v>
      </c>
      <c r="C2765" t="s">
        <v>19</v>
      </c>
      <c r="D2765">
        <v>90</v>
      </c>
      <c r="E2765" t="s">
        <v>25</v>
      </c>
      <c r="F2765" t="s">
        <v>26</v>
      </c>
      <c r="G2765" t="s">
        <v>15</v>
      </c>
      <c r="H2765">
        <v>-0.59487543309234914</v>
      </c>
      <c r="I2765">
        <v>2</v>
      </c>
      <c r="J2765" t="s">
        <v>16</v>
      </c>
      <c r="K2765" s="59" t="s">
        <v>23</v>
      </c>
    </row>
    <row r="2766" spans="1:11" x14ac:dyDescent="0.2">
      <c r="A2766" t="s">
        <v>2805</v>
      </c>
      <c r="B2766">
        <v>2022</v>
      </c>
      <c r="C2766" t="s">
        <v>33</v>
      </c>
      <c r="D2766">
        <v>353</v>
      </c>
      <c r="E2766" t="s">
        <v>53</v>
      </c>
      <c r="F2766" t="s">
        <v>54</v>
      </c>
      <c r="G2766" t="s">
        <v>15</v>
      </c>
      <c r="H2766">
        <v>0.46058692577733279</v>
      </c>
      <c r="I2766">
        <v>3</v>
      </c>
      <c r="J2766" t="s">
        <v>16</v>
      </c>
      <c r="K2766" s="59" t="s">
        <v>4376</v>
      </c>
    </row>
    <row r="2767" spans="1:11" x14ac:dyDescent="0.2">
      <c r="A2767" t="s">
        <v>2806</v>
      </c>
      <c r="B2767">
        <v>2021</v>
      </c>
      <c r="C2767" t="s">
        <v>19</v>
      </c>
      <c r="D2767">
        <v>90</v>
      </c>
      <c r="E2767" t="s">
        <v>20</v>
      </c>
      <c r="F2767" t="s">
        <v>21</v>
      </c>
      <c r="G2767" t="s">
        <v>15</v>
      </c>
      <c r="H2767">
        <v>-1.222588701713416E-2</v>
      </c>
      <c r="I2767">
        <v>3</v>
      </c>
      <c r="J2767" t="s">
        <v>23</v>
      </c>
      <c r="K2767" s="59" t="s">
        <v>17</v>
      </c>
    </row>
    <row r="2768" spans="1:11" x14ac:dyDescent="0.2">
      <c r="A2768" t="s">
        <v>2807</v>
      </c>
      <c r="B2768">
        <v>2022</v>
      </c>
      <c r="C2768" t="s">
        <v>33</v>
      </c>
      <c r="D2768">
        <v>352</v>
      </c>
      <c r="E2768" t="s">
        <v>53</v>
      </c>
      <c r="F2768" t="s">
        <v>54</v>
      </c>
      <c r="G2768" t="s">
        <v>36</v>
      </c>
      <c r="H2768">
        <v>5.4377775466296963E-2</v>
      </c>
      <c r="I2768">
        <v>3</v>
      </c>
      <c r="J2768" t="s">
        <v>16</v>
      </c>
      <c r="K2768" s="59" t="s">
        <v>4376</v>
      </c>
    </row>
    <row r="2769" spans="1:11" x14ac:dyDescent="0.2">
      <c r="A2769" t="s">
        <v>2808</v>
      </c>
      <c r="B2769">
        <v>2022</v>
      </c>
      <c r="C2769" t="s">
        <v>33</v>
      </c>
      <c r="D2769">
        <v>58</v>
      </c>
      <c r="E2769" t="s">
        <v>20</v>
      </c>
      <c r="F2769" t="s">
        <v>21</v>
      </c>
      <c r="G2769" t="s">
        <v>15</v>
      </c>
      <c r="H2769">
        <v>-2.213407068112907</v>
      </c>
      <c r="I2769">
        <v>3</v>
      </c>
      <c r="J2769" t="s">
        <v>17</v>
      </c>
      <c r="K2769" s="59" t="s">
        <v>4376</v>
      </c>
    </row>
    <row r="2770" spans="1:11" x14ac:dyDescent="0.2">
      <c r="A2770" t="s">
        <v>2809</v>
      </c>
      <c r="B2770">
        <v>2023</v>
      </c>
      <c r="C2770" t="s">
        <v>12</v>
      </c>
      <c r="D2770">
        <v>214</v>
      </c>
      <c r="E2770" t="s">
        <v>25</v>
      </c>
      <c r="F2770" t="s">
        <v>26</v>
      </c>
      <c r="G2770" t="s">
        <v>48</v>
      </c>
      <c r="H2770">
        <v>-0.33853332119923152</v>
      </c>
      <c r="I2770">
        <v>2</v>
      </c>
      <c r="J2770" t="s">
        <v>23</v>
      </c>
      <c r="K2770" s="59" t="s">
        <v>23</v>
      </c>
    </row>
    <row r="2771" spans="1:11" x14ac:dyDescent="0.2">
      <c r="A2771" t="s">
        <v>2810</v>
      </c>
      <c r="B2771">
        <v>2021</v>
      </c>
      <c r="C2771" t="s">
        <v>33</v>
      </c>
      <c r="D2771">
        <v>149</v>
      </c>
      <c r="E2771" t="s">
        <v>20</v>
      </c>
      <c r="F2771" t="s">
        <v>21</v>
      </c>
      <c r="G2771" t="s">
        <v>48</v>
      </c>
      <c r="H2771">
        <v>-1.3180977991471019</v>
      </c>
      <c r="I2771">
        <v>3</v>
      </c>
      <c r="J2771" t="s">
        <v>23</v>
      </c>
      <c r="K2771" s="59" t="s">
        <v>4376</v>
      </c>
    </row>
    <row r="2772" spans="1:11" x14ac:dyDescent="0.2">
      <c r="A2772" t="s">
        <v>2811</v>
      </c>
      <c r="B2772">
        <v>2021</v>
      </c>
      <c r="C2772" t="s">
        <v>12</v>
      </c>
      <c r="D2772">
        <v>77</v>
      </c>
      <c r="E2772" t="s">
        <v>29</v>
      </c>
      <c r="F2772" t="s">
        <v>30</v>
      </c>
      <c r="G2772" t="s">
        <v>15</v>
      </c>
      <c r="H2772">
        <v>-4.7064725854621493E-2</v>
      </c>
      <c r="I2772">
        <v>4</v>
      </c>
      <c r="J2772" t="s">
        <v>23</v>
      </c>
      <c r="K2772" s="59" t="s">
        <v>17</v>
      </c>
    </row>
    <row r="2773" spans="1:11" x14ac:dyDescent="0.2">
      <c r="A2773" t="s">
        <v>2812</v>
      </c>
      <c r="B2773">
        <v>2022</v>
      </c>
      <c r="C2773" t="s">
        <v>19</v>
      </c>
      <c r="D2773">
        <v>353</v>
      </c>
      <c r="E2773" t="s">
        <v>53</v>
      </c>
      <c r="F2773" t="s">
        <v>54</v>
      </c>
      <c r="G2773" t="s">
        <v>15</v>
      </c>
      <c r="H2773">
        <v>0.46058692577733279</v>
      </c>
      <c r="I2773">
        <v>3</v>
      </c>
      <c r="J2773" t="s">
        <v>16</v>
      </c>
      <c r="K2773" s="59" t="s">
        <v>4376</v>
      </c>
    </row>
    <row r="2774" spans="1:11" x14ac:dyDescent="0.2">
      <c r="A2774" t="s">
        <v>2813</v>
      </c>
      <c r="B2774">
        <v>2022</v>
      </c>
      <c r="C2774" t="s">
        <v>19</v>
      </c>
      <c r="D2774">
        <v>353</v>
      </c>
      <c r="E2774" t="s">
        <v>53</v>
      </c>
      <c r="F2774" t="s">
        <v>54</v>
      </c>
      <c r="G2774" t="s">
        <v>15</v>
      </c>
      <c r="H2774">
        <v>0.46058692577733279</v>
      </c>
      <c r="I2774">
        <v>3</v>
      </c>
      <c r="J2774" t="s">
        <v>16</v>
      </c>
      <c r="K2774" s="59" t="s">
        <v>4376</v>
      </c>
    </row>
    <row r="2775" spans="1:11" x14ac:dyDescent="0.2">
      <c r="A2775" t="s">
        <v>2814</v>
      </c>
      <c r="B2775">
        <v>2021</v>
      </c>
      <c r="C2775" t="s">
        <v>33</v>
      </c>
      <c r="D2775">
        <v>233</v>
      </c>
      <c r="E2775" t="s">
        <v>13</v>
      </c>
      <c r="F2775" t="s">
        <v>14</v>
      </c>
      <c r="G2775" t="s">
        <v>15</v>
      </c>
      <c r="H2775">
        <v>0.59366696233046667</v>
      </c>
      <c r="I2775">
        <v>4</v>
      </c>
      <c r="J2775" t="s">
        <v>23</v>
      </c>
      <c r="K2775" s="59" t="s">
        <v>17</v>
      </c>
    </row>
    <row r="2776" spans="1:11" x14ac:dyDescent="0.2">
      <c r="A2776" t="s">
        <v>2815</v>
      </c>
      <c r="B2776">
        <v>2023</v>
      </c>
      <c r="C2776" t="s">
        <v>19</v>
      </c>
      <c r="D2776">
        <v>156</v>
      </c>
      <c r="E2776" t="s">
        <v>53</v>
      </c>
      <c r="F2776" t="s">
        <v>54</v>
      </c>
      <c r="G2776" t="s">
        <v>15</v>
      </c>
      <c r="H2776">
        <v>-1.04784616478901</v>
      </c>
      <c r="I2776">
        <v>3</v>
      </c>
      <c r="J2776" t="s">
        <v>23</v>
      </c>
      <c r="K2776" s="59" t="s">
        <v>23</v>
      </c>
    </row>
    <row r="2777" spans="1:11" x14ac:dyDescent="0.2">
      <c r="A2777" t="s">
        <v>2816</v>
      </c>
      <c r="B2777">
        <v>2019</v>
      </c>
      <c r="C2777" t="s">
        <v>19</v>
      </c>
      <c r="D2777">
        <v>429</v>
      </c>
      <c r="E2777" t="s">
        <v>13</v>
      </c>
      <c r="F2777" t="s">
        <v>14</v>
      </c>
      <c r="G2777" t="s">
        <v>22</v>
      </c>
      <c r="H2777">
        <v>1.089552391218394</v>
      </c>
      <c r="I2777">
        <v>4</v>
      </c>
      <c r="J2777" t="s">
        <v>23</v>
      </c>
      <c r="K2777" s="59" t="s">
        <v>23</v>
      </c>
    </row>
    <row r="2778" spans="1:11" x14ac:dyDescent="0.2">
      <c r="A2778" t="s">
        <v>2817</v>
      </c>
      <c r="B2778">
        <v>2022</v>
      </c>
      <c r="C2778" t="s">
        <v>33</v>
      </c>
      <c r="D2778">
        <v>352</v>
      </c>
      <c r="E2778" t="s">
        <v>53</v>
      </c>
      <c r="F2778" t="s">
        <v>54</v>
      </c>
      <c r="G2778" t="s">
        <v>36</v>
      </c>
      <c r="H2778">
        <v>5.4377775466296963E-2</v>
      </c>
      <c r="I2778">
        <v>3</v>
      </c>
      <c r="J2778" t="s">
        <v>16</v>
      </c>
      <c r="K2778" s="59" t="s">
        <v>4376</v>
      </c>
    </row>
    <row r="2779" spans="1:11" x14ac:dyDescent="0.2">
      <c r="A2779" t="s">
        <v>2818</v>
      </c>
      <c r="B2779">
        <v>2022</v>
      </c>
      <c r="C2779" t="s">
        <v>33</v>
      </c>
      <c r="D2779">
        <v>96</v>
      </c>
      <c r="E2779" t="s">
        <v>20</v>
      </c>
      <c r="F2779" t="s">
        <v>21</v>
      </c>
      <c r="G2779" t="s">
        <v>147</v>
      </c>
      <c r="H2779">
        <v>1.207133472294913</v>
      </c>
      <c r="I2779">
        <v>3</v>
      </c>
      <c r="J2779" t="s">
        <v>16</v>
      </c>
      <c r="K2779" s="59" t="s">
        <v>4376</v>
      </c>
    </row>
    <row r="2780" spans="1:11" x14ac:dyDescent="0.2">
      <c r="A2780" t="s">
        <v>2819</v>
      </c>
      <c r="B2780">
        <v>2020</v>
      </c>
      <c r="C2780" t="s">
        <v>33</v>
      </c>
      <c r="D2780">
        <v>128</v>
      </c>
      <c r="E2780" t="s">
        <v>25</v>
      </c>
      <c r="F2780" t="s">
        <v>26</v>
      </c>
      <c r="G2780" t="s">
        <v>36</v>
      </c>
      <c r="H2780">
        <v>-0.27420298221241102</v>
      </c>
      <c r="I2780">
        <v>2</v>
      </c>
      <c r="J2780" t="s">
        <v>23</v>
      </c>
      <c r="K2780" s="59" t="s">
        <v>4376</v>
      </c>
    </row>
    <row r="2781" spans="1:11" x14ac:dyDescent="0.2">
      <c r="A2781" t="s">
        <v>2820</v>
      </c>
      <c r="B2781">
        <v>2020</v>
      </c>
      <c r="C2781" t="s">
        <v>33</v>
      </c>
      <c r="D2781">
        <v>275</v>
      </c>
      <c r="E2781" t="s">
        <v>13</v>
      </c>
      <c r="F2781" t="s">
        <v>14</v>
      </c>
      <c r="G2781" t="s">
        <v>22</v>
      </c>
      <c r="H2781">
        <v>-0.60180623657460774</v>
      </c>
      <c r="I2781">
        <v>4</v>
      </c>
      <c r="J2781" t="s">
        <v>23</v>
      </c>
      <c r="K2781" s="59" t="s">
        <v>4376</v>
      </c>
    </row>
    <row r="2782" spans="1:11" x14ac:dyDescent="0.2">
      <c r="A2782" t="s">
        <v>2821</v>
      </c>
      <c r="B2782">
        <v>2021</v>
      </c>
      <c r="C2782" t="s">
        <v>33</v>
      </c>
      <c r="D2782">
        <v>481</v>
      </c>
      <c r="E2782" t="s">
        <v>29</v>
      </c>
      <c r="F2782" t="s">
        <v>30</v>
      </c>
      <c r="G2782" t="s">
        <v>15</v>
      </c>
      <c r="H2782">
        <v>0.4023348338519363</v>
      </c>
      <c r="I2782">
        <v>4</v>
      </c>
      <c r="J2782" t="s">
        <v>23</v>
      </c>
      <c r="K2782" s="59" t="s">
        <v>4376</v>
      </c>
    </row>
    <row r="2783" spans="1:11" x14ac:dyDescent="0.2">
      <c r="A2783" t="s">
        <v>2822</v>
      </c>
      <c r="B2783">
        <v>2021</v>
      </c>
      <c r="C2783" t="s">
        <v>33</v>
      </c>
      <c r="D2783">
        <v>56</v>
      </c>
      <c r="E2783" t="s">
        <v>20</v>
      </c>
      <c r="F2783" t="s">
        <v>21</v>
      </c>
      <c r="G2783" t="s">
        <v>48</v>
      </c>
      <c r="H2783">
        <v>0.33616250135773618</v>
      </c>
      <c r="I2783">
        <v>3</v>
      </c>
      <c r="J2783" t="s">
        <v>23</v>
      </c>
      <c r="K2783" s="59" t="s">
        <v>4376</v>
      </c>
    </row>
    <row r="2784" spans="1:11" x14ac:dyDescent="0.2">
      <c r="A2784" t="s">
        <v>2823</v>
      </c>
      <c r="B2784">
        <v>2022</v>
      </c>
      <c r="C2784" t="s">
        <v>33</v>
      </c>
      <c r="D2784">
        <v>352</v>
      </c>
      <c r="E2784" t="s">
        <v>53</v>
      </c>
      <c r="F2784" t="s">
        <v>54</v>
      </c>
      <c r="G2784" t="s">
        <v>36</v>
      </c>
      <c r="H2784">
        <v>5.4377775466296963E-2</v>
      </c>
      <c r="I2784">
        <v>3</v>
      </c>
      <c r="J2784" t="s">
        <v>16</v>
      </c>
      <c r="K2784" s="59" t="s">
        <v>4376</v>
      </c>
    </row>
    <row r="2785" spans="1:11" x14ac:dyDescent="0.2">
      <c r="A2785" t="s">
        <v>2824</v>
      </c>
      <c r="B2785">
        <v>2022</v>
      </c>
      <c r="C2785" t="s">
        <v>19</v>
      </c>
      <c r="D2785">
        <v>352</v>
      </c>
      <c r="E2785" t="s">
        <v>53</v>
      </c>
      <c r="F2785" t="s">
        <v>54</v>
      </c>
      <c r="G2785" t="s">
        <v>36</v>
      </c>
      <c r="H2785">
        <v>5.4377775466296963E-2</v>
      </c>
      <c r="I2785">
        <v>3</v>
      </c>
      <c r="J2785" t="s">
        <v>16</v>
      </c>
      <c r="K2785" s="59" t="s">
        <v>23</v>
      </c>
    </row>
    <row r="2786" spans="1:11" x14ac:dyDescent="0.2">
      <c r="A2786" t="s">
        <v>2825</v>
      </c>
      <c r="B2786">
        <v>2022</v>
      </c>
      <c r="C2786" t="s">
        <v>33</v>
      </c>
      <c r="D2786">
        <v>352</v>
      </c>
      <c r="E2786" t="s">
        <v>53</v>
      </c>
      <c r="F2786" t="s">
        <v>54</v>
      </c>
      <c r="G2786" t="s">
        <v>36</v>
      </c>
      <c r="H2786">
        <v>5.4377775466296963E-2</v>
      </c>
      <c r="I2786">
        <v>3</v>
      </c>
      <c r="J2786" t="s">
        <v>16</v>
      </c>
      <c r="K2786" s="59" t="s">
        <v>4376</v>
      </c>
    </row>
    <row r="2787" spans="1:11" x14ac:dyDescent="0.2">
      <c r="A2787" t="s">
        <v>2826</v>
      </c>
      <c r="B2787">
        <v>2021</v>
      </c>
      <c r="C2787" t="s">
        <v>19</v>
      </c>
      <c r="D2787">
        <v>115</v>
      </c>
      <c r="E2787" t="s">
        <v>25</v>
      </c>
      <c r="F2787" t="s">
        <v>26</v>
      </c>
      <c r="G2787" t="s">
        <v>80</v>
      </c>
      <c r="H2787">
        <v>-0.2038395006233131</v>
      </c>
      <c r="I2787">
        <v>2</v>
      </c>
      <c r="J2787" t="s">
        <v>23</v>
      </c>
      <c r="K2787" s="59" t="s">
        <v>17</v>
      </c>
    </row>
    <row r="2788" spans="1:11" x14ac:dyDescent="0.2">
      <c r="A2788" t="s">
        <v>2827</v>
      </c>
      <c r="B2788">
        <v>2023</v>
      </c>
      <c r="C2788" t="s">
        <v>12</v>
      </c>
      <c r="D2788">
        <v>393</v>
      </c>
      <c r="E2788" t="s">
        <v>38</v>
      </c>
      <c r="F2788" t="s">
        <v>39</v>
      </c>
      <c r="G2788" t="s">
        <v>15</v>
      </c>
      <c r="H2788">
        <v>-5.0426212774462454E-3</v>
      </c>
      <c r="I2788">
        <v>3</v>
      </c>
      <c r="J2788" t="s">
        <v>16</v>
      </c>
      <c r="K2788" s="59" t="s">
        <v>4376</v>
      </c>
    </row>
    <row r="2789" spans="1:11" x14ac:dyDescent="0.2">
      <c r="A2789" t="s">
        <v>2828</v>
      </c>
      <c r="B2789">
        <v>2021</v>
      </c>
      <c r="C2789" t="s">
        <v>19</v>
      </c>
      <c r="D2789">
        <v>344</v>
      </c>
      <c r="E2789" t="s">
        <v>38</v>
      </c>
      <c r="F2789" t="s">
        <v>39</v>
      </c>
      <c r="G2789" t="s">
        <v>15</v>
      </c>
      <c r="H2789">
        <v>0.79091725609484598</v>
      </c>
      <c r="I2789">
        <v>3</v>
      </c>
      <c r="J2789" t="s">
        <v>23</v>
      </c>
      <c r="K2789" s="59" t="s">
        <v>17</v>
      </c>
    </row>
    <row r="2790" spans="1:11" x14ac:dyDescent="0.2">
      <c r="A2790" t="s">
        <v>2829</v>
      </c>
      <c r="B2790">
        <v>2020</v>
      </c>
      <c r="C2790" t="s">
        <v>19</v>
      </c>
      <c r="D2790">
        <v>116</v>
      </c>
      <c r="E2790" t="s">
        <v>20</v>
      </c>
      <c r="F2790" t="s">
        <v>21</v>
      </c>
      <c r="G2790" t="s">
        <v>41</v>
      </c>
      <c r="H2790">
        <v>2.04699833712719</v>
      </c>
      <c r="I2790">
        <v>3</v>
      </c>
      <c r="J2790" t="s">
        <v>23</v>
      </c>
      <c r="K2790" s="59" t="s">
        <v>23</v>
      </c>
    </row>
    <row r="2791" spans="1:11" x14ac:dyDescent="0.2">
      <c r="A2791" t="s">
        <v>2830</v>
      </c>
      <c r="B2791">
        <v>2021</v>
      </c>
      <c r="C2791" t="s">
        <v>12</v>
      </c>
      <c r="D2791">
        <v>399</v>
      </c>
      <c r="E2791" t="s">
        <v>38</v>
      </c>
      <c r="F2791" t="s">
        <v>39</v>
      </c>
      <c r="G2791" t="s">
        <v>15</v>
      </c>
      <c r="H2791">
        <v>0.20729434749458239</v>
      </c>
      <c r="I2791">
        <v>3</v>
      </c>
      <c r="J2791" t="s">
        <v>23</v>
      </c>
      <c r="K2791" s="59" t="s">
        <v>17</v>
      </c>
    </row>
    <row r="2792" spans="1:11" x14ac:dyDescent="0.2">
      <c r="A2792" t="s">
        <v>2831</v>
      </c>
      <c r="B2792">
        <v>2021</v>
      </c>
      <c r="C2792" t="s">
        <v>33</v>
      </c>
      <c r="D2792">
        <v>481</v>
      </c>
      <c r="E2792" t="s">
        <v>29</v>
      </c>
      <c r="F2792" t="s">
        <v>30</v>
      </c>
      <c r="G2792" t="s">
        <v>15</v>
      </c>
      <c r="H2792">
        <v>0.4023348338519363</v>
      </c>
      <c r="I2792">
        <v>4</v>
      </c>
      <c r="J2792" t="s">
        <v>23</v>
      </c>
      <c r="K2792" s="59" t="s">
        <v>4376</v>
      </c>
    </row>
    <row r="2793" spans="1:11" x14ac:dyDescent="0.2">
      <c r="A2793" t="s">
        <v>2832</v>
      </c>
      <c r="B2793">
        <v>2021</v>
      </c>
      <c r="C2793" t="s">
        <v>33</v>
      </c>
      <c r="D2793">
        <v>114</v>
      </c>
      <c r="E2793" t="s">
        <v>25</v>
      </c>
      <c r="F2793" t="s">
        <v>26</v>
      </c>
      <c r="G2793" t="s">
        <v>15</v>
      </c>
      <c r="H2793">
        <v>0.78720103987877399</v>
      </c>
      <c r="I2793">
        <v>2</v>
      </c>
      <c r="J2793" t="s">
        <v>23</v>
      </c>
      <c r="K2793" s="59" t="s">
        <v>17</v>
      </c>
    </row>
    <row r="2794" spans="1:11" x14ac:dyDescent="0.2">
      <c r="A2794" t="s">
        <v>2833</v>
      </c>
      <c r="B2794">
        <v>2022</v>
      </c>
      <c r="C2794" t="s">
        <v>33</v>
      </c>
      <c r="D2794">
        <v>352</v>
      </c>
      <c r="E2794" t="s">
        <v>53</v>
      </c>
      <c r="F2794" t="s">
        <v>54</v>
      </c>
      <c r="G2794" t="s">
        <v>36</v>
      </c>
      <c r="H2794">
        <v>5.4377775466296963E-2</v>
      </c>
      <c r="I2794">
        <v>3</v>
      </c>
      <c r="J2794" t="s">
        <v>16</v>
      </c>
      <c r="K2794" s="59" t="s">
        <v>4376</v>
      </c>
    </row>
    <row r="2795" spans="1:11" x14ac:dyDescent="0.2">
      <c r="A2795" t="s">
        <v>2834</v>
      </c>
      <c r="B2795">
        <v>2022</v>
      </c>
      <c r="C2795" t="s">
        <v>19</v>
      </c>
      <c r="D2795">
        <v>352</v>
      </c>
      <c r="E2795" t="s">
        <v>53</v>
      </c>
      <c r="F2795" t="s">
        <v>54</v>
      </c>
      <c r="G2795" t="s">
        <v>36</v>
      </c>
      <c r="H2795">
        <v>5.4377775466296963E-2</v>
      </c>
      <c r="I2795">
        <v>3</v>
      </c>
      <c r="J2795" t="s">
        <v>16</v>
      </c>
      <c r="K2795" s="59" t="s">
        <v>17</v>
      </c>
    </row>
    <row r="2796" spans="1:11" x14ac:dyDescent="0.2">
      <c r="A2796" t="s">
        <v>2835</v>
      </c>
      <c r="B2796">
        <v>2023</v>
      </c>
      <c r="C2796" t="s">
        <v>33</v>
      </c>
      <c r="D2796">
        <v>31</v>
      </c>
      <c r="E2796" t="s">
        <v>20</v>
      </c>
      <c r="F2796" t="s">
        <v>21</v>
      </c>
      <c r="G2796" t="s">
        <v>15</v>
      </c>
      <c r="H2796">
        <v>-3.4961097707658402</v>
      </c>
      <c r="I2796">
        <v>3</v>
      </c>
      <c r="J2796" t="s">
        <v>17</v>
      </c>
      <c r="K2796" s="59" t="s">
        <v>17</v>
      </c>
    </row>
    <row r="2797" spans="1:11" x14ac:dyDescent="0.2">
      <c r="A2797" t="s">
        <v>2836</v>
      </c>
      <c r="B2797">
        <v>2022</v>
      </c>
      <c r="C2797" t="s">
        <v>33</v>
      </c>
      <c r="D2797">
        <v>352</v>
      </c>
      <c r="E2797" t="s">
        <v>53</v>
      </c>
      <c r="F2797" t="s">
        <v>54</v>
      </c>
      <c r="G2797" t="s">
        <v>36</v>
      </c>
      <c r="H2797">
        <v>5.4377775466296963E-2</v>
      </c>
      <c r="I2797">
        <v>3</v>
      </c>
      <c r="J2797" t="s">
        <v>16</v>
      </c>
      <c r="K2797" s="59" t="s">
        <v>4376</v>
      </c>
    </row>
    <row r="2798" spans="1:11" x14ac:dyDescent="0.2">
      <c r="A2798" t="s">
        <v>2837</v>
      </c>
      <c r="B2798">
        <v>2020</v>
      </c>
      <c r="C2798" t="s">
        <v>33</v>
      </c>
      <c r="D2798">
        <v>151</v>
      </c>
      <c r="E2798" t="s">
        <v>20</v>
      </c>
      <c r="F2798" t="s">
        <v>21</v>
      </c>
      <c r="G2798" t="s">
        <v>15</v>
      </c>
      <c r="H2798">
        <v>0.25377335545827351</v>
      </c>
      <c r="I2798">
        <v>3</v>
      </c>
      <c r="J2798" t="s">
        <v>16</v>
      </c>
      <c r="K2798" s="59" t="s">
        <v>17</v>
      </c>
    </row>
    <row r="2799" spans="1:11" x14ac:dyDescent="0.2">
      <c r="A2799" t="s">
        <v>2838</v>
      </c>
      <c r="B2799">
        <v>2021</v>
      </c>
      <c r="C2799" t="s">
        <v>33</v>
      </c>
      <c r="D2799">
        <v>137</v>
      </c>
      <c r="E2799" t="s">
        <v>25</v>
      </c>
      <c r="F2799" t="s">
        <v>26</v>
      </c>
      <c r="G2799" t="s">
        <v>15</v>
      </c>
      <c r="H2799">
        <v>0.74603119356346603</v>
      </c>
      <c r="I2799">
        <v>2</v>
      </c>
      <c r="J2799" t="s">
        <v>16</v>
      </c>
      <c r="K2799" s="59" t="s">
        <v>4376</v>
      </c>
    </row>
    <row r="2800" spans="1:11" x14ac:dyDescent="0.2">
      <c r="A2800" t="s">
        <v>2839</v>
      </c>
      <c r="B2800">
        <v>2020</v>
      </c>
      <c r="C2800" t="s">
        <v>12</v>
      </c>
      <c r="D2800">
        <v>272</v>
      </c>
      <c r="E2800" t="s">
        <v>20</v>
      </c>
      <c r="F2800" t="s">
        <v>21</v>
      </c>
      <c r="G2800" t="s">
        <v>15</v>
      </c>
      <c r="H2800">
        <v>1.4646102921705011</v>
      </c>
      <c r="I2800">
        <v>3</v>
      </c>
      <c r="J2800" t="s">
        <v>23</v>
      </c>
      <c r="K2800" s="59" t="s">
        <v>16</v>
      </c>
    </row>
    <row r="2801" spans="1:11" x14ac:dyDescent="0.2">
      <c r="A2801" t="s">
        <v>2840</v>
      </c>
      <c r="B2801">
        <v>2023</v>
      </c>
      <c r="C2801" t="s">
        <v>19</v>
      </c>
      <c r="D2801">
        <v>62</v>
      </c>
      <c r="E2801" t="s">
        <v>20</v>
      </c>
      <c r="F2801" t="s">
        <v>21</v>
      </c>
      <c r="G2801" t="s">
        <v>15</v>
      </c>
      <c r="H2801">
        <v>-0.41467454255362268</v>
      </c>
      <c r="I2801">
        <v>3</v>
      </c>
      <c r="J2801" t="s">
        <v>16</v>
      </c>
      <c r="K2801" s="59" t="s">
        <v>17</v>
      </c>
    </row>
    <row r="2802" spans="1:11" x14ac:dyDescent="0.2">
      <c r="A2802" t="s">
        <v>2841</v>
      </c>
      <c r="B2802">
        <v>2021</v>
      </c>
      <c r="C2802" t="s">
        <v>12</v>
      </c>
      <c r="D2802">
        <v>294</v>
      </c>
      <c r="E2802" t="s">
        <v>38</v>
      </c>
      <c r="F2802" t="s">
        <v>39</v>
      </c>
      <c r="G2802" t="s">
        <v>15</v>
      </c>
      <c r="H2802">
        <v>8.3491741870841948E-2</v>
      </c>
      <c r="I2802">
        <v>3</v>
      </c>
      <c r="J2802" t="s">
        <v>23</v>
      </c>
      <c r="K2802" s="59" t="s">
        <v>17</v>
      </c>
    </row>
    <row r="2803" spans="1:11" x14ac:dyDescent="0.2">
      <c r="A2803" t="s">
        <v>2842</v>
      </c>
      <c r="B2803">
        <v>2021</v>
      </c>
      <c r="C2803" t="s">
        <v>33</v>
      </c>
      <c r="D2803">
        <v>115</v>
      </c>
      <c r="E2803" t="s">
        <v>25</v>
      </c>
      <c r="F2803" t="s">
        <v>26</v>
      </c>
      <c r="G2803" t="s">
        <v>15</v>
      </c>
      <c r="H2803">
        <v>0.37470103989477938</v>
      </c>
      <c r="I2803">
        <v>2</v>
      </c>
      <c r="J2803" t="s">
        <v>23</v>
      </c>
      <c r="K2803" s="59" t="s">
        <v>4376</v>
      </c>
    </row>
    <row r="2804" spans="1:11" x14ac:dyDescent="0.2">
      <c r="A2804" t="s">
        <v>2843</v>
      </c>
      <c r="B2804">
        <v>2021</v>
      </c>
      <c r="C2804" t="s">
        <v>19</v>
      </c>
      <c r="D2804">
        <v>315</v>
      </c>
      <c r="E2804" t="s">
        <v>29</v>
      </c>
      <c r="F2804" t="s">
        <v>30</v>
      </c>
      <c r="G2804" t="s">
        <v>15</v>
      </c>
      <c r="H2804">
        <v>0.71130963643007428</v>
      </c>
      <c r="I2804">
        <v>4</v>
      </c>
      <c r="J2804" t="s">
        <v>16</v>
      </c>
      <c r="K2804" s="59" t="s">
        <v>17</v>
      </c>
    </row>
    <row r="2805" spans="1:11" x14ac:dyDescent="0.2">
      <c r="A2805" t="s">
        <v>2844</v>
      </c>
      <c r="B2805">
        <v>2021</v>
      </c>
      <c r="C2805" t="s">
        <v>12</v>
      </c>
      <c r="D2805">
        <v>301</v>
      </c>
      <c r="E2805" t="s">
        <v>29</v>
      </c>
      <c r="F2805" t="s">
        <v>30</v>
      </c>
      <c r="G2805" t="s">
        <v>15</v>
      </c>
      <c r="H2805">
        <v>0.79886582966811115</v>
      </c>
      <c r="I2805">
        <v>4</v>
      </c>
      <c r="J2805" t="s">
        <v>16</v>
      </c>
      <c r="K2805" s="59" t="s">
        <v>16</v>
      </c>
    </row>
    <row r="2806" spans="1:11" x14ac:dyDescent="0.2">
      <c r="A2806" t="s">
        <v>2845</v>
      </c>
      <c r="B2806">
        <v>2021</v>
      </c>
      <c r="C2806" t="s">
        <v>19</v>
      </c>
      <c r="D2806">
        <v>238</v>
      </c>
      <c r="E2806" t="s">
        <v>25</v>
      </c>
      <c r="F2806" t="s">
        <v>26</v>
      </c>
      <c r="G2806" t="s">
        <v>15</v>
      </c>
      <c r="H2806">
        <v>0.98939072956061846</v>
      </c>
      <c r="I2806">
        <v>2</v>
      </c>
      <c r="J2806" t="s">
        <v>23</v>
      </c>
      <c r="K2806" s="59" t="s">
        <v>17</v>
      </c>
    </row>
    <row r="2807" spans="1:11" x14ac:dyDescent="0.2">
      <c r="A2807" t="s">
        <v>2846</v>
      </c>
      <c r="B2807">
        <v>2022</v>
      </c>
      <c r="C2807" t="s">
        <v>19</v>
      </c>
      <c r="D2807">
        <v>353</v>
      </c>
      <c r="E2807" t="s">
        <v>53</v>
      </c>
      <c r="F2807" t="s">
        <v>54</v>
      </c>
      <c r="G2807" t="s">
        <v>15</v>
      </c>
      <c r="H2807">
        <v>0.46058692577733279</v>
      </c>
      <c r="I2807">
        <v>3</v>
      </c>
      <c r="J2807" t="s">
        <v>16</v>
      </c>
      <c r="K2807" s="59" t="s">
        <v>4376</v>
      </c>
    </row>
    <row r="2808" spans="1:11" x14ac:dyDescent="0.2">
      <c r="A2808" t="s">
        <v>2847</v>
      </c>
      <c r="B2808">
        <v>2021</v>
      </c>
      <c r="C2808" t="s">
        <v>12</v>
      </c>
      <c r="D2808">
        <v>451</v>
      </c>
      <c r="E2808" t="s">
        <v>25</v>
      </c>
      <c r="F2808" t="s">
        <v>26</v>
      </c>
      <c r="G2808" t="s">
        <v>15</v>
      </c>
      <c r="H2808">
        <v>1.0977557224562899</v>
      </c>
      <c r="I2808">
        <v>2</v>
      </c>
      <c r="J2808" t="s">
        <v>23</v>
      </c>
      <c r="K2808" s="59" t="s">
        <v>17</v>
      </c>
    </row>
    <row r="2809" spans="1:11" x14ac:dyDescent="0.2">
      <c r="A2809" t="s">
        <v>2848</v>
      </c>
      <c r="B2809">
        <v>2022</v>
      </c>
      <c r="C2809" t="s">
        <v>19</v>
      </c>
      <c r="D2809">
        <v>353</v>
      </c>
      <c r="E2809" t="s">
        <v>53</v>
      </c>
      <c r="F2809" t="s">
        <v>54</v>
      </c>
      <c r="G2809" t="s">
        <v>15</v>
      </c>
      <c r="H2809">
        <v>0.46058692577733279</v>
      </c>
      <c r="I2809">
        <v>3</v>
      </c>
      <c r="J2809" t="s">
        <v>16</v>
      </c>
      <c r="K2809" s="59" t="s">
        <v>4376</v>
      </c>
    </row>
    <row r="2810" spans="1:11" x14ac:dyDescent="0.2">
      <c r="A2810" t="s">
        <v>2849</v>
      </c>
      <c r="B2810">
        <v>2023</v>
      </c>
      <c r="C2810" t="s">
        <v>12</v>
      </c>
      <c r="D2810">
        <v>394</v>
      </c>
      <c r="E2810" t="s">
        <v>38</v>
      </c>
      <c r="F2810" t="s">
        <v>39</v>
      </c>
      <c r="G2810" t="s">
        <v>15</v>
      </c>
      <c r="H2810">
        <v>-1.9264873608078889E-3</v>
      </c>
      <c r="I2810">
        <v>3</v>
      </c>
      <c r="J2810" t="s">
        <v>16</v>
      </c>
      <c r="K2810" s="59" t="s">
        <v>4376</v>
      </c>
    </row>
    <row r="2811" spans="1:11" x14ac:dyDescent="0.2">
      <c r="A2811" t="s">
        <v>2850</v>
      </c>
      <c r="B2811">
        <v>2022</v>
      </c>
      <c r="C2811" t="s">
        <v>19</v>
      </c>
      <c r="D2811">
        <v>144</v>
      </c>
      <c r="E2811" t="s">
        <v>20</v>
      </c>
      <c r="F2811" t="s">
        <v>21</v>
      </c>
      <c r="G2811" t="s">
        <v>147</v>
      </c>
      <c r="H2811">
        <v>-0.76625530101729133</v>
      </c>
      <c r="I2811">
        <v>3</v>
      </c>
      <c r="J2811" t="s">
        <v>23</v>
      </c>
      <c r="K2811" s="59" t="s">
        <v>23</v>
      </c>
    </row>
    <row r="2812" spans="1:11" x14ac:dyDescent="0.2">
      <c r="A2812" t="s">
        <v>2851</v>
      </c>
      <c r="B2812">
        <v>2021</v>
      </c>
      <c r="C2812" t="s">
        <v>33</v>
      </c>
      <c r="D2812">
        <v>70</v>
      </c>
      <c r="E2812" t="s">
        <v>53</v>
      </c>
      <c r="F2812" t="s">
        <v>54</v>
      </c>
      <c r="G2812" t="s">
        <v>15</v>
      </c>
      <c r="H2812">
        <v>0.51548005419774312</v>
      </c>
      <c r="I2812">
        <v>3</v>
      </c>
      <c r="J2812" t="s">
        <v>16</v>
      </c>
      <c r="K2812" s="59" t="s">
        <v>17</v>
      </c>
    </row>
    <row r="2813" spans="1:11" x14ac:dyDescent="0.2">
      <c r="A2813" t="s">
        <v>2852</v>
      </c>
      <c r="B2813">
        <v>2021</v>
      </c>
      <c r="C2813" t="s">
        <v>33</v>
      </c>
      <c r="D2813">
        <v>481</v>
      </c>
      <c r="E2813" t="s">
        <v>29</v>
      </c>
      <c r="F2813" t="s">
        <v>30</v>
      </c>
      <c r="G2813" t="s">
        <v>15</v>
      </c>
      <c r="H2813">
        <v>0.4023348338519363</v>
      </c>
      <c r="I2813">
        <v>4</v>
      </c>
      <c r="J2813" t="s">
        <v>23</v>
      </c>
      <c r="K2813" s="59" t="s">
        <v>4376</v>
      </c>
    </row>
    <row r="2814" spans="1:11" x14ac:dyDescent="0.2">
      <c r="A2814" t="s">
        <v>2853</v>
      </c>
      <c r="B2814">
        <v>2022</v>
      </c>
      <c r="C2814" t="s">
        <v>33</v>
      </c>
      <c r="D2814">
        <v>353</v>
      </c>
      <c r="E2814" t="s">
        <v>53</v>
      </c>
      <c r="F2814" t="s">
        <v>54</v>
      </c>
      <c r="G2814" t="s">
        <v>15</v>
      </c>
      <c r="H2814">
        <v>0.46058692577733279</v>
      </c>
      <c r="I2814">
        <v>3</v>
      </c>
      <c r="J2814" t="s">
        <v>16</v>
      </c>
      <c r="K2814" s="59" t="s">
        <v>4376</v>
      </c>
    </row>
    <row r="2815" spans="1:11" x14ac:dyDescent="0.2">
      <c r="A2815" t="s">
        <v>2854</v>
      </c>
      <c r="B2815">
        <v>2022</v>
      </c>
      <c r="C2815" t="s">
        <v>33</v>
      </c>
      <c r="D2815">
        <v>352</v>
      </c>
      <c r="E2815" t="s">
        <v>53</v>
      </c>
      <c r="F2815" t="s">
        <v>54</v>
      </c>
      <c r="G2815" t="s">
        <v>36</v>
      </c>
      <c r="H2815">
        <v>5.4377775466296963E-2</v>
      </c>
      <c r="I2815">
        <v>3</v>
      </c>
      <c r="J2815" t="s">
        <v>16</v>
      </c>
      <c r="K2815" s="59" t="s">
        <v>4376</v>
      </c>
    </row>
    <row r="2816" spans="1:11" x14ac:dyDescent="0.2">
      <c r="A2816" t="s">
        <v>2855</v>
      </c>
      <c r="B2816">
        <v>2022</v>
      </c>
      <c r="C2816" t="s">
        <v>19</v>
      </c>
      <c r="D2816">
        <v>289</v>
      </c>
      <c r="E2816" t="s">
        <v>53</v>
      </c>
      <c r="F2816" t="s">
        <v>54</v>
      </c>
      <c r="G2816" t="s">
        <v>15</v>
      </c>
      <c r="H2816">
        <v>0.87591915940331022</v>
      </c>
      <c r="I2816">
        <v>3</v>
      </c>
      <c r="J2816" t="s">
        <v>23</v>
      </c>
      <c r="K2816" s="59" t="s">
        <v>17</v>
      </c>
    </row>
    <row r="2817" spans="1:11" x14ac:dyDescent="0.2">
      <c r="A2817" t="s">
        <v>2856</v>
      </c>
      <c r="B2817">
        <v>2021</v>
      </c>
      <c r="C2817" t="s">
        <v>19</v>
      </c>
      <c r="D2817">
        <v>164</v>
      </c>
      <c r="E2817" t="s">
        <v>25</v>
      </c>
      <c r="F2817" t="s">
        <v>26</v>
      </c>
      <c r="G2817" t="s">
        <v>15</v>
      </c>
      <c r="H2817">
        <v>0.61178622633785529</v>
      </c>
      <c r="I2817">
        <v>2</v>
      </c>
      <c r="J2817" t="s">
        <v>23</v>
      </c>
      <c r="K2817" s="59" t="s">
        <v>17</v>
      </c>
    </row>
    <row r="2818" spans="1:11" x14ac:dyDescent="0.2">
      <c r="A2818" t="s">
        <v>2857</v>
      </c>
      <c r="B2818">
        <v>2022</v>
      </c>
      <c r="C2818" t="s">
        <v>19</v>
      </c>
      <c r="D2818">
        <v>352</v>
      </c>
      <c r="E2818" t="s">
        <v>53</v>
      </c>
      <c r="F2818" t="s">
        <v>54</v>
      </c>
      <c r="G2818" t="s">
        <v>36</v>
      </c>
      <c r="H2818">
        <v>5.4377775466296963E-2</v>
      </c>
      <c r="I2818">
        <v>3</v>
      </c>
      <c r="J2818" t="s">
        <v>16</v>
      </c>
      <c r="K2818" s="59" t="s">
        <v>23</v>
      </c>
    </row>
    <row r="2819" spans="1:11" x14ac:dyDescent="0.2">
      <c r="A2819" t="s">
        <v>2858</v>
      </c>
      <c r="B2819">
        <v>2022</v>
      </c>
      <c r="C2819" t="s">
        <v>19</v>
      </c>
      <c r="D2819">
        <v>353</v>
      </c>
      <c r="E2819" t="s">
        <v>53</v>
      </c>
      <c r="F2819" t="s">
        <v>54</v>
      </c>
      <c r="G2819" t="s">
        <v>15</v>
      </c>
      <c r="H2819">
        <v>0.46058692577733279</v>
      </c>
      <c r="I2819">
        <v>3</v>
      </c>
      <c r="J2819" t="s">
        <v>16</v>
      </c>
      <c r="K2819" s="59" t="s">
        <v>4376</v>
      </c>
    </row>
    <row r="2820" spans="1:11" x14ac:dyDescent="0.2">
      <c r="A2820" t="s">
        <v>2859</v>
      </c>
      <c r="B2820">
        <v>2022</v>
      </c>
      <c r="C2820" t="s">
        <v>33</v>
      </c>
      <c r="D2820">
        <v>352</v>
      </c>
      <c r="E2820" t="s">
        <v>53</v>
      </c>
      <c r="F2820" t="s">
        <v>54</v>
      </c>
      <c r="G2820" t="s">
        <v>36</v>
      </c>
      <c r="H2820">
        <v>5.4377775466296963E-2</v>
      </c>
      <c r="I2820">
        <v>3</v>
      </c>
      <c r="J2820" t="s">
        <v>16</v>
      </c>
      <c r="K2820" s="59" t="s">
        <v>4376</v>
      </c>
    </row>
    <row r="2821" spans="1:11" x14ac:dyDescent="0.2">
      <c r="A2821" t="s">
        <v>2860</v>
      </c>
      <c r="B2821">
        <v>2020</v>
      </c>
      <c r="C2821" t="s">
        <v>19</v>
      </c>
      <c r="D2821">
        <v>70</v>
      </c>
      <c r="E2821" t="s">
        <v>25</v>
      </c>
      <c r="F2821" t="s">
        <v>26</v>
      </c>
      <c r="G2821" t="s">
        <v>15</v>
      </c>
      <c r="H2821">
        <v>-0.83775489425324057</v>
      </c>
      <c r="I2821">
        <v>2</v>
      </c>
      <c r="J2821" t="s">
        <v>23</v>
      </c>
      <c r="K2821" s="59" t="s">
        <v>16</v>
      </c>
    </row>
    <row r="2822" spans="1:11" x14ac:dyDescent="0.2">
      <c r="A2822" t="s">
        <v>2861</v>
      </c>
      <c r="B2822">
        <v>2021</v>
      </c>
      <c r="C2822" t="s">
        <v>19</v>
      </c>
      <c r="D2822">
        <v>101</v>
      </c>
      <c r="E2822" t="s">
        <v>25</v>
      </c>
      <c r="F2822" t="s">
        <v>26</v>
      </c>
      <c r="G2822" t="s">
        <v>15</v>
      </c>
      <c r="H2822">
        <v>-0.23263486741756259</v>
      </c>
      <c r="I2822">
        <v>2</v>
      </c>
      <c r="J2822" t="s">
        <v>23</v>
      </c>
      <c r="K2822" s="59" t="s">
        <v>17</v>
      </c>
    </row>
    <row r="2823" spans="1:11" x14ac:dyDescent="0.2">
      <c r="A2823" t="s">
        <v>2862</v>
      </c>
      <c r="B2823">
        <v>2023</v>
      </c>
      <c r="C2823" t="s">
        <v>33</v>
      </c>
      <c r="D2823">
        <v>405</v>
      </c>
      <c r="E2823" t="s">
        <v>25</v>
      </c>
      <c r="F2823" t="s">
        <v>26</v>
      </c>
      <c r="G2823" t="s">
        <v>57</v>
      </c>
      <c r="H2823">
        <v>-0.73781674100088723</v>
      </c>
      <c r="I2823">
        <v>2</v>
      </c>
      <c r="J2823" t="s">
        <v>17</v>
      </c>
      <c r="K2823" s="59" t="s">
        <v>23</v>
      </c>
    </row>
    <row r="2824" spans="1:11" x14ac:dyDescent="0.2">
      <c r="A2824" t="s">
        <v>2863</v>
      </c>
      <c r="B2824">
        <v>2021</v>
      </c>
      <c r="C2824" t="s">
        <v>19</v>
      </c>
      <c r="D2824">
        <v>181</v>
      </c>
      <c r="E2824" t="s">
        <v>25</v>
      </c>
      <c r="F2824" t="s">
        <v>26</v>
      </c>
      <c r="G2824" t="s">
        <v>15</v>
      </c>
      <c r="H2824">
        <v>0.37714937057830922</v>
      </c>
      <c r="I2824">
        <v>2</v>
      </c>
      <c r="J2824" t="s">
        <v>23</v>
      </c>
      <c r="K2824" s="59" t="s">
        <v>16</v>
      </c>
    </row>
    <row r="2825" spans="1:11" x14ac:dyDescent="0.2">
      <c r="A2825" t="s">
        <v>2864</v>
      </c>
      <c r="B2825">
        <v>2021</v>
      </c>
      <c r="C2825" t="s">
        <v>12</v>
      </c>
      <c r="D2825">
        <v>47</v>
      </c>
      <c r="E2825" t="s">
        <v>20</v>
      </c>
      <c r="F2825" t="s">
        <v>21</v>
      </c>
      <c r="G2825" t="s">
        <v>15</v>
      </c>
      <c r="H2825">
        <v>2.252298637419524</v>
      </c>
      <c r="I2825">
        <v>3</v>
      </c>
      <c r="J2825" t="s">
        <v>23</v>
      </c>
      <c r="K2825" s="59" t="s">
        <v>16</v>
      </c>
    </row>
    <row r="2826" spans="1:11" x14ac:dyDescent="0.2">
      <c r="A2826" t="s">
        <v>2865</v>
      </c>
      <c r="B2826">
        <v>2021</v>
      </c>
      <c r="C2826" t="s">
        <v>12</v>
      </c>
      <c r="D2826">
        <v>398</v>
      </c>
      <c r="E2826" t="s">
        <v>29</v>
      </c>
      <c r="F2826" t="s">
        <v>30</v>
      </c>
      <c r="G2826" t="s">
        <v>15</v>
      </c>
      <c r="H2826">
        <v>0.43743819565275671</v>
      </c>
      <c r="I2826">
        <v>4</v>
      </c>
      <c r="J2826" t="s">
        <v>23</v>
      </c>
      <c r="K2826" s="59" t="s">
        <v>16</v>
      </c>
    </row>
    <row r="2827" spans="1:11" x14ac:dyDescent="0.2">
      <c r="A2827" t="s">
        <v>2866</v>
      </c>
      <c r="B2827">
        <v>2021</v>
      </c>
      <c r="C2827" t="s">
        <v>19</v>
      </c>
      <c r="D2827">
        <v>164</v>
      </c>
      <c r="E2827" t="s">
        <v>25</v>
      </c>
      <c r="F2827" t="s">
        <v>26</v>
      </c>
      <c r="G2827" t="s">
        <v>15</v>
      </c>
      <c r="H2827">
        <v>0.3084245723469981</v>
      </c>
      <c r="I2827">
        <v>2</v>
      </c>
      <c r="J2827" t="s">
        <v>23</v>
      </c>
      <c r="K2827" s="59" t="s">
        <v>17</v>
      </c>
    </row>
    <row r="2828" spans="1:11" x14ac:dyDescent="0.2">
      <c r="A2828" t="s">
        <v>2867</v>
      </c>
      <c r="B2828">
        <v>2021</v>
      </c>
      <c r="C2828" t="s">
        <v>33</v>
      </c>
      <c r="D2828">
        <v>146</v>
      </c>
      <c r="E2828" t="s">
        <v>25</v>
      </c>
      <c r="F2828" t="s">
        <v>26</v>
      </c>
      <c r="G2828" t="s">
        <v>15</v>
      </c>
      <c r="H2828">
        <v>0.16965334514915831</v>
      </c>
      <c r="I2828">
        <v>2</v>
      </c>
      <c r="J2828" t="s">
        <v>23</v>
      </c>
      <c r="K2828" s="59" t="s">
        <v>17</v>
      </c>
    </row>
    <row r="2829" spans="1:11" x14ac:dyDescent="0.2">
      <c r="A2829" t="s">
        <v>2868</v>
      </c>
      <c r="B2829">
        <v>2021</v>
      </c>
      <c r="C2829" t="s">
        <v>33</v>
      </c>
      <c r="D2829">
        <v>242</v>
      </c>
      <c r="E2829" t="s">
        <v>13</v>
      </c>
      <c r="F2829" t="s">
        <v>14</v>
      </c>
      <c r="G2829" t="s">
        <v>15</v>
      </c>
      <c r="H2829">
        <v>0.39622946487064492</v>
      </c>
      <c r="I2829">
        <v>4</v>
      </c>
      <c r="J2829" t="s">
        <v>23</v>
      </c>
      <c r="K2829" s="59" t="s">
        <v>4376</v>
      </c>
    </row>
    <row r="2830" spans="1:11" x14ac:dyDescent="0.2">
      <c r="A2830" t="s">
        <v>2869</v>
      </c>
      <c r="B2830">
        <v>2020</v>
      </c>
      <c r="C2830" t="s">
        <v>19</v>
      </c>
      <c r="D2830">
        <v>196</v>
      </c>
      <c r="E2830" t="s">
        <v>29</v>
      </c>
      <c r="F2830" t="s">
        <v>30</v>
      </c>
      <c r="G2830" t="s">
        <v>48</v>
      </c>
      <c r="H2830">
        <v>-3.7110771901053607E-2</v>
      </c>
      <c r="I2830">
        <v>4</v>
      </c>
      <c r="J2830" t="s">
        <v>23</v>
      </c>
      <c r="K2830" s="59" t="s">
        <v>23</v>
      </c>
    </row>
    <row r="2831" spans="1:11" x14ac:dyDescent="0.2">
      <c r="A2831" t="s">
        <v>2870</v>
      </c>
      <c r="B2831">
        <v>2021</v>
      </c>
      <c r="C2831" t="s">
        <v>33</v>
      </c>
      <c r="D2831">
        <v>265</v>
      </c>
      <c r="E2831" t="s">
        <v>25</v>
      </c>
      <c r="F2831" t="s">
        <v>26</v>
      </c>
      <c r="G2831" t="s">
        <v>15</v>
      </c>
      <c r="H2831">
        <v>-0.1045279899132654</v>
      </c>
      <c r="I2831">
        <v>2</v>
      </c>
      <c r="J2831" t="s">
        <v>23</v>
      </c>
      <c r="K2831" s="59" t="s">
        <v>17</v>
      </c>
    </row>
    <row r="2832" spans="1:11" x14ac:dyDescent="0.2">
      <c r="A2832" t="s">
        <v>2871</v>
      </c>
      <c r="B2832">
        <v>2022</v>
      </c>
      <c r="C2832" t="s">
        <v>19</v>
      </c>
      <c r="D2832">
        <v>82</v>
      </c>
      <c r="E2832" t="s">
        <v>25</v>
      </c>
      <c r="F2832" t="s">
        <v>26</v>
      </c>
      <c r="G2832" t="s">
        <v>80</v>
      </c>
      <c r="H2832">
        <v>-0.69958676137836551</v>
      </c>
      <c r="I2832">
        <v>2</v>
      </c>
      <c r="J2832" t="s">
        <v>23</v>
      </c>
      <c r="K2832" s="59" t="s">
        <v>17</v>
      </c>
    </row>
    <row r="2833" spans="1:11" x14ac:dyDescent="0.2">
      <c r="A2833" t="s">
        <v>2872</v>
      </c>
      <c r="B2833">
        <v>2020</v>
      </c>
      <c r="C2833" t="s">
        <v>33</v>
      </c>
      <c r="D2833">
        <v>99</v>
      </c>
      <c r="E2833" t="s">
        <v>20</v>
      </c>
      <c r="F2833" t="s">
        <v>21</v>
      </c>
      <c r="G2833" t="s">
        <v>41</v>
      </c>
      <c r="H2833">
        <v>0.2064434205798589</v>
      </c>
      <c r="I2833">
        <v>3</v>
      </c>
      <c r="J2833" t="s">
        <v>23</v>
      </c>
      <c r="K2833" s="59" t="s">
        <v>4376</v>
      </c>
    </row>
    <row r="2834" spans="1:11" x14ac:dyDescent="0.2">
      <c r="A2834" t="s">
        <v>2873</v>
      </c>
      <c r="B2834">
        <v>2020</v>
      </c>
      <c r="C2834" t="s">
        <v>19</v>
      </c>
      <c r="D2834">
        <v>63</v>
      </c>
      <c r="E2834" t="s">
        <v>25</v>
      </c>
      <c r="F2834" t="s">
        <v>26</v>
      </c>
      <c r="G2834" t="s">
        <v>15</v>
      </c>
      <c r="H2834">
        <v>0.161968307170301</v>
      </c>
      <c r="I2834">
        <v>2</v>
      </c>
      <c r="J2834" t="s">
        <v>23</v>
      </c>
      <c r="K2834" s="59" t="s">
        <v>16</v>
      </c>
    </row>
    <row r="2835" spans="1:11" x14ac:dyDescent="0.2">
      <c r="A2835" t="s">
        <v>2874</v>
      </c>
      <c r="B2835">
        <v>2020</v>
      </c>
      <c r="C2835" t="s">
        <v>33</v>
      </c>
      <c r="D2835">
        <v>193</v>
      </c>
      <c r="E2835" t="s">
        <v>25</v>
      </c>
      <c r="F2835" t="s">
        <v>26</v>
      </c>
      <c r="G2835" t="s">
        <v>15</v>
      </c>
      <c r="H2835">
        <v>-4.3729092348904583E-2</v>
      </c>
      <c r="I2835">
        <v>2</v>
      </c>
      <c r="J2835" t="s">
        <v>17</v>
      </c>
      <c r="K2835" s="59" t="s">
        <v>4376</v>
      </c>
    </row>
    <row r="2836" spans="1:11" x14ac:dyDescent="0.2">
      <c r="A2836" t="s">
        <v>2875</v>
      </c>
      <c r="B2836">
        <v>2022</v>
      </c>
      <c r="C2836" t="s">
        <v>33</v>
      </c>
      <c r="D2836">
        <v>352</v>
      </c>
      <c r="E2836" t="s">
        <v>53</v>
      </c>
      <c r="F2836" t="s">
        <v>54</v>
      </c>
      <c r="G2836" t="s">
        <v>36</v>
      </c>
      <c r="H2836">
        <v>5.4377775466296963E-2</v>
      </c>
      <c r="I2836">
        <v>3</v>
      </c>
      <c r="J2836" t="s">
        <v>16</v>
      </c>
      <c r="K2836" s="59" t="s">
        <v>4376</v>
      </c>
    </row>
    <row r="2837" spans="1:11" x14ac:dyDescent="0.2">
      <c r="A2837" t="s">
        <v>2876</v>
      </c>
      <c r="B2837">
        <v>2022</v>
      </c>
      <c r="C2837" t="s">
        <v>33</v>
      </c>
      <c r="D2837">
        <v>352</v>
      </c>
      <c r="E2837" t="s">
        <v>53</v>
      </c>
      <c r="F2837" t="s">
        <v>54</v>
      </c>
      <c r="G2837" t="s">
        <v>36</v>
      </c>
      <c r="H2837">
        <v>5.4377775466296963E-2</v>
      </c>
      <c r="I2837">
        <v>3</v>
      </c>
      <c r="J2837" t="s">
        <v>16</v>
      </c>
      <c r="K2837" s="59" t="s">
        <v>4376</v>
      </c>
    </row>
    <row r="2838" spans="1:11" x14ac:dyDescent="0.2">
      <c r="A2838" t="s">
        <v>2877</v>
      </c>
      <c r="B2838">
        <v>2022</v>
      </c>
      <c r="C2838" t="s">
        <v>19</v>
      </c>
      <c r="D2838">
        <v>352</v>
      </c>
      <c r="E2838" t="s">
        <v>53</v>
      </c>
      <c r="F2838" t="s">
        <v>54</v>
      </c>
      <c r="G2838" t="s">
        <v>36</v>
      </c>
      <c r="H2838">
        <v>5.4377775466296963E-2</v>
      </c>
      <c r="I2838">
        <v>3</v>
      </c>
      <c r="J2838" t="s">
        <v>16</v>
      </c>
      <c r="K2838" s="59" t="s">
        <v>23</v>
      </c>
    </row>
    <row r="2839" spans="1:11" x14ac:dyDescent="0.2">
      <c r="A2839" t="s">
        <v>2878</v>
      </c>
      <c r="B2839">
        <v>2023</v>
      </c>
      <c r="C2839" t="s">
        <v>33</v>
      </c>
      <c r="D2839">
        <v>26</v>
      </c>
      <c r="E2839" t="s">
        <v>25</v>
      </c>
      <c r="F2839" t="s">
        <v>26</v>
      </c>
      <c r="G2839" t="s">
        <v>41</v>
      </c>
      <c r="H2839">
        <v>-0.60180623657460774</v>
      </c>
      <c r="I2839">
        <v>2</v>
      </c>
      <c r="J2839" t="s">
        <v>16</v>
      </c>
      <c r="K2839" s="59" t="s">
        <v>4376</v>
      </c>
    </row>
    <row r="2840" spans="1:11" x14ac:dyDescent="0.2">
      <c r="A2840" t="s">
        <v>2879</v>
      </c>
      <c r="B2840">
        <v>2020</v>
      </c>
      <c r="C2840" t="s">
        <v>33</v>
      </c>
      <c r="D2840">
        <v>193</v>
      </c>
      <c r="E2840" t="s">
        <v>25</v>
      </c>
      <c r="F2840" t="s">
        <v>26</v>
      </c>
      <c r="G2840" t="s">
        <v>15</v>
      </c>
      <c r="H2840">
        <v>-4.3729092348904583E-2</v>
      </c>
      <c r="I2840">
        <v>2</v>
      </c>
      <c r="J2840" t="s">
        <v>17</v>
      </c>
      <c r="K2840" s="59" t="s">
        <v>4376</v>
      </c>
    </row>
    <row r="2841" spans="1:11" x14ac:dyDescent="0.2">
      <c r="A2841" t="s">
        <v>2880</v>
      </c>
      <c r="B2841">
        <v>2021</v>
      </c>
      <c r="C2841" t="s">
        <v>33</v>
      </c>
      <c r="D2841">
        <v>175</v>
      </c>
      <c r="E2841" t="s">
        <v>25</v>
      </c>
      <c r="F2841" t="s">
        <v>26</v>
      </c>
      <c r="G2841" t="s">
        <v>48</v>
      </c>
      <c r="H2841">
        <v>0.26270711826664911</v>
      </c>
      <c r="I2841">
        <v>2</v>
      </c>
      <c r="J2841" t="s">
        <v>23</v>
      </c>
      <c r="K2841" s="59" t="s">
        <v>17</v>
      </c>
    </row>
    <row r="2842" spans="1:11" x14ac:dyDescent="0.2">
      <c r="A2842" t="s">
        <v>2881</v>
      </c>
      <c r="B2842">
        <v>2021</v>
      </c>
      <c r="C2842" t="s">
        <v>19</v>
      </c>
      <c r="D2842">
        <v>75</v>
      </c>
      <c r="E2842" t="s">
        <v>25</v>
      </c>
      <c r="F2842" t="s">
        <v>26</v>
      </c>
      <c r="G2842" t="s">
        <v>15</v>
      </c>
      <c r="H2842">
        <v>-4.7064725854621493E-2</v>
      </c>
      <c r="I2842">
        <v>2</v>
      </c>
      <c r="J2842" t="s">
        <v>23</v>
      </c>
      <c r="K2842" s="59" t="s">
        <v>17</v>
      </c>
    </row>
    <row r="2843" spans="1:11" x14ac:dyDescent="0.2">
      <c r="A2843" t="s">
        <v>2882</v>
      </c>
      <c r="B2843">
        <v>2022</v>
      </c>
      <c r="C2843" t="s">
        <v>19</v>
      </c>
      <c r="D2843">
        <v>353</v>
      </c>
      <c r="E2843" t="s">
        <v>53</v>
      </c>
      <c r="F2843" t="s">
        <v>54</v>
      </c>
      <c r="G2843" t="s">
        <v>15</v>
      </c>
      <c r="H2843">
        <v>0.46058692577733279</v>
      </c>
      <c r="I2843">
        <v>3</v>
      </c>
      <c r="J2843" t="s">
        <v>16</v>
      </c>
      <c r="K2843" s="59" t="s">
        <v>4376</v>
      </c>
    </row>
    <row r="2844" spans="1:11" x14ac:dyDescent="0.2">
      <c r="A2844" t="s">
        <v>2883</v>
      </c>
      <c r="B2844">
        <v>2021</v>
      </c>
      <c r="C2844" t="s">
        <v>19</v>
      </c>
      <c r="D2844">
        <v>173</v>
      </c>
      <c r="E2844" t="s">
        <v>25</v>
      </c>
      <c r="F2844" t="s">
        <v>26</v>
      </c>
      <c r="G2844" t="s">
        <v>15</v>
      </c>
      <c r="H2844">
        <v>-0.17617336389942639</v>
      </c>
      <c r="I2844">
        <v>2</v>
      </c>
      <c r="J2844" t="s">
        <v>23</v>
      </c>
      <c r="K2844" s="59" t="s">
        <v>17</v>
      </c>
    </row>
    <row r="2845" spans="1:11" x14ac:dyDescent="0.2">
      <c r="A2845" t="s">
        <v>2884</v>
      </c>
      <c r="B2845">
        <v>2023</v>
      </c>
      <c r="C2845" t="s">
        <v>12</v>
      </c>
      <c r="D2845">
        <v>393</v>
      </c>
      <c r="E2845" t="s">
        <v>38</v>
      </c>
      <c r="F2845" t="s">
        <v>39</v>
      </c>
      <c r="G2845" t="s">
        <v>15</v>
      </c>
      <c r="H2845">
        <v>-5.0426212774462454E-3</v>
      </c>
      <c r="I2845">
        <v>3</v>
      </c>
      <c r="J2845" t="s">
        <v>16</v>
      </c>
      <c r="K2845" s="59" t="s">
        <v>17</v>
      </c>
    </row>
    <row r="2846" spans="1:11" x14ac:dyDescent="0.2">
      <c r="A2846" t="s">
        <v>2885</v>
      </c>
      <c r="B2846">
        <v>2023</v>
      </c>
      <c r="C2846" t="s">
        <v>19</v>
      </c>
      <c r="D2846">
        <v>393</v>
      </c>
      <c r="E2846" t="s">
        <v>38</v>
      </c>
      <c r="F2846" t="s">
        <v>39</v>
      </c>
      <c r="G2846" t="s">
        <v>15</v>
      </c>
      <c r="H2846">
        <v>-5.0426212774462454E-3</v>
      </c>
      <c r="I2846">
        <v>3</v>
      </c>
      <c r="J2846" t="s">
        <v>16</v>
      </c>
      <c r="K2846" s="59" t="s">
        <v>16</v>
      </c>
    </row>
    <row r="2847" spans="1:11" x14ac:dyDescent="0.2">
      <c r="A2847" t="s">
        <v>2886</v>
      </c>
      <c r="B2847">
        <v>2020</v>
      </c>
      <c r="C2847" t="s">
        <v>33</v>
      </c>
      <c r="D2847">
        <v>130</v>
      </c>
      <c r="E2847" t="s">
        <v>25</v>
      </c>
      <c r="F2847" t="s">
        <v>26</v>
      </c>
      <c r="G2847" t="s">
        <v>15</v>
      </c>
      <c r="H2847">
        <v>0.3672686074626354</v>
      </c>
      <c r="I2847">
        <v>2</v>
      </c>
      <c r="J2847" t="s">
        <v>16</v>
      </c>
      <c r="K2847" s="59" t="s">
        <v>16</v>
      </c>
    </row>
    <row r="2848" spans="1:11" x14ac:dyDescent="0.2">
      <c r="A2848" t="s">
        <v>2887</v>
      </c>
      <c r="B2848">
        <v>2021</v>
      </c>
      <c r="C2848" t="s">
        <v>19</v>
      </c>
      <c r="D2848">
        <v>115</v>
      </c>
      <c r="E2848" t="s">
        <v>25</v>
      </c>
      <c r="F2848" t="s">
        <v>26</v>
      </c>
      <c r="G2848" t="s">
        <v>15</v>
      </c>
      <c r="H2848">
        <v>-0.71255764732172089</v>
      </c>
      <c r="I2848">
        <v>2</v>
      </c>
      <c r="J2848" t="s">
        <v>23</v>
      </c>
      <c r="K2848" s="59" t="s">
        <v>17</v>
      </c>
    </row>
    <row r="2849" spans="1:11" x14ac:dyDescent="0.2">
      <c r="A2849" t="s">
        <v>2888</v>
      </c>
      <c r="B2849">
        <v>2021</v>
      </c>
      <c r="C2849" t="s">
        <v>19</v>
      </c>
      <c r="D2849">
        <v>205</v>
      </c>
      <c r="E2849" t="s">
        <v>25</v>
      </c>
      <c r="F2849" t="s">
        <v>26</v>
      </c>
      <c r="G2849" t="s">
        <v>15</v>
      </c>
      <c r="H2849">
        <v>0.96839016046441762</v>
      </c>
      <c r="I2849">
        <v>2</v>
      </c>
      <c r="J2849" t="s">
        <v>23</v>
      </c>
      <c r="K2849" s="59" t="s">
        <v>17</v>
      </c>
    </row>
    <row r="2850" spans="1:11" x14ac:dyDescent="0.2">
      <c r="A2850" t="s">
        <v>2889</v>
      </c>
      <c r="B2850">
        <v>2022</v>
      </c>
      <c r="C2850" t="s">
        <v>33</v>
      </c>
      <c r="D2850">
        <v>352</v>
      </c>
      <c r="E2850" t="s">
        <v>53</v>
      </c>
      <c r="F2850" t="s">
        <v>54</v>
      </c>
      <c r="G2850" t="s">
        <v>36</v>
      </c>
      <c r="H2850">
        <v>5.4377775466296963E-2</v>
      </c>
      <c r="I2850">
        <v>3</v>
      </c>
      <c r="J2850" t="s">
        <v>16</v>
      </c>
      <c r="K2850" s="59" t="s">
        <v>4376</v>
      </c>
    </row>
    <row r="2851" spans="1:11" x14ac:dyDescent="0.2">
      <c r="A2851" t="s">
        <v>2890</v>
      </c>
      <c r="B2851">
        <v>2021</v>
      </c>
      <c r="C2851" t="s">
        <v>19</v>
      </c>
      <c r="D2851">
        <v>306</v>
      </c>
      <c r="E2851" t="s">
        <v>13</v>
      </c>
      <c r="F2851" t="s">
        <v>14</v>
      </c>
      <c r="G2851" t="s">
        <v>48</v>
      </c>
      <c r="H2851">
        <v>0.70038672556782811</v>
      </c>
      <c r="I2851">
        <v>4</v>
      </c>
      <c r="J2851" t="s">
        <v>16</v>
      </c>
      <c r="K2851" s="59" t="s">
        <v>16</v>
      </c>
    </row>
    <row r="2852" spans="1:11" x14ac:dyDescent="0.2">
      <c r="A2852" t="s">
        <v>2891</v>
      </c>
      <c r="B2852">
        <v>2021</v>
      </c>
      <c r="C2852" t="s">
        <v>33</v>
      </c>
      <c r="D2852">
        <v>51</v>
      </c>
      <c r="E2852" t="s">
        <v>13</v>
      </c>
      <c r="F2852" t="s">
        <v>14</v>
      </c>
      <c r="G2852" t="s">
        <v>41</v>
      </c>
      <c r="H2852">
        <v>-0.71255764732172089</v>
      </c>
      <c r="I2852">
        <v>4</v>
      </c>
      <c r="J2852" t="s">
        <v>23</v>
      </c>
      <c r="K2852" s="59" t="s">
        <v>4376</v>
      </c>
    </row>
    <row r="2853" spans="1:11" x14ac:dyDescent="0.2">
      <c r="A2853" t="s">
        <v>2892</v>
      </c>
      <c r="B2853">
        <v>2021</v>
      </c>
      <c r="C2853" t="s">
        <v>12</v>
      </c>
      <c r="D2853">
        <v>66</v>
      </c>
      <c r="E2853" t="s">
        <v>25</v>
      </c>
      <c r="F2853" t="s">
        <v>26</v>
      </c>
      <c r="G2853" t="s">
        <v>15</v>
      </c>
      <c r="H2853">
        <v>1.207133472294913</v>
      </c>
      <c r="I2853">
        <v>2</v>
      </c>
      <c r="J2853" t="s">
        <v>16</v>
      </c>
      <c r="K2853" s="59" t="s">
        <v>23</v>
      </c>
    </row>
    <row r="2854" spans="1:11" x14ac:dyDescent="0.2">
      <c r="A2854" t="s">
        <v>2893</v>
      </c>
      <c r="B2854">
        <v>2022</v>
      </c>
      <c r="C2854" t="s">
        <v>19</v>
      </c>
      <c r="D2854">
        <v>353</v>
      </c>
      <c r="E2854" t="s">
        <v>53</v>
      </c>
      <c r="F2854" t="s">
        <v>54</v>
      </c>
      <c r="G2854" t="s">
        <v>15</v>
      </c>
      <c r="H2854">
        <v>0.46058692577733279</v>
      </c>
      <c r="I2854">
        <v>3</v>
      </c>
      <c r="J2854" t="s">
        <v>16</v>
      </c>
      <c r="K2854" s="59" t="s">
        <v>4376</v>
      </c>
    </row>
    <row r="2855" spans="1:11" x14ac:dyDescent="0.2">
      <c r="A2855" t="s">
        <v>2894</v>
      </c>
      <c r="B2855">
        <v>2021</v>
      </c>
      <c r="C2855" t="s">
        <v>19</v>
      </c>
      <c r="D2855">
        <v>152</v>
      </c>
      <c r="E2855" t="s">
        <v>25</v>
      </c>
      <c r="F2855" t="s">
        <v>26</v>
      </c>
      <c r="G2855" t="s">
        <v>48</v>
      </c>
      <c r="H2855">
        <v>-6.4013350153939511E-2</v>
      </c>
      <c r="I2855">
        <v>2</v>
      </c>
      <c r="J2855" t="s">
        <v>23</v>
      </c>
      <c r="K2855" s="59" t="s">
        <v>4376</v>
      </c>
    </row>
    <row r="2856" spans="1:11" x14ac:dyDescent="0.2">
      <c r="A2856" t="s">
        <v>2895</v>
      </c>
      <c r="B2856">
        <v>2020</v>
      </c>
      <c r="C2856" t="s">
        <v>19</v>
      </c>
      <c r="D2856">
        <v>89</v>
      </c>
      <c r="E2856" t="s">
        <v>20</v>
      </c>
      <c r="F2856" t="s">
        <v>21</v>
      </c>
      <c r="G2856" t="s">
        <v>15</v>
      </c>
      <c r="H2856">
        <v>6.0000973987411929E-2</v>
      </c>
      <c r="I2856">
        <v>3</v>
      </c>
      <c r="J2856" t="s">
        <v>23</v>
      </c>
      <c r="K2856" s="59" t="s">
        <v>16</v>
      </c>
    </row>
    <row r="2857" spans="1:11" x14ac:dyDescent="0.2">
      <c r="A2857" t="s">
        <v>2896</v>
      </c>
      <c r="B2857">
        <v>2021</v>
      </c>
      <c r="C2857" t="s">
        <v>33</v>
      </c>
      <c r="D2857">
        <v>367</v>
      </c>
      <c r="E2857" t="s">
        <v>38</v>
      </c>
      <c r="F2857" t="s">
        <v>39</v>
      </c>
      <c r="G2857" t="s">
        <v>15</v>
      </c>
      <c r="H2857">
        <v>0.69029355547504967</v>
      </c>
      <c r="I2857">
        <v>3</v>
      </c>
      <c r="J2857" t="s">
        <v>23</v>
      </c>
      <c r="K2857" s="59" t="s">
        <v>4376</v>
      </c>
    </row>
    <row r="2858" spans="1:11" x14ac:dyDescent="0.2">
      <c r="A2858" t="s">
        <v>2897</v>
      </c>
      <c r="B2858">
        <v>2024</v>
      </c>
      <c r="C2858" t="s">
        <v>19</v>
      </c>
      <c r="D2858">
        <v>365</v>
      </c>
      <c r="E2858" t="s">
        <v>20</v>
      </c>
      <c r="F2858" t="s">
        <v>21</v>
      </c>
      <c r="G2858" t="s">
        <v>15</v>
      </c>
      <c r="H2858">
        <v>1.489610543950213</v>
      </c>
      <c r="I2858">
        <v>3</v>
      </c>
      <c r="J2858" t="s">
        <v>23</v>
      </c>
      <c r="K2858" s="59" t="s">
        <v>17</v>
      </c>
    </row>
    <row r="2859" spans="1:11" x14ac:dyDescent="0.2">
      <c r="A2859" t="s">
        <v>2898</v>
      </c>
      <c r="B2859">
        <v>2023</v>
      </c>
      <c r="C2859" t="s">
        <v>33</v>
      </c>
      <c r="D2859">
        <v>157</v>
      </c>
      <c r="E2859" t="s">
        <v>53</v>
      </c>
      <c r="F2859" t="s">
        <v>54</v>
      </c>
      <c r="G2859" t="s">
        <v>15</v>
      </c>
      <c r="H2859">
        <v>0.88277186932520546</v>
      </c>
      <c r="I2859">
        <v>3</v>
      </c>
      <c r="J2859" t="s">
        <v>23</v>
      </c>
      <c r="K2859" s="59" t="s">
        <v>23</v>
      </c>
    </row>
    <row r="2860" spans="1:11" x14ac:dyDescent="0.2">
      <c r="A2860" t="s">
        <v>2899</v>
      </c>
      <c r="B2860">
        <v>2021</v>
      </c>
      <c r="C2860" t="s">
        <v>19</v>
      </c>
      <c r="D2860">
        <v>71</v>
      </c>
      <c r="E2860" t="s">
        <v>53</v>
      </c>
      <c r="F2860" t="s">
        <v>54</v>
      </c>
      <c r="G2860" t="s">
        <v>15</v>
      </c>
      <c r="H2860">
        <v>0.52550401677886149</v>
      </c>
      <c r="I2860">
        <v>3</v>
      </c>
      <c r="J2860" t="s">
        <v>16</v>
      </c>
      <c r="K2860" s="59" t="s">
        <v>17</v>
      </c>
    </row>
    <row r="2861" spans="1:11" x14ac:dyDescent="0.2">
      <c r="A2861" t="s">
        <v>2900</v>
      </c>
      <c r="B2861">
        <v>2024</v>
      </c>
      <c r="C2861" t="s">
        <v>19</v>
      </c>
      <c r="D2861">
        <v>139</v>
      </c>
      <c r="E2861" t="s">
        <v>20</v>
      </c>
      <c r="F2861" t="s">
        <v>21</v>
      </c>
      <c r="G2861" t="s">
        <v>15</v>
      </c>
      <c r="H2861">
        <v>-0.17617336389942639</v>
      </c>
      <c r="I2861">
        <v>3</v>
      </c>
      <c r="J2861" t="s">
        <v>23</v>
      </c>
      <c r="K2861" s="59" t="s">
        <v>17</v>
      </c>
    </row>
    <row r="2862" spans="1:11" x14ac:dyDescent="0.2">
      <c r="A2862" t="s">
        <v>2901</v>
      </c>
      <c r="B2862">
        <v>2023</v>
      </c>
      <c r="C2862" t="s">
        <v>12</v>
      </c>
      <c r="D2862">
        <v>219</v>
      </c>
      <c r="E2862" t="s">
        <v>25</v>
      </c>
      <c r="F2862" t="s">
        <v>26</v>
      </c>
      <c r="G2862" t="s">
        <v>15</v>
      </c>
      <c r="H2862">
        <v>0.50515686885300926</v>
      </c>
      <c r="I2862">
        <v>2</v>
      </c>
      <c r="J2862" t="s">
        <v>23</v>
      </c>
      <c r="K2862" s="59" t="s">
        <v>23</v>
      </c>
    </row>
    <row r="2863" spans="1:11" x14ac:dyDescent="0.2">
      <c r="A2863" t="s">
        <v>2902</v>
      </c>
      <c r="B2863">
        <v>2021</v>
      </c>
      <c r="C2863" t="s">
        <v>19</v>
      </c>
      <c r="D2863">
        <v>382</v>
      </c>
      <c r="E2863" t="s">
        <v>29</v>
      </c>
      <c r="F2863" t="s">
        <v>30</v>
      </c>
      <c r="G2863" t="s">
        <v>15</v>
      </c>
      <c r="H2863">
        <v>-0.1911280323988247</v>
      </c>
      <c r="I2863">
        <v>4</v>
      </c>
      <c r="J2863" t="s">
        <v>23</v>
      </c>
      <c r="K2863" s="59" t="s">
        <v>17</v>
      </c>
    </row>
    <row r="2864" spans="1:11" x14ac:dyDescent="0.2">
      <c r="A2864" t="s">
        <v>2903</v>
      </c>
      <c r="B2864">
        <v>2021</v>
      </c>
      <c r="C2864" t="s">
        <v>12</v>
      </c>
      <c r="D2864">
        <v>71</v>
      </c>
      <c r="E2864" t="s">
        <v>53</v>
      </c>
      <c r="F2864" t="s">
        <v>54</v>
      </c>
      <c r="G2864" t="s">
        <v>15</v>
      </c>
      <c r="H2864">
        <v>1.207133472294913</v>
      </c>
      <c r="I2864">
        <v>3</v>
      </c>
      <c r="J2864" t="s">
        <v>16</v>
      </c>
      <c r="K2864" s="59" t="s">
        <v>23</v>
      </c>
    </row>
    <row r="2865" spans="1:11" x14ac:dyDescent="0.2">
      <c r="A2865" t="s">
        <v>2904</v>
      </c>
      <c r="B2865">
        <v>2020</v>
      </c>
      <c r="C2865" t="s">
        <v>19</v>
      </c>
      <c r="D2865">
        <v>77</v>
      </c>
      <c r="E2865" t="s">
        <v>20</v>
      </c>
      <c r="F2865" t="s">
        <v>21</v>
      </c>
      <c r="G2865" t="s">
        <v>36</v>
      </c>
      <c r="H2865">
        <v>-2.505953298542523</v>
      </c>
      <c r="I2865">
        <v>3</v>
      </c>
      <c r="J2865" t="s">
        <v>23</v>
      </c>
      <c r="K2865" s="59" t="s">
        <v>4376</v>
      </c>
    </row>
    <row r="2866" spans="1:11" x14ac:dyDescent="0.2">
      <c r="A2866" t="s">
        <v>2905</v>
      </c>
      <c r="B2866">
        <v>2021</v>
      </c>
      <c r="C2866" t="s">
        <v>19</v>
      </c>
      <c r="D2866">
        <v>294</v>
      </c>
      <c r="E2866" t="s">
        <v>25</v>
      </c>
      <c r="F2866" t="s">
        <v>26</v>
      </c>
      <c r="G2866" t="s">
        <v>15</v>
      </c>
      <c r="H2866">
        <v>0.32077432165919961</v>
      </c>
      <c r="I2866">
        <v>2</v>
      </c>
      <c r="J2866" t="s">
        <v>23</v>
      </c>
      <c r="K2866" s="59" t="s">
        <v>17</v>
      </c>
    </row>
    <row r="2867" spans="1:11" x14ac:dyDescent="0.2">
      <c r="A2867" t="s">
        <v>2906</v>
      </c>
      <c r="B2867">
        <v>2023</v>
      </c>
      <c r="C2867" t="s">
        <v>33</v>
      </c>
      <c r="D2867">
        <v>158</v>
      </c>
      <c r="E2867" t="s">
        <v>53</v>
      </c>
      <c r="F2867" t="s">
        <v>54</v>
      </c>
      <c r="G2867" t="s">
        <v>15</v>
      </c>
      <c r="H2867">
        <v>1.207133472294913</v>
      </c>
      <c r="I2867">
        <v>3</v>
      </c>
      <c r="J2867" t="s">
        <v>23</v>
      </c>
      <c r="K2867" s="59" t="s">
        <v>4376</v>
      </c>
    </row>
    <row r="2868" spans="1:11" x14ac:dyDescent="0.2">
      <c r="A2868" t="s">
        <v>2907</v>
      </c>
      <c r="B2868">
        <v>2021</v>
      </c>
      <c r="C2868" t="s">
        <v>33</v>
      </c>
      <c r="D2868">
        <v>242</v>
      </c>
      <c r="E2868" t="s">
        <v>13</v>
      </c>
      <c r="F2868" t="s">
        <v>14</v>
      </c>
      <c r="G2868" t="s">
        <v>15</v>
      </c>
      <c r="H2868">
        <v>0.39622946487064492</v>
      </c>
      <c r="I2868">
        <v>4</v>
      </c>
      <c r="J2868" t="s">
        <v>23</v>
      </c>
      <c r="K2868" s="59" t="s">
        <v>16</v>
      </c>
    </row>
    <row r="2869" spans="1:11" x14ac:dyDescent="0.2">
      <c r="A2869" t="s">
        <v>2908</v>
      </c>
      <c r="B2869">
        <v>2023</v>
      </c>
      <c r="C2869" t="s">
        <v>12</v>
      </c>
      <c r="D2869">
        <v>143</v>
      </c>
      <c r="E2869" t="s">
        <v>13</v>
      </c>
      <c r="F2869" t="s">
        <v>14</v>
      </c>
      <c r="G2869" t="s">
        <v>41</v>
      </c>
      <c r="H2869">
        <v>1.5454962955366931</v>
      </c>
      <c r="I2869">
        <v>4</v>
      </c>
      <c r="J2869" t="s">
        <v>16</v>
      </c>
      <c r="K2869" s="59" t="s">
        <v>23</v>
      </c>
    </row>
    <row r="2870" spans="1:11" x14ac:dyDescent="0.2">
      <c r="A2870" t="s">
        <v>2909</v>
      </c>
      <c r="B2870">
        <v>2021</v>
      </c>
      <c r="C2870" t="s">
        <v>12</v>
      </c>
      <c r="D2870">
        <v>440</v>
      </c>
      <c r="E2870" t="s">
        <v>38</v>
      </c>
      <c r="F2870" t="s">
        <v>39</v>
      </c>
      <c r="G2870" t="s">
        <v>15</v>
      </c>
      <c r="H2870">
        <v>0.54780030737985386</v>
      </c>
      <c r="I2870">
        <v>3</v>
      </c>
      <c r="J2870" t="s">
        <v>23</v>
      </c>
      <c r="K2870" s="59" t="s">
        <v>23</v>
      </c>
    </row>
    <row r="2871" spans="1:11" x14ac:dyDescent="0.2">
      <c r="A2871" t="s">
        <v>2910</v>
      </c>
      <c r="B2871">
        <v>2022</v>
      </c>
      <c r="C2871" t="s">
        <v>19</v>
      </c>
      <c r="D2871">
        <v>352</v>
      </c>
      <c r="E2871" t="s">
        <v>53</v>
      </c>
      <c r="F2871" t="s">
        <v>54</v>
      </c>
      <c r="G2871" t="s">
        <v>36</v>
      </c>
      <c r="H2871">
        <v>5.4377775466296963E-2</v>
      </c>
      <c r="I2871">
        <v>3</v>
      </c>
      <c r="J2871" t="s">
        <v>16</v>
      </c>
      <c r="K2871" s="59" t="s">
        <v>16</v>
      </c>
    </row>
    <row r="2872" spans="1:11" x14ac:dyDescent="0.2">
      <c r="A2872" t="s">
        <v>2911</v>
      </c>
      <c r="B2872">
        <v>2021</v>
      </c>
      <c r="C2872" t="s">
        <v>19</v>
      </c>
      <c r="D2872">
        <v>182</v>
      </c>
      <c r="E2872" t="s">
        <v>25</v>
      </c>
      <c r="F2872" t="s">
        <v>26</v>
      </c>
      <c r="G2872" t="s">
        <v>15</v>
      </c>
      <c r="H2872">
        <v>0.38200307877548229</v>
      </c>
      <c r="I2872">
        <v>2</v>
      </c>
      <c r="J2872" t="s">
        <v>23</v>
      </c>
      <c r="K2872" s="59" t="s">
        <v>23</v>
      </c>
    </row>
    <row r="2873" spans="1:11" x14ac:dyDescent="0.2">
      <c r="A2873" t="s">
        <v>2912</v>
      </c>
      <c r="B2873">
        <v>2024</v>
      </c>
      <c r="C2873" t="s">
        <v>33</v>
      </c>
      <c r="D2873">
        <v>146</v>
      </c>
      <c r="E2873" t="s">
        <v>25</v>
      </c>
      <c r="F2873" t="s">
        <v>26</v>
      </c>
      <c r="G2873" t="s">
        <v>15</v>
      </c>
      <c r="H2873">
        <v>1.207133472294913</v>
      </c>
      <c r="I2873">
        <v>2</v>
      </c>
      <c r="J2873" t="s">
        <v>16</v>
      </c>
      <c r="K2873" s="59" t="s">
        <v>4376</v>
      </c>
    </row>
    <row r="2874" spans="1:11" x14ac:dyDescent="0.2">
      <c r="A2874" t="s">
        <v>2913</v>
      </c>
      <c r="B2874">
        <v>2021</v>
      </c>
      <c r="C2874" t="s">
        <v>19</v>
      </c>
      <c r="D2874">
        <v>70</v>
      </c>
      <c r="E2874" t="s">
        <v>53</v>
      </c>
      <c r="F2874" t="s">
        <v>54</v>
      </c>
      <c r="G2874" t="s">
        <v>15</v>
      </c>
      <c r="H2874">
        <v>0.51548005419774312</v>
      </c>
      <c r="I2874">
        <v>3</v>
      </c>
      <c r="J2874" t="s">
        <v>16</v>
      </c>
      <c r="K2874" s="59" t="s">
        <v>17</v>
      </c>
    </row>
    <row r="2875" spans="1:11" x14ac:dyDescent="0.2">
      <c r="A2875" t="s">
        <v>2914</v>
      </c>
      <c r="B2875">
        <v>2019</v>
      </c>
      <c r="C2875" t="s">
        <v>19</v>
      </c>
      <c r="D2875">
        <v>261</v>
      </c>
      <c r="E2875" t="s">
        <v>20</v>
      </c>
      <c r="F2875" t="s">
        <v>21</v>
      </c>
      <c r="G2875" t="s">
        <v>15</v>
      </c>
      <c r="H2875">
        <v>0.50252774299742153</v>
      </c>
      <c r="I2875">
        <v>3</v>
      </c>
      <c r="J2875" t="s">
        <v>16</v>
      </c>
      <c r="K2875" s="59" t="s">
        <v>17</v>
      </c>
    </row>
    <row r="2876" spans="1:11" x14ac:dyDescent="0.2">
      <c r="A2876" t="s">
        <v>2915</v>
      </c>
      <c r="B2876">
        <v>2021</v>
      </c>
      <c r="C2876" t="s">
        <v>12</v>
      </c>
      <c r="D2876">
        <v>301</v>
      </c>
      <c r="E2876" t="s">
        <v>38</v>
      </c>
      <c r="F2876" t="s">
        <v>39</v>
      </c>
      <c r="G2876" t="s">
        <v>15</v>
      </c>
      <c r="H2876">
        <v>0.13446396071965319</v>
      </c>
      <c r="I2876">
        <v>3</v>
      </c>
      <c r="J2876" t="s">
        <v>23</v>
      </c>
      <c r="K2876" s="59" t="s">
        <v>16</v>
      </c>
    </row>
    <row r="2877" spans="1:11" x14ac:dyDescent="0.2">
      <c r="A2877" t="s">
        <v>2916</v>
      </c>
      <c r="B2877">
        <v>2021</v>
      </c>
      <c r="C2877" t="s">
        <v>12</v>
      </c>
      <c r="D2877">
        <v>398</v>
      </c>
      <c r="E2877" t="s">
        <v>29</v>
      </c>
      <c r="F2877" t="s">
        <v>30</v>
      </c>
      <c r="G2877" t="s">
        <v>15</v>
      </c>
      <c r="H2877">
        <v>0.43743819565275671</v>
      </c>
      <c r="I2877">
        <v>4</v>
      </c>
      <c r="J2877" t="s">
        <v>23</v>
      </c>
      <c r="K2877" s="59" t="s">
        <v>16</v>
      </c>
    </row>
    <row r="2878" spans="1:11" x14ac:dyDescent="0.2">
      <c r="A2878" t="s">
        <v>2917</v>
      </c>
      <c r="B2878">
        <v>2024</v>
      </c>
      <c r="C2878" t="s">
        <v>33</v>
      </c>
      <c r="D2878">
        <v>372</v>
      </c>
      <c r="E2878" t="s">
        <v>53</v>
      </c>
      <c r="F2878" t="s">
        <v>54</v>
      </c>
      <c r="G2878" t="s">
        <v>15</v>
      </c>
      <c r="H2878">
        <v>-0.16188568765704359</v>
      </c>
      <c r="I2878">
        <v>3</v>
      </c>
      <c r="J2878" t="s">
        <v>16</v>
      </c>
      <c r="K2878" s="59" t="s">
        <v>4376</v>
      </c>
    </row>
    <row r="2879" spans="1:11" x14ac:dyDescent="0.2">
      <c r="A2879" t="s">
        <v>2918</v>
      </c>
      <c r="B2879">
        <v>2020</v>
      </c>
      <c r="C2879" t="s">
        <v>19</v>
      </c>
      <c r="D2879">
        <v>75</v>
      </c>
      <c r="E2879" t="s">
        <v>20</v>
      </c>
      <c r="F2879" t="s">
        <v>21</v>
      </c>
      <c r="G2879" t="s">
        <v>57</v>
      </c>
      <c r="H2879">
        <v>0.57156006107048651</v>
      </c>
      <c r="I2879">
        <v>3</v>
      </c>
      <c r="J2879" t="s">
        <v>23</v>
      </c>
      <c r="K2879" s="59" t="s">
        <v>16</v>
      </c>
    </row>
    <row r="2880" spans="1:11" x14ac:dyDescent="0.2">
      <c r="A2880" t="s">
        <v>2919</v>
      </c>
      <c r="B2880">
        <v>2024</v>
      </c>
      <c r="C2880" t="s">
        <v>19</v>
      </c>
      <c r="D2880">
        <v>419</v>
      </c>
      <c r="E2880" t="s">
        <v>53</v>
      </c>
      <c r="F2880" t="s">
        <v>54</v>
      </c>
      <c r="G2880" t="s">
        <v>15</v>
      </c>
      <c r="H2880">
        <v>1.6438980380798041E-2</v>
      </c>
      <c r="I2880">
        <v>3</v>
      </c>
      <c r="J2880" t="s">
        <v>16</v>
      </c>
      <c r="K2880" s="59" t="s">
        <v>23</v>
      </c>
    </row>
    <row r="2881" spans="1:11" x14ac:dyDescent="0.2">
      <c r="A2881" t="s">
        <v>2920</v>
      </c>
      <c r="B2881">
        <v>2023</v>
      </c>
      <c r="C2881" t="s">
        <v>12</v>
      </c>
      <c r="D2881">
        <v>393</v>
      </c>
      <c r="E2881" t="s">
        <v>38</v>
      </c>
      <c r="F2881" t="s">
        <v>39</v>
      </c>
      <c r="G2881" t="s">
        <v>15</v>
      </c>
      <c r="H2881">
        <v>-5.0426212774462454E-3</v>
      </c>
      <c r="I2881">
        <v>3</v>
      </c>
      <c r="J2881" t="s">
        <v>16</v>
      </c>
      <c r="K2881" s="59" t="s">
        <v>4376</v>
      </c>
    </row>
    <row r="2882" spans="1:11" x14ac:dyDescent="0.2">
      <c r="A2882" t="s">
        <v>2921</v>
      </c>
      <c r="B2882">
        <v>2024</v>
      </c>
      <c r="C2882" t="s">
        <v>33</v>
      </c>
      <c r="D2882">
        <v>109</v>
      </c>
      <c r="E2882" t="s">
        <v>20</v>
      </c>
      <c r="F2882" t="s">
        <v>21</v>
      </c>
      <c r="G2882" t="s">
        <v>15</v>
      </c>
      <c r="H2882">
        <v>0.40544428313682979</v>
      </c>
      <c r="I2882">
        <v>3</v>
      </c>
      <c r="J2882" t="s">
        <v>16</v>
      </c>
      <c r="K2882" s="59" t="s">
        <v>17</v>
      </c>
    </row>
    <row r="2883" spans="1:11" x14ac:dyDescent="0.2">
      <c r="A2883" t="s">
        <v>2922</v>
      </c>
      <c r="B2883">
        <v>2022</v>
      </c>
      <c r="C2883" t="s">
        <v>19</v>
      </c>
      <c r="D2883">
        <v>259</v>
      </c>
      <c r="E2883" t="s">
        <v>13</v>
      </c>
      <c r="F2883" t="s">
        <v>14</v>
      </c>
      <c r="G2883" t="s">
        <v>15</v>
      </c>
      <c r="H2883">
        <v>0.81190294766795856</v>
      </c>
      <c r="I2883">
        <v>4</v>
      </c>
      <c r="J2883" t="s">
        <v>23</v>
      </c>
      <c r="K2883" s="59" t="s">
        <v>17</v>
      </c>
    </row>
    <row r="2884" spans="1:11" x14ac:dyDescent="0.2">
      <c r="A2884" t="s">
        <v>2923</v>
      </c>
      <c r="B2884">
        <v>2023</v>
      </c>
      <c r="C2884" t="s">
        <v>12</v>
      </c>
      <c r="D2884">
        <v>383</v>
      </c>
      <c r="E2884" t="s">
        <v>29</v>
      </c>
      <c r="F2884" t="s">
        <v>30</v>
      </c>
      <c r="G2884" t="s">
        <v>15</v>
      </c>
      <c r="H2884">
        <v>0.21436445001295959</v>
      </c>
      <c r="I2884">
        <v>4</v>
      </c>
      <c r="J2884" t="s">
        <v>16</v>
      </c>
      <c r="K2884" s="59" t="s">
        <v>23</v>
      </c>
    </row>
    <row r="2885" spans="1:11" x14ac:dyDescent="0.2">
      <c r="A2885" t="s">
        <v>2924</v>
      </c>
      <c r="B2885">
        <v>2020</v>
      </c>
      <c r="C2885" t="s">
        <v>19</v>
      </c>
      <c r="D2885">
        <v>94</v>
      </c>
      <c r="E2885" t="s">
        <v>13</v>
      </c>
      <c r="F2885" t="s">
        <v>14</v>
      </c>
      <c r="G2885" t="s">
        <v>15</v>
      </c>
      <c r="H2885">
        <v>0.66024472310180182</v>
      </c>
      <c r="I2885">
        <v>4</v>
      </c>
      <c r="J2885" t="s">
        <v>23</v>
      </c>
      <c r="K2885" s="59" t="s">
        <v>17</v>
      </c>
    </row>
    <row r="2886" spans="1:11" x14ac:dyDescent="0.2">
      <c r="A2886" t="s">
        <v>2925</v>
      </c>
      <c r="B2886">
        <v>2023</v>
      </c>
      <c r="C2886" t="s">
        <v>19</v>
      </c>
      <c r="D2886">
        <v>64</v>
      </c>
      <c r="E2886" t="s">
        <v>38</v>
      </c>
      <c r="F2886" t="s">
        <v>39</v>
      </c>
      <c r="G2886" t="s">
        <v>15</v>
      </c>
      <c r="H2886">
        <v>0.4485458524464041</v>
      </c>
      <c r="I2886">
        <v>3</v>
      </c>
      <c r="J2886" t="s">
        <v>23</v>
      </c>
      <c r="K2886" s="59" t="s">
        <v>16</v>
      </c>
    </row>
    <row r="2887" spans="1:11" x14ac:dyDescent="0.2">
      <c r="A2887" t="s">
        <v>2926</v>
      </c>
      <c r="B2887">
        <v>2023</v>
      </c>
      <c r="C2887" t="s">
        <v>12</v>
      </c>
      <c r="D2887">
        <v>70</v>
      </c>
      <c r="E2887" t="s">
        <v>20</v>
      </c>
      <c r="F2887" t="s">
        <v>21</v>
      </c>
      <c r="G2887" t="s">
        <v>36</v>
      </c>
      <c r="H2887">
        <v>-0.86782678199659602</v>
      </c>
      <c r="I2887">
        <v>3</v>
      </c>
      <c r="J2887" t="s">
        <v>23</v>
      </c>
      <c r="K2887" s="59" t="s">
        <v>16</v>
      </c>
    </row>
    <row r="2888" spans="1:11" x14ac:dyDescent="0.2">
      <c r="A2888" t="s">
        <v>2927</v>
      </c>
      <c r="B2888">
        <v>2022</v>
      </c>
      <c r="C2888" t="s">
        <v>19</v>
      </c>
      <c r="D2888">
        <v>305</v>
      </c>
      <c r="E2888" t="s">
        <v>53</v>
      </c>
      <c r="F2888" t="s">
        <v>54</v>
      </c>
      <c r="G2888" t="s">
        <v>15</v>
      </c>
      <c r="H2888">
        <v>0.73205839723827082</v>
      </c>
      <c r="I2888">
        <v>3</v>
      </c>
      <c r="J2888" t="s">
        <v>23</v>
      </c>
      <c r="K2888" s="59" t="s">
        <v>16</v>
      </c>
    </row>
    <row r="2889" spans="1:11" x14ac:dyDescent="0.2">
      <c r="A2889" t="s">
        <v>2928</v>
      </c>
      <c r="B2889">
        <v>2021</v>
      </c>
      <c r="C2889" t="s">
        <v>12</v>
      </c>
      <c r="D2889">
        <v>367</v>
      </c>
      <c r="E2889" t="s">
        <v>38</v>
      </c>
      <c r="F2889" t="s">
        <v>39</v>
      </c>
      <c r="G2889" t="s">
        <v>15</v>
      </c>
      <c r="H2889">
        <v>0.69029355547504967</v>
      </c>
      <c r="I2889">
        <v>3</v>
      </c>
      <c r="J2889" t="s">
        <v>23</v>
      </c>
      <c r="K2889" s="59" t="s">
        <v>17</v>
      </c>
    </row>
    <row r="2890" spans="1:11" x14ac:dyDescent="0.2">
      <c r="A2890" t="s">
        <v>2929</v>
      </c>
      <c r="B2890">
        <v>2024</v>
      </c>
      <c r="C2890" t="s">
        <v>33</v>
      </c>
      <c r="D2890">
        <v>363</v>
      </c>
      <c r="E2890" t="s">
        <v>53</v>
      </c>
      <c r="F2890" t="s">
        <v>54</v>
      </c>
      <c r="G2890" t="s">
        <v>15</v>
      </c>
      <c r="H2890">
        <v>-1.6253498443433479E-2</v>
      </c>
      <c r="I2890">
        <v>3</v>
      </c>
      <c r="J2890" t="s">
        <v>16</v>
      </c>
      <c r="K2890" s="59" t="s">
        <v>4376</v>
      </c>
    </row>
    <row r="2891" spans="1:11" x14ac:dyDescent="0.2">
      <c r="A2891" t="s">
        <v>2930</v>
      </c>
      <c r="B2891">
        <v>2020</v>
      </c>
      <c r="C2891" t="s">
        <v>19</v>
      </c>
      <c r="D2891">
        <v>96</v>
      </c>
      <c r="E2891" t="s">
        <v>13</v>
      </c>
      <c r="F2891" t="s">
        <v>14</v>
      </c>
      <c r="G2891" t="s">
        <v>41</v>
      </c>
      <c r="H2891">
        <v>-5.7179227452601553E-2</v>
      </c>
      <c r="I2891">
        <v>4</v>
      </c>
      <c r="J2891" t="s">
        <v>23</v>
      </c>
      <c r="K2891" s="59" t="s">
        <v>23</v>
      </c>
    </row>
    <row r="2892" spans="1:11" x14ac:dyDescent="0.2">
      <c r="A2892" t="s">
        <v>2931</v>
      </c>
      <c r="B2892">
        <v>2020</v>
      </c>
      <c r="C2892" t="s">
        <v>19</v>
      </c>
      <c r="D2892">
        <v>102</v>
      </c>
      <c r="E2892" t="s">
        <v>20</v>
      </c>
      <c r="F2892" t="s">
        <v>21</v>
      </c>
      <c r="G2892" t="s">
        <v>48</v>
      </c>
      <c r="H2892">
        <v>0.26648482368276211</v>
      </c>
      <c r="I2892">
        <v>3</v>
      </c>
      <c r="J2892" t="s">
        <v>16</v>
      </c>
      <c r="K2892" s="59" t="s">
        <v>16</v>
      </c>
    </row>
    <row r="2893" spans="1:11" x14ac:dyDescent="0.2">
      <c r="A2893" t="s">
        <v>2932</v>
      </c>
      <c r="B2893">
        <v>2022</v>
      </c>
      <c r="C2893" t="s">
        <v>19</v>
      </c>
      <c r="D2893">
        <v>53</v>
      </c>
      <c r="E2893" t="s">
        <v>38</v>
      </c>
      <c r="F2893" t="s">
        <v>39</v>
      </c>
      <c r="G2893" t="s">
        <v>15</v>
      </c>
      <c r="H2893">
        <v>-0.79424663113519478</v>
      </c>
      <c r="I2893">
        <v>3</v>
      </c>
      <c r="J2893" t="s">
        <v>23</v>
      </c>
      <c r="K2893" s="59" t="s">
        <v>17</v>
      </c>
    </row>
    <row r="2894" spans="1:11" x14ac:dyDescent="0.2">
      <c r="A2894" t="s">
        <v>2933</v>
      </c>
      <c r="B2894">
        <v>2022</v>
      </c>
      <c r="C2894" t="s">
        <v>19</v>
      </c>
      <c r="D2894">
        <v>353</v>
      </c>
      <c r="E2894" t="s">
        <v>53</v>
      </c>
      <c r="F2894" t="s">
        <v>54</v>
      </c>
      <c r="G2894" t="s">
        <v>15</v>
      </c>
      <c r="H2894">
        <v>0.46280219742872031</v>
      </c>
      <c r="I2894">
        <v>3</v>
      </c>
      <c r="J2894" t="s">
        <v>16</v>
      </c>
      <c r="K2894" s="59" t="s">
        <v>16</v>
      </c>
    </row>
    <row r="2895" spans="1:11" x14ac:dyDescent="0.2">
      <c r="A2895" t="s">
        <v>2934</v>
      </c>
      <c r="B2895">
        <v>2022</v>
      </c>
      <c r="C2895" t="s">
        <v>12</v>
      </c>
      <c r="D2895">
        <v>123</v>
      </c>
      <c r="E2895" t="s">
        <v>25</v>
      </c>
      <c r="F2895" t="s">
        <v>26</v>
      </c>
      <c r="G2895" t="s">
        <v>15</v>
      </c>
      <c r="H2895">
        <v>-0.37378862621290332</v>
      </c>
      <c r="I2895">
        <v>2</v>
      </c>
      <c r="J2895" t="s">
        <v>23</v>
      </c>
      <c r="K2895" s="59" t="s">
        <v>17</v>
      </c>
    </row>
    <row r="2896" spans="1:11" x14ac:dyDescent="0.2">
      <c r="A2896" t="s">
        <v>2935</v>
      </c>
      <c r="B2896">
        <v>2023</v>
      </c>
      <c r="C2896" t="s">
        <v>12</v>
      </c>
      <c r="D2896">
        <v>394</v>
      </c>
      <c r="E2896" t="s">
        <v>38</v>
      </c>
      <c r="F2896" t="s">
        <v>39</v>
      </c>
      <c r="G2896" t="s">
        <v>15</v>
      </c>
      <c r="H2896">
        <v>-1.9264873608078889E-3</v>
      </c>
      <c r="I2896">
        <v>3</v>
      </c>
      <c r="J2896" t="s">
        <v>16</v>
      </c>
      <c r="K2896" s="59" t="s">
        <v>4376</v>
      </c>
    </row>
    <row r="2897" spans="1:11" x14ac:dyDescent="0.2">
      <c r="A2897" t="s">
        <v>2936</v>
      </c>
      <c r="B2897">
        <v>2022</v>
      </c>
      <c r="C2897" t="s">
        <v>33</v>
      </c>
      <c r="D2897">
        <v>46</v>
      </c>
      <c r="E2897" t="s">
        <v>25</v>
      </c>
      <c r="F2897" t="s">
        <v>26</v>
      </c>
      <c r="G2897" t="s">
        <v>15</v>
      </c>
      <c r="H2897">
        <v>-0.93070436545997492</v>
      </c>
      <c r="I2897">
        <v>2</v>
      </c>
      <c r="J2897" t="s">
        <v>23</v>
      </c>
      <c r="K2897" s="59" t="s">
        <v>17</v>
      </c>
    </row>
    <row r="2898" spans="1:11" x14ac:dyDescent="0.2">
      <c r="A2898" t="s">
        <v>2937</v>
      </c>
      <c r="B2898">
        <v>2021</v>
      </c>
      <c r="C2898" t="s">
        <v>19</v>
      </c>
      <c r="D2898">
        <v>156</v>
      </c>
      <c r="E2898" t="s">
        <v>53</v>
      </c>
      <c r="F2898" t="s">
        <v>54</v>
      </c>
      <c r="G2898" t="s">
        <v>48</v>
      </c>
      <c r="H2898">
        <v>-0.30031628509635411</v>
      </c>
      <c r="I2898">
        <v>3</v>
      </c>
      <c r="J2898" t="s">
        <v>23</v>
      </c>
      <c r="K2898" s="59" t="s">
        <v>16</v>
      </c>
    </row>
    <row r="2899" spans="1:11" x14ac:dyDescent="0.2">
      <c r="A2899" t="s">
        <v>2938</v>
      </c>
      <c r="B2899">
        <v>2021</v>
      </c>
      <c r="C2899" t="s">
        <v>19</v>
      </c>
      <c r="D2899">
        <v>283</v>
      </c>
      <c r="E2899" t="s">
        <v>29</v>
      </c>
      <c r="F2899" t="s">
        <v>30</v>
      </c>
      <c r="G2899" t="s">
        <v>15</v>
      </c>
      <c r="H2899">
        <v>0.95244521003530502</v>
      </c>
      <c r="I2899">
        <v>4</v>
      </c>
      <c r="J2899" t="s">
        <v>23</v>
      </c>
      <c r="K2899" s="59" t="s">
        <v>4376</v>
      </c>
    </row>
    <row r="2900" spans="1:11" x14ac:dyDescent="0.2">
      <c r="A2900" t="s">
        <v>2939</v>
      </c>
      <c r="B2900">
        <v>2021</v>
      </c>
      <c r="C2900" t="s">
        <v>19</v>
      </c>
      <c r="D2900">
        <v>398</v>
      </c>
      <c r="E2900" t="s">
        <v>29</v>
      </c>
      <c r="F2900" t="s">
        <v>30</v>
      </c>
      <c r="G2900" t="s">
        <v>15</v>
      </c>
      <c r="H2900">
        <v>0.43743819565275671</v>
      </c>
      <c r="I2900">
        <v>4</v>
      </c>
      <c r="J2900" t="s">
        <v>23</v>
      </c>
      <c r="K2900" s="59" t="s">
        <v>17</v>
      </c>
    </row>
    <row r="2901" spans="1:11" x14ac:dyDescent="0.2">
      <c r="A2901" t="s">
        <v>2940</v>
      </c>
      <c r="B2901">
        <v>2021</v>
      </c>
      <c r="C2901" t="s">
        <v>19</v>
      </c>
      <c r="D2901">
        <v>158</v>
      </c>
      <c r="E2901" t="s">
        <v>53</v>
      </c>
      <c r="F2901" t="s">
        <v>54</v>
      </c>
      <c r="G2901" t="s">
        <v>48</v>
      </c>
      <c r="H2901">
        <v>-0.30031628509635411</v>
      </c>
      <c r="I2901">
        <v>3</v>
      </c>
      <c r="J2901" t="s">
        <v>23</v>
      </c>
      <c r="K2901" s="59" t="s">
        <v>16</v>
      </c>
    </row>
    <row r="2902" spans="1:11" x14ac:dyDescent="0.2">
      <c r="A2902" t="s">
        <v>2941</v>
      </c>
      <c r="B2902">
        <v>2022</v>
      </c>
      <c r="C2902" t="s">
        <v>33</v>
      </c>
      <c r="D2902">
        <v>353</v>
      </c>
      <c r="E2902" t="s">
        <v>53</v>
      </c>
      <c r="F2902" t="s">
        <v>54</v>
      </c>
      <c r="G2902" t="s">
        <v>15</v>
      </c>
      <c r="H2902">
        <v>0.46058692577733279</v>
      </c>
      <c r="I2902">
        <v>3</v>
      </c>
      <c r="J2902" t="s">
        <v>16</v>
      </c>
      <c r="K2902" s="59" t="s">
        <v>4376</v>
      </c>
    </row>
    <row r="2903" spans="1:11" x14ac:dyDescent="0.2">
      <c r="A2903" t="s">
        <v>2942</v>
      </c>
      <c r="B2903">
        <v>2020</v>
      </c>
      <c r="C2903" t="s">
        <v>19</v>
      </c>
      <c r="D2903">
        <v>50</v>
      </c>
      <c r="E2903" t="s">
        <v>20</v>
      </c>
      <c r="F2903" t="s">
        <v>21</v>
      </c>
      <c r="G2903" t="s">
        <v>15</v>
      </c>
      <c r="H2903">
        <v>-3.5920943267466718</v>
      </c>
      <c r="I2903">
        <v>3</v>
      </c>
      <c r="J2903" t="s">
        <v>17</v>
      </c>
      <c r="K2903" s="59" t="s">
        <v>23</v>
      </c>
    </row>
    <row r="2904" spans="1:11" x14ac:dyDescent="0.2">
      <c r="A2904" t="s">
        <v>2943</v>
      </c>
      <c r="B2904">
        <v>2019</v>
      </c>
      <c r="C2904" t="s">
        <v>19</v>
      </c>
      <c r="D2904">
        <v>516</v>
      </c>
      <c r="E2904" t="s">
        <v>25</v>
      </c>
      <c r="F2904" t="s">
        <v>26</v>
      </c>
      <c r="G2904" t="s">
        <v>15</v>
      </c>
      <c r="H2904">
        <v>0.61004204495321546</v>
      </c>
      <c r="I2904">
        <v>2</v>
      </c>
      <c r="J2904" t="s">
        <v>16</v>
      </c>
      <c r="K2904" s="59" t="s">
        <v>23</v>
      </c>
    </row>
    <row r="2905" spans="1:11" x14ac:dyDescent="0.2">
      <c r="A2905" t="s">
        <v>2944</v>
      </c>
      <c r="B2905">
        <v>2020</v>
      </c>
      <c r="C2905" t="s">
        <v>19</v>
      </c>
      <c r="D2905">
        <v>325</v>
      </c>
      <c r="E2905" t="s">
        <v>25</v>
      </c>
      <c r="F2905" t="s">
        <v>26</v>
      </c>
      <c r="G2905" t="s">
        <v>48</v>
      </c>
      <c r="H2905">
        <v>0.22096956649185151</v>
      </c>
      <c r="I2905">
        <v>2</v>
      </c>
      <c r="J2905" t="s">
        <v>23</v>
      </c>
      <c r="K2905" s="59" t="s">
        <v>16</v>
      </c>
    </row>
    <row r="2906" spans="1:11" x14ac:dyDescent="0.2">
      <c r="A2906" t="s">
        <v>2945</v>
      </c>
      <c r="B2906">
        <v>2021</v>
      </c>
      <c r="C2906" t="s">
        <v>19</v>
      </c>
      <c r="D2906">
        <v>306</v>
      </c>
      <c r="E2906" t="s">
        <v>29</v>
      </c>
      <c r="F2906" t="s">
        <v>30</v>
      </c>
      <c r="G2906" t="s">
        <v>15</v>
      </c>
      <c r="H2906">
        <v>0.52440461443125497</v>
      </c>
      <c r="I2906">
        <v>4</v>
      </c>
      <c r="J2906" t="s">
        <v>23</v>
      </c>
      <c r="K2906" s="59" t="s">
        <v>23</v>
      </c>
    </row>
    <row r="2907" spans="1:11" x14ac:dyDescent="0.2">
      <c r="A2907" t="s">
        <v>2946</v>
      </c>
      <c r="B2907">
        <v>2023</v>
      </c>
      <c r="C2907" t="s">
        <v>19</v>
      </c>
      <c r="D2907">
        <v>82</v>
      </c>
      <c r="E2907" t="s">
        <v>25</v>
      </c>
      <c r="F2907" t="s">
        <v>26</v>
      </c>
      <c r="G2907" t="s">
        <v>15</v>
      </c>
      <c r="H2907">
        <v>-1.087131524320089</v>
      </c>
      <c r="I2907">
        <v>2</v>
      </c>
      <c r="J2907" t="s">
        <v>16</v>
      </c>
      <c r="K2907" s="59" t="s">
        <v>23</v>
      </c>
    </row>
    <row r="2908" spans="1:11" x14ac:dyDescent="0.2">
      <c r="A2908" t="s">
        <v>2947</v>
      </c>
      <c r="B2908">
        <v>2023</v>
      </c>
      <c r="C2908" t="s">
        <v>12</v>
      </c>
      <c r="D2908">
        <v>396</v>
      </c>
      <c r="E2908" t="s">
        <v>38</v>
      </c>
      <c r="F2908" t="s">
        <v>39</v>
      </c>
      <c r="G2908" t="s">
        <v>15</v>
      </c>
      <c r="H2908">
        <v>4.2579625607048061E-3</v>
      </c>
      <c r="I2908">
        <v>3</v>
      </c>
      <c r="J2908" t="s">
        <v>16</v>
      </c>
      <c r="K2908" s="59" t="s">
        <v>4376</v>
      </c>
    </row>
    <row r="2909" spans="1:11" x14ac:dyDescent="0.2">
      <c r="A2909" t="s">
        <v>2948</v>
      </c>
      <c r="B2909">
        <v>2023</v>
      </c>
      <c r="C2909" t="s">
        <v>12</v>
      </c>
      <c r="D2909">
        <v>132</v>
      </c>
      <c r="E2909" t="s">
        <v>25</v>
      </c>
      <c r="F2909" t="s">
        <v>26</v>
      </c>
      <c r="G2909" t="s">
        <v>15</v>
      </c>
      <c r="H2909">
        <v>0.1217696469732004</v>
      </c>
      <c r="I2909">
        <v>2</v>
      </c>
      <c r="J2909" t="s">
        <v>17</v>
      </c>
      <c r="K2909" s="59" t="s">
        <v>16</v>
      </c>
    </row>
    <row r="2910" spans="1:11" x14ac:dyDescent="0.2">
      <c r="A2910" t="s">
        <v>2949</v>
      </c>
      <c r="B2910">
        <v>2018</v>
      </c>
      <c r="C2910" t="s">
        <v>12</v>
      </c>
      <c r="D2910">
        <v>65</v>
      </c>
      <c r="E2910" t="s">
        <v>20</v>
      </c>
      <c r="F2910" t="s">
        <v>21</v>
      </c>
      <c r="G2910" t="s">
        <v>15</v>
      </c>
      <c r="H2910">
        <v>0.48355758874710453</v>
      </c>
      <c r="I2910">
        <v>3</v>
      </c>
      <c r="J2910" t="s">
        <v>17</v>
      </c>
      <c r="K2910" s="59" t="s">
        <v>23</v>
      </c>
    </row>
    <row r="2911" spans="1:11" x14ac:dyDescent="0.2">
      <c r="A2911" t="s">
        <v>2950</v>
      </c>
      <c r="B2911">
        <v>2024</v>
      </c>
      <c r="C2911" t="s">
        <v>19</v>
      </c>
      <c r="D2911">
        <v>196</v>
      </c>
      <c r="E2911" t="s">
        <v>25</v>
      </c>
      <c r="F2911" t="s">
        <v>26</v>
      </c>
      <c r="G2911" t="s">
        <v>15</v>
      </c>
      <c r="H2911">
        <v>0.2221610653711947</v>
      </c>
      <c r="I2911">
        <v>2</v>
      </c>
      <c r="J2911" t="s">
        <v>17</v>
      </c>
      <c r="K2911" s="59" t="s">
        <v>16</v>
      </c>
    </row>
    <row r="2912" spans="1:11" x14ac:dyDescent="0.2">
      <c r="A2912" t="s">
        <v>2951</v>
      </c>
      <c r="B2912">
        <v>2024</v>
      </c>
      <c r="C2912" t="s">
        <v>33</v>
      </c>
      <c r="D2912">
        <v>281</v>
      </c>
      <c r="E2912" t="s">
        <v>25</v>
      </c>
      <c r="F2912" t="s">
        <v>26</v>
      </c>
      <c r="G2912" t="s">
        <v>48</v>
      </c>
      <c r="H2912">
        <v>0.30483261031683062</v>
      </c>
      <c r="I2912">
        <v>2</v>
      </c>
      <c r="J2912" t="s">
        <v>23</v>
      </c>
      <c r="K2912" s="59" t="s">
        <v>16</v>
      </c>
    </row>
    <row r="2913" spans="1:11" x14ac:dyDescent="0.2">
      <c r="A2913" t="s">
        <v>2952</v>
      </c>
      <c r="B2913">
        <v>2022</v>
      </c>
      <c r="C2913" t="s">
        <v>12</v>
      </c>
      <c r="D2913">
        <v>353</v>
      </c>
      <c r="E2913" t="s">
        <v>53</v>
      </c>
      <c r="F2913" t="s">
        <v>54</v>
      </c>
      <c r="G2913" t="s">
        <v>15</v>
      </c>
      <c r="H2913">
        <v>0.46280219742872031</v>
      </c>
      <c r="I2913">
        <v>3</v>
      </c>
      <c r="J2913" t="s">
        <v>16</v>
      </c>
      <c r="K2913" s="59" t="s">
        <v>23</v>
      </c>
    </row>
    <row r="2914" spans="1:11" x14ac:dyDescent="0.2">
      <c r="A2914" t="s">
        <v>2953</v>
      </c>
      <c r="B2914">
        <v>2023</v>
      </c>
      <c r="C2914" t="s">
        <v>33</v>
      </c>
      <c r="D2914">
        <v>42</v>
      </c>
      <c r="E2914" t="s">
        <v>20</v>
      </c>
      <c r="F2914" t="s">
        <v>21</v>
      </c>
      <c r="G2914" t="s">
        <v>48</v>
      </c>
      <c r="H2914">
        <v>6.0000973987411929E-2</v>
      </c>
      <c r="I2914">
        <v>3</v>
      </c>
      <c r="J2914" t="s">
        <v>23</v>
      </c>
      <c r="K2914" s="59" t="s">
        <v>4376</v>
      </c>
    </row>
    <row r="2915" spans="1:11" x14ac:dyDescent="0.2">
      <c r="A2915" t="s">
        <v>2954</v>
      </c>
      <c r="B2915">
        <v>2021</v>
      </c>
      <c r="C2915" t="s">
        <v>19</v>
      </c>
      <c r="D2915">
        <v>155</v>
      </c>
      <c r="E2915" t="s">
        <v>53</v>
      </c>
      <c r="F2915" t="s">
        <v>54</v>
      </c>
      <c r="G2915" t="s">
        <v>48</v>
      </c>
      <c r="H2915">
        <v>-0.31004176740210432</v>
      </c>
      <c r="I2915">
        <v>3</v>
      </c>
      <c r="J2915" t="s">
        <v>23</v>
      </c>
      <c r="K2915" s="59" t="s">
        <v>16</v>
      </c>
    </row>
    <row r="2916" spans="1:11" x14ac:dyDescent="0.2">
      <c r="A2916" t="s">
        <v>2955</v>
      </c>
      <c r="B2916">
        <v>2021</v>
      </c>
      <c r="C2916" t="s">
        <v>19</v>
      </c>
      <c r="D2916">
        <v>440</v>
      </c>
      <c r="E2916" t="s">
        <v>38</v>
      </c>
      <c r="F2916" t="s">
        <v>39</v>
      </c>
      <c r="G2916" t="s">
        <v>15</v>
      </c>
      <c r="H2916">
        <v>0.54780030737985386</v>
      </c>
      <c r="I2916">
        <v>3</v>
      </c>
      <c r="J2916" t="s">
        <v>23</v>
      </c>
      <c r="K2916" s="59" t="s">
        <v>23</v>
      </c>
    </row>
    <row r="2917" spans="1:11" x14ac:dyDescent="0.2">
      <c r="A2917" t="s">
        <v>2956</v>
      </c>
      <c r="B2917">
        <v>2021</v>
      </c>
      <c r="C2917" t="s">
        <v>12</v>
      </c>
      <c r="D2917">
        <v>399</v>
      </c>
      <c r="E2917" t="s">
        <v>29</v>
      </c>
      <c r="F2917" t="s">
        <v>30</v>
      </c>
      <c r="G2917" t="s">
        <v>15</v>
      </c>
      <c r="H2917">
        <v>0.20729434749458239</v>
      </c>
      <c r="I2917">
        <v>4</v>
      </c>
      <c r="J2917" t="s">
        <v>23</v>
      </c>
      <c r="K2917" s="59" t="s">
        <v>17</v>
      </c>
    </row>
    <row r="2918" spans="1:11" x14ac:dyDescent="0.2">
      <c r="A2918" t="s">
        <v>2957</v>
      </c>
      <c r="B2918">
        <v>2022</v>
      </c>
      <c r="C2918" t="s">
        <v>19</v>
      </c>
      <c r="D2918">
        <v>353</v>
      </c>
      <c r="E2918" t="s">
        <v>53</v>
      </c>
      <c r="F2918" t="s">
        <v>54</v>
      </c>
      <c r="G2918" t="s">
        <v>15</v>
      </c>
      <c r="H2918">
        <v>0.46058692577733279</v>
      </c>
      <c r="I2918">
        <v>3</v>
      </c>
      <c r="J2918" t="s">
        <v>16</v>
      </c>
      <c r="K2918" s="59" t="s">
        <v>4376</v>
      </c>
    </row>
    <row r="2919" spans="1:11" x14ac:dyDescent="0.2">
      <c r="A2919" t="s">
        <v>2958</v>
      </c>
      <c r="B2919">
        <v>2022</v>
      </c>
      <c r="C2919" t="s">
        <v>19</v>
      </c>
      <c r="D2919">
        <v>352</v>
      </c>
      <c r="E2919" t="s">
        <v>53</v>
      </c>
      <c r="F2919" t="s">
        <v>54</v>
      </c>
      <c r="G2919" t="s">
        <v>36</v>
      </c>
      <c r="H2919">
        <v>5.4377775466296963E-2</v>
      </c>
      <c r="I2919">
        <v>3</v>
      </c>
      <c r="J2919" t="s">
        <v>16</v>
      </c>
      <c r="K2919" s="59" t="s">
        <v>23</v>
      </c>
    </row>
    <row r="2920" spans="1:11" x14ac:dyDescent="0.2">
      <c r="A2920" t="s">
        <v>2959</v>
      </c>
      <c r="B2920">
        <v>2022</v>
      </c>
      <c r="C2920" t="s">
        <v>19</v>
      </c>
      <c r="D2920">
        <v>353</v>
      </c>
      <c r="E2920" t="s">
        <v>53</v>
      </c>
      <c r="F2920" t="s">
        <v>54</v>
      </c>
      <c r="G2920" t="s">
        <v>15</v>
      </c>
      <c r="H2920">
        <v>0.46058692577733279</v>
      </c>
      <c r="I2920">
        <v>3</v>
      </c>
      <c r="J2920" t="s">
        <v>16</v>
      </c>
      <c r="K2920" s="59" t="s">
        <v>17</v>
      </c>
    </row>
    <row r="2921" spans="1:11" x14ac:dyDescent="0.2">
      <c r="A2921" t="s">
        <v>2960</v>
      </c>
      <c r="B2921">
        <v>2022</v>
      </c>
      <c r="C2921" t="s">
        <v>12</v>
      </c>
      <c r="D2921">
        <v>352</v>
      </c>
      <c r="E2921" t="s">
        <v>53</v>
      </c>
      <c r="F2921" t="s">
        <v>54</v>
      </c>
      <c r="G2921" t="s">
        <v>36</v>
      </c>
      <c r="H2921">
        <v>5.4377775466296963E-2</v>
      </c>
      <c r="I2921">
        <v>3</v>
      </c>
      <c r="J2921" t="s">
        <v>16</v>
      </c>
      <c r="K2921" s="59" t="s">
        <v>23</v>
      </c>
    </row>
    <row r="2922" spans="1:11" x14ac:dyDescent="0.2">
      <c r="A2922" t="s">
        <v>2961</v>
      </c>
      <c r="B2922">
        <v>2020</v>
      </c>
      <c r="C2922" t="s">
        <v>19</v>
      </c>
      <c r="D2922">
        <v>109</v>
      </c>
      <c r="E2922" t="s">
        <v>20</v>
      </c>
      <c r="F2922" t="s">
        <v>21</v>
      </c>
      <c r="G2922" t="s">
        <v>15</v>
      </c>
      <c r="H2922">
        <v>-3.1567004645655801</v>
      </c>
      <c r="I2922">
        <v>3</v>
      </c>
      <c r="J2922" t="s">
        <v>16</v>
      </c>
      <c r="K2922" s="59" t="s">
        <v>17</v>
      </c>
    </row>
    <row r="2923" spans="1:11" x14ac:dyDescent="0.2">
      <c r="A2923" t="s">
        <v>2962</v>
      </c>
      <c r="B2923">
        <v>2022</v>
      </c>
      <c r="C2923" t="s">
        <v>19</v>
      </c>
      <c r="D2923">
        <v>353</v>
      </c>
      <c r="E2923" t="s">
        <v>53</v>
      </c>
      <c r="F2923" t="s">
        <v>54</v>
      </c>
      <c r="G2923" t="s">
        <v>15</v>
      </c>
      <c r="H2923">
        <v>0.46058692577733279</v>
      </c>
      <c r="I2923">
        <v>3</v>
      </c>
      <c r="J2923" t="s">
        <v>16</v>
      </c>
      <c r="K2923" s="59" t="s">
        <v>4376</v>
      </c>
    </row>
    <row r="2924" spans="1:11" x14ac:dyDescent="0.2">
      <c r="A2924" t="s">
        <v>2963</v>
      </c>
      <c r="B2924">
        <v>2022</v>
      </c>
      <c r="C2924" t="s">
        <v>19</v>
      </c>
      <c r="D2924">
        <v>353</v>
      </c>
      <c r="E2924" t="s">
        <v>53</v>
      </c>
      <c r="F2924" t="s">
        <v>54</v>
      </c>
      <c r="G2924" t="s">
        <v>15</v>
      </c>
      <c r="H2924">
        <v>0.46058692577733279</v>
      </c>
      <c r="I2924">
        <v>3</v>
      </c>
      <c r="J2924" t="s">
        <v>16</v>
      </c>
      <c r="K2924" s="59" t="s">
        <v>4376</v>
      </c>
    </row>
    <row r="2925" spans="1:11" x14ac:dyDescent="0.2">
      <c r="A2925" t="s">
        <v>2964</v>
      </c>
      <c r="B2925">
        <v>2024</v>
      </c>
      <c r="C2925" t="s">
        <v>12</v>
      </c>
      <c r="D2925">
        <v>196</v>
      </c>
      <c r="E2925" t="s">
        <v>25</v>
      </c>
      <c r="F2925" t="s">
        <v>26</v>
      </c>
      <c r="G2925" t="s">
        <v>15</v>
      </c>
      <c r="H2925">
        <v>0.2221610653711947</v>
      </c>
      <c r="I2925">
        <v>2</v>
      </c>
      <c r="J2925" t="s">
        <v>17</v>
      </c>
      <c r="K2925" s="59" t="s">
        <v>16</v>
      </c>
    </row>
    <row r="2926" spans="1:11" x14ac:dyDescent="0.2">
      <c r="A2926" t="s">
        <v>2965</v>
      </c>
      <c r="B2926">
        <v>2020</v>
      </c>
      <c r="C2926" t="s">
        <v>33</v>
      </c>
      <c r="D2926">
        <v>232</v>
      </c>
      <c r="E2926" t="s">
        <v>25</v>
      </c>
      <c r="F2926" t="s">
        <v>26</v>
      </c>
      <c r="G2926" t="s">
        <v>15</v>
      </c>
      <c r="H2926">
        <v>-0.43592093576124541</v>
      </c>
      <c r="I2926">
        <v>2</v>
      </c>
      <c r="J2926" t="s">
        <v>16</v>
      </c>
      <c r="K2926" s="59" t="s">
        <v>4376</v>
      </c>
    </row>
    <row r="2927" spans="1:11" x14ac:dyDescent="0.2">
      <c r="A2927" t="s">
        <v>2966</v>
      </c>
      <c r="B2927">
        <v>2023</v>
      </c>
      <c r="C2927" t="s">
        <v>33</v>
      </c>
      <c r="D2927">
        <v>73</v>
      </c>
      <c r="E2927" t="s">
        <v>20</v>
      </c>
      <c r="F2927" t="s">
        <v>21</v>
      </c>
      <c r="G2927" t="s">
        <v>15</v>
      </c>
      <c r="H2927">
        <v>1.207133472294913</v>
      </c>
      <c r="I2927">
        <v>3</v>
      </c>
      <c r="J2927" t="s">
        <v>23</v>
      </c>
      <c r="K2927" s="59" t="s">
        <v>4376</v>
      </c>
    </row>
    <row r="2928" spans="1:11" x14ac:dyDescent="0.2">
      <c r="A2928" t="s">
        <v>2967</v>
      </c>
      <c r="B2928">
        <v>2024</v>
      </c>
      <c r="C2928" t="s">
        <v>33</v>
      </c>
      <c r="D2928">
        <v>154</v>
      </c>
      <c r="E2928" t="s">
        <v>25</v>
      </c>
      <c r="F2928" t="s">
        <v>26</v>
      </c>
      <c r="G2928" t="s">
        <v>15</v>
      </c>
      <c r="H2928">
        <v>1.04715921232686</v>
      </c>
      <c r="I2928">
        <v>2</v>
      </c>
      <c r="J2928" t="s">
        <v>16</v>
      </c>
      <c r="K2928" s="59" t="s">
        <v>16</v>
      </c>
    </row>
    <row r="2929" spans="1:11" x14ac:dyDescent="0.2">
      <c r="A2929" t="s">
        <v>2968</v>
      </c>
      <c r="B2929">
        <v>2019</v>
      </c>
      <c r="C2929" t="s">
        <v>19</v>
      </c>
      <c r="D2929">
        <v>61</v>
      </c>
      <c r="E2929" t="s">
        <v>20</v>
      </c>
      <c r="F2929" t="s">
        <v>21</v>
      </c>
      <c r="G2929" t="s">
        <v>15</v>
      </c>
      <c r="H2929">
        <v>1.207133472294913</v>
      </c>
      <c r="I2929">
        <v>3</v>
      </c>
      <c r="J2929" t="s">
        <v>23</v>
      </c>
      <c r="K2929" s="59" t="s">
        <v>23</v>
      </c>
    </row>
    <row r="2930" spans="1:11" x14ac:dyDescent="0.2">
      <c r="A2930" t="s">
        <v>2969</v>
      </c>
      <c r="B2930">
        <v>2022</v>
      </c>
      <c r="C2930" t="s">
        <v>12</v>
      </c>
      <c r="D2930">
        <v>353</v>
      </c>
      <c r="E2930" t="s">
        <v>53</v>
      </c>
      <c r="F2930" t="s">
        <v>54</v>
      </c>
      <c r="G2930" t="s">
        <v>15</v>
      </c>
      <c r="H2930">
        <v>0.46058692577733279</v>
      </c>
      <c r="I2930">
        <v>3</v>
      </c>
      <c r="J2930" t="s">
        <v>16</v>
      </c>
      <c r="K2930" s="59" t="s">
        <v>23</v>
      </c>
    </row>
    <row r="2931" spans="1:11" x14ac:dyDescent="0.2">
      <c r="A2931" t="s">
        <v>2970</v>
      </c>
      <c r="B2931">
        <v>2022</v>
      </c>
      <c r="C2931" t="s">
        <v>12</v>
      </c>
      <c r="D2931">
        <v>353</v>
      </c>
      <c r="E2931" t="s">
        <v>53</v>
      </c>
      <c r="F2931" t="s">
        <v>54</v>
      </c>
      <c r="G2931" t="s">
        <v>15</v>
      </c>
      <c r="H2931">
        <v>0.46058692577733279</v>
      </c>
      <c r="I2931">
        <v>3</v>
      </c>
      <c r="J2931" t="s">
        <v>16</v>
      </c>
      <c r="K2931" s="59" t="s">
        <v>4376</v>
      </c>
    </row>
    <row r="2932" spans="1:11" x14ac:dyDescent="0.2">
      <c r="A2932" t="s">
        <v>2971</v>
      </c>
      <c r="B2932">
        <v>2021</v>
      </c>
      <c r="C2932" t="s">
        <v>19</v>
      </c>
      <c r="D2932">
        <v>299</v>
      </c>
      <c r="E2932" t="s">
        <v>20</v>
      </c>
      <c r="F2932" t="s">
        <v>21</v>
      </c>
      <c r="G2932" t="s">
        <v>15</v>
      </c>
      <c r="H2932">
        <v>2.2720187348747061</v>
      </c>
      <c r="I2932">
        <v>3</v>
      </c>
      <c r="J2932" t="s">
        <v>23</v>
      </c>
      <c r="K2932" s="59" t="s">
        <v>17</v>
      </c>
    </row>
    <row r="2933" spans="1:11" x14ac:dyDescent="0.2">
      <c r="A2933" t="s">
        <v>2972</v>
      </c>
      <c r="B2933">
        <v>2022</v>
      </c>
      <c r="C2933" t="s">
        <v>12</v>
      </c>
      <c r="D2933">
        <v>326</v>
      </c>
      <c r="E2933" t="s">
        <v>20</v>
      </c>
      <c r="F2933" t="s">
        <v>21</v>
      </c>
      <c r="G2933" t="s">
        <v>48</v>
      </c>
      <c r="H2933">
        <v>0.80027852047304815</v>
      </c>
      <c r="I2933">
        <v>3</v>
      </c>
      <c r="J2933" t="s">
        <v>23</v>
      </c>
      <c r="K2933" s="59" t="s">
        <v>23</v>
      </c>
    </row>
    <row r="2934" spans="1:11" x14ac:dyDescent="0.2">
      <c r="A2934" t="s">
        <v>2973</v>
      </c>
      <c r="B2934">
        <v>2021</v>
      </c>
      <c r="C2934" t="s">
        <v>19</v>
      </c>
      <c r="D2934">
        <v>158</v>
      </c>
      <c r="E2934" t="s">
        <v>53</v>
      </c>
      <c r="F2934" t="s">
        <v>54</v>
      </c>
      <c r="G2934" t="s">
        <v>48</v>
      </c>
      <c r="H2934">
        <v>-0.28123464259773068</v>
      </c>
      <c r="I2934">
        <v>3</v>
      </c>
      <c r="J2934" t="s">
        <v>23</v>
      </c>
      <c r="K2934" s="59" t="s">
        <v>23</v>
      </c>
    </row>
    <row r="2935" spans="1:11" x14ac:dyDescent="0.2">
      <c r="A2935" t="s">
        <v>2974</v>
      </c>
      <c r="B2935">
        <v>2022</v>
      </c>
      <c r="C2935" t="s">
        <v>19</v>
      </c>
      <c r="D2935">
        <v>352</v>
      </c>
      <c r="E2935" t="s">
        <v>53</v>
      </c>
      <c r="F2935" t="s">
        <v>54</v>
      </c>
      <c r="G2935" t="s">
        <v>15</v>
      </c>
      <c r="H2935">
        <v>0.46280219742872031</v>
      </c>
      <c r="I2935">
        <v>3</v>
      </c>
      <c r="J2935" t="s">
        <v>16</v>
      </c>
      <c r="K2935" s="59" t="s">
        <v>23</v>
      </c>
    </row>
    <row r="2936" spans="1:11" x14ac:dyDescent="0.2">
      <c r="A2936" t="s">
        <v>2975</v>
      </c>
      <c r="B2936">
        <v>2023</v>
      </c>
      <c r="C2936" t="s">
        <v>33</v>
      </c>
      <c r="D2936">
        <v>172</v>
      </c>
      <c r="E2936" t="s">
        <v>20</v>
      </c>
      <c r="F2936" t="s">
        <v>21</v>
      </c>
      <c r="G2936" t="s">
        <v>167</v>
      </c>
      <c r="H2936">
        <v>6.6953292158972583E-2</v>
      </c>
      <c r="I2936">
        <v>3</v>
      </c>
      <c r="J2936" t="s">
        <v>23</v>
      </c>
      <c r="K2936" s="59" t="s">
        <v>4376</v>
      </c>
    </row>
    <row r="2937" spans="1:11" x14ac:dyDescent="0.2">
      <c r="A2937" t="s">
        <v>2976</v>
      </c>
      <c r="B2937">
        <v>2022</v>
      </c>
      <c r="C2937" t="s">
        <v>19</v>
      </c>
      <c r="D2937">
        <v>353</v>
      </c>
      <c r="E2937" t="s">
        <v>53</v>
      </c>
      <c r="F2937" t="s">
        <v>54</v>
      </c>
      <c r="G2937" t="s">
        <v>15</v>
      </c>
      <c r="H2937">
        <v>0.46058692577733279</v>
      </c>
      <c r="I2937">
        <v>3</v>
      </c>
      <c r="J2937" t="s">
        <v>16</v>
      </c>
      <c r="K2937" s="59" t="s">
        <v>23</v>
      </c>
    </row>
    <row r="2938" spans="1:11" x14ac:dyDescent="0.2">
      <c r="A2938" t="s">
        <v>2977</v>
      </c>
      <c r="B2938">
        <v>2023</v>
      </c>
      <c r="C2938" t="s">
        <v>33</v>
      </c>
      <c r="D2938">
        <v>94</v>
      </c>
      <c r="E2938" t="s">
        <v>25</v>
      </c>
      <c r="F2938" t="s">
        <v>26</v>
      </c>
      <c r="G2938" t="s">
        <v>80</v>
      </c>
      <c r="H2938">
        <v>0.2064434205798589</v>
      </c>
      <c r="I2938">
        <v>2</v>
      </c>
      <c r="J2938" t="s">
        <v>23</v>
      </c>
      <c r="K2938" s="59" t="s">
        <v>4376</v>
      </c>
    </row>
    <row r="2939" spans="1:11" x14ac:dyDescent="0.2">
      <c r="A2939" t="s">
        <v>2978</v>
      </c>
      <c r="B2939">
        <v>2022</v>
      </c>
      <c r="C2939" t="s">
        <v>19</v>
      </c>
      <c r="D2939">
        <v>353</v>
      </c>
      <c r="E2939" t="s">
        <v>53</v>
      </c>
      <c r="F2939" t="s">
        <v>54</v>
      </c>
      <c r="G2939" t="s">
        <v>15</v>
      </c>
      <c r="H2939">
        <v>0.46058692577733279</v>
      </c>
      <c r="I2939">
        <v>3</v>
      </c>
      <c r="J2939" t="s">
        <v>16</v>
      </c>
      <c r="K2939" s="59" t="s">
        <v>17</v>
      </c>
    </row>
    <row r="2940" spans="1:11" x14ac:dyDescent="0.2">
      <c r="A2940" t="s">
        <v>2979</v>
      </c>
      <c r="B2940">
        <v>2023</v>
      </c>
      <c r="C2940" t="s">
        <v>19</v>
      </c>
      <c r="D2940">
        <v>206</v>
      </c>
      <c r="E2940" t="s">
        <v>20</v>
      </c>
      <c r="F2940" t="s">
        <v>21</v>
      </c>
      <c r="G2940" t="s">
        <v>48</v>
      </c>
      <c r="H2940">
        <v>-1.661683282493003</v>
      </c>
      <c r="I2940">
        <v>3</v>
      </c>
      <c r="J2940" t="s">
        <v>23</v>
      </c>
      <c r="K2940" s="59" t="s">
        <v>4376</v>
      </c>
    </row>
    <row r="2941" spans="1:11" x14ac:dyDescent="0.2">
      <c r="A2941" t="s">
        <v>2980</v>
      </c>
      <c r="B2941">
        <v>2023</v>
      </c>
      <c r="C2941" t="s">
        <v>12</v>
      </c>
      <c r="D2941">
        <v>393</v>
      </c>
      <c r="E2941" t="s">
        <v>38</v>
      </c>
      <c r="F2941" t="s">
        <v>39</v>
      </c>
      <c r="G2941" t="s">
        <v>15</v>
      </c>
      <c r="H2941">
        <v>-5.0426212774462454E-3</v>
      </c>
      <c r="I2941">
        <v>3</v>
      </c>
      <c r="J2941" t="s">
        <v>16</v>
      </c>
      <c r="K2941" s="59" t="s">
        <v>17</v>
      </c>
    </row>
    <row r="2942" spans="1:11" x14ac:dyDescent="0.2">
      <c r="A2942" t="s">
        <v>2981</v>
      </c>
      <c r="B2942">
        <v>2022</v>
      </c>
      <c r="C2942" t="s">
        <v>19</v>
      </c>
      <c r="D2942">
        <v>353</v>
      </c>
      <c r="E2942" t="s">
        <v>53</v>
      </c>
      <c r="F2942" t="s">
        <v>54</v>
      </c>
      <c r="G2942" t="s">
        <v>15</v>
      </c>
      <c r="H2942">
        <v>0.46058692577733279</v>
      </c>
      <c r="I2942">
        <v>3</v>
      </c>
      <c r="J2942" t="s">
        <v>16</v>
      </c>
      <c r="K2942" s="59" t="s">
        <v>17</v>
      </c>
    </row>
    <row r="2943" spans="1:11" x14ac:dyDescent="0.2">
      <c r="A2943" t="s">
        <v>2982</v>
      </c>
      <c r="B2943">
        <v>2022</v>
      </c>
      <c r="C2943" t="s">
        <v>19</v>
      </c>
      <c r="D2943">
        <v>353</v>
      </c>
      <c r="E2943" t="s">
        <v>53</v>
      </c>
      <c r="F2943" t="s">
        <v>54</v>
      </c>
      <c r="G2943" t="s">
        <v>15</v>
      </c>
      <c r="H2943">
        <v>0.46058692577733279</v>
      </c>
      <c r="I2943">
        <v>3</v>
      </c>
      <c r="J2943" t="s">
        <v>16</v>
      </c>
      <c r="K2943" s="59" t="s">
        <v>17</v>
      </c>
    </row>
    <row r="2944" spans="1:11" x14ac:dyDescent="0.2">
      <c r="A2944" t="s">
        <v>2983</v>
      </c>
      <c r="B2944">
        <v>2020</v>
      </c>
      <c r="C2944" t="s">
        <v>33</v>
      </c>
      <c r="D2944">
        <v>207</v>
      </c>
      <c r="E2944" t="s">
        <v>13</v>
      </c>
      <c r="F2944" t="s">
        <v>14</v>
      </c>
      <c r="G2944" t="s">
        <v>48</v>
      </c>
      <c r="H2944">
        <v>0.26175794605154518</v>
      </c>
      <c r="I2944">
        <v>4</v>
      </c>
      <c r="J2944" t="s">
        <v>16</v>
      </c>
      <c r="K2944" s="59" t="s">
        <v>4376</v>
      </c>
    </row>
    <row r="2945" spans="1:11" x14ac:dyDescent="0.2">
      <c r="A2945" t="s">
        <v>2984</v>
      </c>
      <c r="B2945">
        <v>2023</v>
      </c>
      <c r="C2945" t="s">
        <v>12</v>
      </c>
      <c r="D2945">
        <v>394</v>
      </c>
      <c r="E2945" t="s">
        <v>38</v>
      </c>
      <c r="F2945" t="s">
        <v>39</v>
      </c>
      <c r="G2945" t="s">
        <v>15</v>
      </c>
      <c r="H2945">
        <v>-1.9264873608078889E-3</v>
      </c>
      <c r="I2945">
        <v>3</v>
      </c>
      <c r="J2945" t="s">
        <v>16</v>
      </c>
      <c r="K2945" s="59" t="s">
        <v>4376</v>
      </c>
    </row>
    <row r="2946" spans="1:11" x14ac:dyDescent="0.2">
      <c r="A2946" t="s">
        <v>2985</v>
      </c>
      <c r="B2946">
        <v>2022</v>
      </c>
      <c r="C2946" t="s">
        <v>12</v>
      </c>
      <c r="D2946">
        <v>353</v>
      </c>
      <c r="E2946" t="s">
        <v>53</v>
      </c>
      <c r="F2946" t="s">
        <v>54</v>
      </c>
      <c r="G2946" t="s">
        <v>15</v>
      </c>
      <c r="H2946">
        <v>0.46058692577733279</v>
      </c>
      <c r="I2946">
        <v>3</v>
      </c>
      <c r="J2946" t="s">
        <v>16</v>
      </c>
      <c r="K2946" s="59" t="s">
        <v>17</v>
      </c>
    </row>
    <row r="2947" spans="1:11" x14ac:dyDescent="0.2">
      <c r="A2947" t="s">
        <v>2986</v>
      </c>
      <c r="B2947">
        <v>2020</v>
      </c>
      <c r="C2947" t="s">
        <v>33</v>
      </c>
      <c r="D2947">
        <v>80</v>
      </c>
      <c r="E2947" t="s">
        <v>20</v>
      </c>
      <c r="F2947" t="s">
        <v>21</v>
      </c>
      <c r="G2947" t="s">
        <v>15</v>
      </c>
      <c r="H2947">
        <v>0.61922806691231846</v>
      </c>
      <c r="I2947">
        <v>3</v>
      </c>
      <c r="J2947" t="s">
        <v>16</v>
      </c>
      <c r="K2947" s="59" t="s">
        <v>4376</v>
      </c>
    </row>
    <row r="2948" spans="1:11" x14ac:dyDescent="0.2">
      <c r="A2948" t="s">
        <v>2987</v>
      </c>
      <c r="B2948">
        <v>2022</v>
      </c>
      <c r="C2948" t="s">
        <v>19</v>
      </c>
      <c r="D2948">
        <v>148</v>
      </c>
      <c r="E2948" t="s">
        <v>25</v>
      </c>
      <c r="F2948" t="s">
        <v>26</v>
      </c>
      <c r="G2948" t="s">
        <v>15</v>
      </c>
      <c r="H2948">
        <v>1.5689214140688159</v>
      </c>
      <c r="I2948">
        <v>2</v>
      </c>
      <c r="J2948" t="s">
        <v>23</v>
      </c>
      <c r="K2948" s="59" t="s">
        <v>16</v>
      </c>
    </row>
    <row r="2949" spans="1:11" x14ac:dyDescent="0.2">
      <c r="A2949" t="s">
        <v>2988</v>
      </c>
      <c r="B2949">
        <v>2020</v>
      </c>
      <c r="C2949" t="s">
        <v>33</v>
      </c>
      <c r="D2949">
        <v>204</v>
      </c>
      <c r="E2949" t="s">
        <v>13</v>
      </c>
      <c r="F2949" t="s">
        <v>14</v>
      </c>
      <c r="G2949" t="s">
        <v>22</v>
      </c>
      <c r="H2949">
        <v>7.3265225345165103E-3</v>
      </c>
      <c r="I2949">
        <v>4</v>
      </c>
      <c r="J2949" t="s">
        <v>16</v>
      </c>
      <c r="K2949" s="59" t="s">
        <v>4376</v>
      </c>
    </row>
    <row r="2950" spans="1:11" x14ac:dyDescent="0.2">
      <c r="A2950" t="s">
        <v>2989</v>
      </c>
      <c r="B2950">
        <v>2021</v>
      </c>
      <c r="C2950" t="s">
        <v>33</v>
      </c>
      <c r="D2950">
        <v>311</v>
      </c>
      <c r="E2950" t="s">
        <v>13</v>
      </c>
      <c r="F2950" t="s">
        <v>14</v>
      </c>
      <c r="G2950" t="s">
        <v>15</v>
      </c>
      <c r="H2950">
        <v>0.26203731234180622</v>
      </c>
      <c r="I2950">
        <v>4</v>
      </c>
      <c r="J2950" t="s">
        <v>23</v>
      </c>
      <c r="K2950" s="59" t="s">
        <v>4376</v>
      </c>
    </row>
    <row r="2951" spans="1:11" x14ac:dyDescent="0.2">
      <c r="A2951" t="s">
        <v>2990</v>
      </c>
      <c r="B2951">
        <v>2016</v>
      </c>
      <c r="C2951" t="s">
        <v>12</v>
      </c>
      <c r="D2951">
        <v>78</v>
      </c>
      <c r="E2951" t="s">
        <v>29</v>
      </c>
      <c r="F2951" t="s">
        <v>30</v>
      </c>
      <c r="G2951" t="s">
        <v>15</v>
      </c>
      <c r="H2951">
        <v>1.173666381899163E-3</v>
      </c>
      <c r="I2951">
        <v>4</v>
      </c>
      <c r="J2951" t="s">
        <v>23</v>
      </c>
      <c r="K2951" s="59" t="s">
        <v>4376</v>
      </c>
    </row>
    <row r="2952" spans="1:11" x14ac:dyDescent="0.2">
      <c r="A2952" t="s">
        <v>2991</v>
      </c>
      <c r="B2952">
        <v>2021</v>
      </c>
      <c r="C2952" t="s">
        <v>19</v>
      </c>
      <c r="D2952">
        <v>155</v>
      </c>
      <c r="E2952" t="s">
        <v>53</v>
      </c>
      <c r="F2952" t="s">
        <v>54</v>
      </c>
      <c r="G2952" t="s">
        <v>48</v>
      </c>
      <c r="H2952">
        <v>-0.31004176740210432</v>
      </c>
      <c r="I2952">
        <v>3</v>
      </c>
      <c r="J2952" t="s">
        <v>23</v>
      </c>
      <c r="K2952" s="59" t="s">
        <v>23</v>
      </c>
    </row>
    <row r="2953" spans="1:11" x14ac:dyDescent="0.2">
      <c r="A2953" t="s">
        <v>2992</v>
      </c>
      <c r="B2953">
        <v>2021</v>
      </c>
      <c r="C2953" t="s">
        <v>19</v>
      </c>
      <c r="D2953">
        <v>398</v>
      </c>
      <c r="E2953" t="s">
        <v>29</v>
      </c>
      <c r="F2953" t="s">
        <v>30</v>
      </c>
      <c r="G2953" t="s">
        <v>15</v>
      </c>
      <c r="H2953">
        <v>0.43743819565275671</v>
      </c>
      <c r="I2953">
        <v>4</v>
      </c>
      <c r="J2953" t="s">
        <v>23</v>
      </c>
      <c r="K2953" s="59" t="s">
        <v>23</v>
      </c>
    </row>
    <row r="2954" spans="1:11" x14ac:dyDescent="0.2">
      <c r="A2954" t="s">
        <v>2993</v>
      </c>
      <c r="B2954">
        <v>2021</v>
      </c>
      <c r="C2954" t="s">
        <v>19</v>
      </c>
      <c r="D2954">
        <v>139</v>
      </c>
      <c r="E2954" t="s">
        <v>25</v>
      </c>
      <c r="F2954" t="s">
        <v>26</v>
      </c>
      <c r="G2954" t="s">
        <v>15</v>
      </c>
      <c r="H2954">
        <v>-0.54780803630984565</v>
      </c>
      <c r="I2954">
        <v>2</v>
      </c>
      <c r="J2954" t="s">
        <v>23</v>
      </c>
      <c r="K2954" s="59" t="s">
        <v>16</v>
      </c>
    </row>
    <row r="2955" spans="1:11" x14ac:dyDescent="0.2">
      <c r="A2955" t="s">
        <v>2994</v>
      </c>
      <c r="B2955">
        <v>2022</v>
      </c>
      <c r="C2955" t="s">
        <v>12</v>
      </c>
      <c r="D2955">
        <v>326</v>
      </c>
      <c r="E2955" t="s">
        <v>20</v>
      </c>
      <c r="F2955" t="s">
        <v>21</v>
      </c>
      <c r="G2955" t="s">
        <v>48</v>
      </c>
      <c r="H2955">
        <v>0.80027852047304815</v>
      </c>
      <c r="I2955">
        <v>3</v>
      </c>
      <c r="J2955" t="s">
        <v>17</v>
      </c>
      <c r="K2955" s="59" t="s">
        <v>23</v>
      </c>
    </row>
    <row r="2956" spans="1:11" x14ac:dyDescent="0.2">
      <c r="A2956" t="s">
        <v>2995</v>
      </c>
      <c r="B2956">
        <v>2022</v>
      </c>
      <c r="C2956" t="s">
        <v>12</v>
      </c>
      <c r="D2956">
        <v>326</v>
      </c>
      <c r="E2956" t="s">
        <v>20</v>
      </c>
      <c r="F2956" t="s">
        <v>21</v>
      </c>
      <c r="G2956" t="s">
        <v>48</v>
      </c>
      <c r="H2956">
        <v>0.80027852047304815</v>
      </c>
      <c r="I2956">
        <v>3</v>
      </c>
      <c r="J2956" t="s">
        <v>23</v>
      </c>
      <c r="K2956" s="59" t="s">
        <v>23</v>
      </c>
    </row>
    <row r="2957" spans="1:11" x14ac:dyDescent="0.2">
      <c r="A2957" t="s">
        <v>2996</v>
      </c>
      <c r="B2957">
        <v>2021</v>
      </c>
      <c r="C2957" t="s">
        <v>19</v>
      </c>
      <c r="D2957">
        <v>155</v>
      </c>
      <c r="E2957" t="s">
        <v>53</v>
      </c>
      <c r="F2957" t="s">
        <v>54</v>
      </c>
      <c r="G2957" t="s">
        <v>48</v>
      </c>
      <c r="H2957">
        <v>-0.31004176740210432</v>
      </c>
      <c r="I2957">
        <v>3</v>
      </c>
      <c r="J2957" t="s">
        <v>23</v>
      </c>
      <c r="K2957" s="59" t="s">
        <v>17</v>
      </c>
    </row>
    <row r="2958" spans="1:11" x14ac:dyDescent="0.2">
      <c r="A2958" t="s">
        <v>2997</v>
      </c>
      <c r="B2958">
        <v>2022</v>
      </c>
      <c r="C2958" t="s">
        <v>19</v>
      </c>
      <c r="D2958">
        <v>353</v>
      </c>
      <c r="E2958" t="s">
        <v>53</v>
      </c>
      <c r="F2958" t="s">
        <v>54</v>
      </c>
      <c r="G2958" t="s">
        <v>15</v>
      </c>
      <c r="H2958">
        <v>0.46058692577733279</v>
      </c>
      <c r="I2958">
        <v>3</v>
      </c>
      <c r="J2958" t="s">
        <v>16</v>
      </c>
      <c r="K2958" s="59" t="s">
        <v>17</v>
      </c>
    </row>
    <row r="2959" spans="1:11" x14ac:dyDescent="0.2">
      <c r="A2959" t="s">
        <v>2998</v>
      </c>
      <c r="B2959">
        <v>2021</v>
      </c>
      <c r="C2959" t="s">
        <v>33</v>
      </c>
      <c r="D2959">
        <v>161</v>
      </c>
      <c r="E2959" t="s">
        <v>25</v>
      </c>
      <c r="F2959" t="s">
        <v>26</v>
      </c>
      <c r="G2959" t="s">
        <v>15</v>
      </c>
      <c r="H2959">
        <v>0.31972908681175177</v>
      </c>
      <c r="I2959">
        <v>2</v>
      </c>
      <c r="J2959" t="s">
        <v>23</v>
      </c>
      <c r="K2959" s="59" t="s">
        <v>17</v>
      </c>
    </row>
    <row r="2960" spans="1:11" x14ac:dyDescent="0.2">
      <c r="A2960" t="s">
        <v>2999</v>
      </c>
      <c r="B2960">
        <v>2022</v>
      </c>
      <c r="C2960" t="s">
        <v>19</v>
      </c>
      <c r="D2960">
        <v>353</v>
      </c>
      <c r="E2960" t="s">
        <v>53</v>
      </c>
      <c r="F2960" t="s">
        <v>54</v>
      </c>
      <c r="G2960" t="s">
        <v>15</v>
      </c>
      <c r="H2960">
        <v>0.46058692577733279</v>
      </c>
      <c r="I2960">
        <v>3</v>
      </c>
      <c r="J2960" t="s">
        <v>16</v>
      </c>
      <c r="K2960" s="59" t="s">
        <v>23</v>
      </c>
    </row>
    <row r="2961" spans="1:11" x14ac:dyDescent="0.2">
      <c r="A2961" t="s">
        <v>3000</v>
      </c>
      <c r="B2961">
        <v>2021</v>
      </c>
      <c r="C2961" t="s">
        <v>19</v>
      </c>
      <c r="D2961">
        <v>185</v>
      </c>
      <c r="E2961" t="s">
        <v>13</v>
      </c>
      <c r="F2961" t="s">
        <v>14</v>
      </c>
      <c r="G2961" t="s">
        <v>15</v>
      </c>
      <c r="H2961">
        <v>1.6354798514443429</v>
      </c>
      <c r="I2961">
        <v>4</v>
      </c>
      <c r="J2961" t="s">
        <v>23</v>
      </c>
      <c r="K2961" s="59" t="s">
        <v>23</v>
      </c>
    </row>
    <row r="2962" spans="1:11" x14ac:dyDescent="0.2">
      <c r="A2962" t="s">
        <v>3001</v>
      </c>
      <c r="B2962">
        <v>2022</v>
      </c>
      <c r="C2962" t="s">
        <v>19</v>
      </c>
      <c r="D2962">
        <v>353</v>
      </c>
      <c r="E2962" t="s">
        <v>53</v>
      </c>
      <c r="F2962" t="s">
        <v>54</v>
      </c>
      <c r="G2962" t="s">
        <v>15</v>
      </c>
      <c r="H2962">
        <v>0.46058692577733279</v>
      </c>
      <c r="I2962">
        <v>3</v>
      </c>
      <c r="J2962" t="s">
        <v>16</v>
      </c>
      <c r="K2962" s="59" t="s">
        <v>23</v>
      </c>
    </row>
    <row r="2963" spans="1:11" x14ac:dyDescent="0.2">
      <c r="A2963" t="s">
        <v>3002</v>
      </c>
      <c r="B2963">
        <v>2021</v>
      </c>
      <c r="C2963" t="s">
        <v>33</v>
      </c>
      <c r="D2963">
        <v>51</v>
      </c>
      <c r="E2963" t="s">
        <v>13</v>
      </c>
      <c r="F2963" t="s">
        <v>14</v>
      </c>
      <c r="G2963" t="s">
        <v>41</v>
      </c>
      <c r="H2963">
        <v>-7.266060744950982E-2</v>
      </c>
      <c r="I2963">
        <v>4</v>
      </c>
      <c r="J2963" t="s">
        <v>23</v>
      </c>
      <c r="K2963" s="59" t="s">
        <v>17</v>
      </c>
    </row>
    <row r="2964" spans="1:11" x14ac:dyDescent="0.2">
      <c r="A2964" t="s">
        <v>3003</v>
      </c>
      <c r="B2964">
        <v>2021</v>
      </c>
      <c r="C2964" t="s">
        <v>19</v>
      </c>
      <c r="D2964">
        <v>321</v>
      </c>
      <c r="E2964" t="s">
        <v>38</v>
      </c>
      <c r="F2964" t="s">
        <v>39</v>
      </c>
      <c r="G2964" t="s">
        <v>15</v>
      </c>
      <c r="H2964">
        <v>0.61922806691231869</v>
      </c>
      <c r="I2964">
        <v>3</v>
      </c>
      <c r="J2964" t="s">
        <v>16</v>
      </c>
      <c r="K2964" s="59" t="s">
        <v>17</v>
      </c>
    </row>
    <row r="2965" spans="1:11" x14ac:dyDescent="0.2">
      <c r="A2965" t="s">
        <v>3004</v>
      </c>
      <c r="B2965">
        <v>2021</v>
      </c>
      <c r="C2965" t="s">
        <v>19</v>
      </c>
      <c r="D2965">
        <v>134</v>
      </c>
      <c r="E2965" t="s">
        <v>25</v>
      </c>
      <c r="F2965" t="s">
        <v>26</v>
      </c>
      <c r="G2965" t="s">
        <v>15</v>
      </c>
      <c r="H2965">
        <v>-0.93070436545997492</v>
      </c>
      <c r="I2965">
        <v>2</v>
      </c>
      <c r="J2965" t="s">
        <v>23</v>
      </c>
      <c r="K2965" s="59" t="s">
        <v>17</v>
      </c>
    </row>
    <row r="2966" spans="1:11" x14ac:dyDescent="0.2">
      <c r="A2966" t="s">
        <v>3005</v>
      </c>
      <c r="B2966">
        <v>2023</v>
      </c>
      <c r="C2966" t="s">
        <v>33</v>
      </c>
      <c r="D2966">
        <v>65</v>
      </c>
      <c r="E2966" t="s">
        <v>20</v>
      </c>
      <c r="F2966" t="s">
        <v>21</v>
      </c>
      <c r="G2966" t="s">
        <v>41</v>
      </c>
      <c r="H2966">
        <v>-1.0325061672578271</v>
      </c>
      <c r="I2966">
        <v>3</v>
      </c>
      <c r="J2966" t="s">
        <v>23</v>
      </c>
      <c r="K2966" s="59" t="s">
        <v>23</v>
      </c>
    </row>
    <row r="2967" spans="1:11" x14ac:dyDescent="0.2">
      <c r="A2967" t="s">
        <v>3006</v>
      </c>
      <c r="B2967">
        <v>2022</v>
      </c>
      <c r="C2967" t="s">
        <v>19</v>
      </c>
      <c r="D2967">
        <v>353</v>
      </c>
      <c r="E2967" t="s">
        <v>53</v>
      </c>
      <c r="F2967" t="s">
        <v>54</v>
      </c>
      <c r="G2967" t="s">
        <v>15</v>
      </c>
      <c r="H2967">
        <v>0.46058692577733279</v>
      </c>
      <c r="I2967">
        <v>3</v>
      </c>
      <c r="J2967" t="s">
        <v>16</v>
      </c>
      <c r="K2967" s="59" t="s">
        <v>17</v>
      </c>
    </row>
    <row r="2968" spans="1:11" x14ac:dyDescent="0.2">
      <c r="A2968" t="s">
        <v>3007</v>
      </c>
      <c r="B2968">
        <v>2019</v>
      </c>
      <c r="C2968" t="s">
        <v>19</v>
      </c>
      <c r="D2968">
        <v>120</v>
      </c>
      <c r="E2968" t="s">
        <v>25</v>
      </c>
      <c r="F2968" t="s">
        <v>26</v>
      </c>
      <c r="G2968" t="s">
        <v>15</v>
      </c>
      <c r="H2968">
        <v>-1.1444881492354639</v>
      </c>
      <c r="I2968">
        <v>2</v>
      </c>
      <c r="J2968" t="s">
        <v>16</v>
      </c>
      <c r="K2968" s="59" t="s">
        <v>4376</v>
      </c>
    </row>
    <row r="2969" spans="1:11" x14ac:dyDescent="0.2">
      <c r="A2969" t="s">
        <v>3008</v>
      </c>
      <c r="B2969">
        <v>2023</v>
      </c>
      <c r="C2969" t="s">
        <v>33</v>
      </c>
      <c r="D2969">
        <v>72</v>
      </c>
      <c r="E2969" t="s">
        <v>25</v>
      </c>
      <c r="F2969" t="s">
        <v>26</v>
      </c>
      <c r="G2969" t="s">
        <v>15</v>
      </c>
      <c r="H2969">
        <v>-9.9322984110851928E-2</v>
      </c>
      <c r="I2969">
        <v>2</v>
      </c>
      <c r="J2969" t="s">
        <v>23</v>
      </c>
      <c r="K2969" s="59" t="s">
        <v>23</v>
      </c>
    </row>
    <row r="2970" spans="1:11" x14ac:dyDescent="0.2">
      <c r="A2970" t="s">
        <v>3009</v>
      </c>
      <c r="B2970">
        <v>2023</v>
      </c>
      <c r="C2970" t="s">
        <v>33</v>
      </c>
      <c r="D2970">
        <v>310</v>
      </c>
      <c r="E2970" t="s">
        <v>20</v>
      </c>
      <c r="F2970" t="s">
        <v>21</v>
      </c>
      <c r="G2970" t="s">
        <v>15</v>
      </c>
      <c r="H2970">
        <v>0.58418734738620359</v>
      </c>
      <c r="I2970">
        <v>3</v>
      </c>
      <c r="J2970" t="s">
        <v>23</v>
      </c>
      <c r="K2970" s="59" t="s">
        <v>4376</v>
      </c>
    </row>
    <row r="2971" spans="1:11" x14ac:dyDescent="0.2">
      <c r="A2971" t="s">
        <v>3010</v>
      </c>
      <c r="B2971">
        <v>2021</v>
      </c>
      <c r="C2971" t="s">
        <v>33</v>
      </c>
      <c r="D2971">
        <v>47</v>
      </c>
      <c r="E2971" t="s">
        <v>20</v>
      </c>
      <c r="F2971" t="s">
        <v>21</v>
      </c>
      <c r="G2971" t="s">
        <v>15</v>
      </c>
      <c r="H2971">
        <v>-1.794936682850248</v>
      </c>
      <c r="I2971">
        <v>3</v>
      </c>
      <c r="J2971" t="s">
        <v>23</v>
      </c>
      <c r="K2971" s="59" t="s">
        <v>23</v>
      </c>
    </row>
    <row r="2972" spans="1:11" x14ac:dyDescent="0.2">
      <c r="A2972" t="s">
        <v>3011</v>
      </c>
      <c r="B2972">
        <v>2023</v>
      </c>
      <c r="C2972" t="s">
        <v>33</v>
      </c>
      <c r="D2972">
        <v>117</v>
      </c>
      <c r="E2972" t="s">
        <v>20</v>
      </c>
      <c r="F2972" t="s">
        <v>21</v>
      </c>
      <c r="G2972" t="s">
        <v>48</v>
      </c>
      <c r="H2972">
        <v>1.602363996921867</v>
      </c>
      <c r="I2972">
        <v>3</v>
      </c>
      <c r="J2972" t="s">
        <v>23</v>
      </c>
      <c r="K2972" s="59" t="s">
        <v>4376</v>
      </c>
    </row>
    <row r="2973" spans="1:11" x14ac:dyDescent="0.2">
      <c r="A2973" t="s">
        <v>3012</v>
      </c>
      <c r="B2973">
        <v>2021</v>
      </c>
      <c r="C2973" t="s">
        <v>19</v>
      </c>
      <c r="D2973">
        <v>102</v>
      </c>
      <c r="E2973" t="s">
        <v>25</v>
      </c>
      <c r="F2973" t="s">
        <v>26</v>
      </c>
      <c r="G2973" t="s">
        <v>48</v>
      </c>
      <c r="H2973">
        <v>1.207133472294913</v>
      </c>
      <c r="I2973">
        <v>2</v>
      </c>
      <c r="J2973" t="s">
        <v>23</v>
      </c>
      <c r="K2973" s="59" t="s">
        <v>17</v>
      </c>
    </row>
    <row r="2974" spans="1:11" x14ac:dyDescent="0.2">
      <c r="A2974" t="s">
        <v>3013</v>
      </c>
      <c r="B2974">
        <v>2021</v>
      </c>
      <c r="C2974" t="s">
        <v>33</v>
      </c>
      <c r="D2974">
        <v>321</v>
      </c>
      <c r="E2974" t="s">
        <v>38</v>
      </c>
      <c r="F2974" t="s">
        <v>39</v>
      </c>
      <c r="G2974" t="s">
        <v>15</v>
      </c>
      <c r="H2974">
        <v>0.61922806691231869</v>
      </c>
      <c r="I2974">
        <v>3</v>
      </c>
      <c r="J2974" t="s">
        <v>16</v>
      </c>
      <c r="K2974" s="59" t="s">
        <v>16</v>
      </c>
    </row>
    <row r="2975" spans="1:11" x14ac:dyDescent="0.2">
      <c r="A2975" t="s">
        <v>3014</v>
      </c>
      <c r="B2975">
        <v>2023</v>
      </c>
      <c r="C2975" t="s">
        <v>19</v>
      </c>
      <c r="D2975">
        <v>174</v>
      </c>
      <c r="E2975" t="s">
        <v>13</v>
      </c>
      <c r="F2975" t="s">
        <v>14</v>
      </c>
      <c r="G2975" t="s">
        <v>15</v>
      </c>
      <c r="H2975">
        <v>-1.0061574656160299</v>
      </c>
      <c r="I2975">
        <v>4</v>
      </c>
      <c r="J2975" t="s">
        <v>23</v>
      </c>
      <c r="K2975" s="59" t="s">
        <v>4376</v>
      </c>
    </row>
    <row r="2976" spans="1:11" x14ac:dyDescent="0.2">
      <c r="A2976" t="s">
        <v>3015</v>
      </c>
      <c r="B2976">
        <v>2023</v>
      </c>
      <c r="C2976" t="s">
        <v>12</v>
      </c>
      <c r="D2976">
        <v>395</v>
      </c>
      <c r="E2976" t="s">
        <v>38</v>
      </c>
      <c r="F2976" t="s">
        <v>39</v>
      </c>
      <c r="G2976" t="s">
        <v>15</v>
      </c>
      <c r="H2976">
        <v>1.173666381899163E-3</v>
      </c>
      <c r="I2976">
        <v>3</v>
      </c>
      <c r="J2976" t="s">
        <v>16</v>
      </c>
      <c r="K2976" s="59" t="s">
        <v>23</v>
      </c>
    </row>
    <row r="2977" spans="1:11" x14ac:dyDescent="0.2">
      <c r="A2977" t="s">
        <v>3016</v>
      </c>
      <c r="B2977">
        <v>2022</v>
      </c>
      <c r="C2977" t="s">
        <v>19</v>
      </c>
      <c r="D2977">
        <v>353</v>
      </c>
      <c r="E2977" t="s">
        <v>53</v>
      </c>
      <c r="F2977" t="s">
        <v>54</v>
      </c>
      <c r="G2977" t="s">
        <v>15</v>
      </c>
      <c r="H2977">
        <v>0.46058692577733279</v>
      </c>
      <c r="I2977">
        <v>3</v>
      </c>
      <c r="J2977" t="s">
        <v>16</v>
      </c>
      <c r="K2977" s="59" t="s">
        <v>23</v>
      </c>
    </row>
    <row r="2978" spans="1:11" x14ac:dyDescent="0.2">
      <c r="A2978" t="s">
        <v>3017</v>
      </c>
      <c r="B2978">
        <v>2022</v>
      </c>
      <c r="C2978" t="s">
        <v>19</v>
      </c>
      <c r="D2978">
        <v>353</v>
      </c>
      <c r="E2978" t="s">
        <v>53</v>
      </c>
      <c r="F2978" t="s">
        <v>54</v>
      </c>
      <c r="G2978" t="s">
        <v>15</v>
      </c>
      <c r="H2978">
        <v>0.46058692577733279</v>
      </c>
      <c r="I2978">
        <v>3</v>
      </c>
      <c r="J2978" t="s">
        <v>16</v>
      </c>
      <c r="K2978" s="59" t="s">
        <v>16</v>
      </c>
    </row>
    <row r="2979" spans="1:11" x14ac:dyDescent="0.2">
      <c r="A2979" t="s">
        <v>3018</v>
      </c>
      <c r="B2979">
        <v>2022</v>
      </c>
      <c r="C2979" t="s">
        <v>19</v>
      </c>
      <c r="D2979">
        <v>353</v>
      </c>
      <c r="E2979" t="s">
        <v>53</v>
      </c>
      <c r="F2979" t="s">
        <v>54</v>
      </c>
      <c r="G2979" t="s">
        <v>15</v>
      </c>
      <c r="H2979">
        <v>0.46058692577733279</v>
      </c>
      <c r="I2979">
        <v>3</v>
      </c>
      <c r="J2979" t="s">
        <v>16</v>
      </c>
      <c r="K2979" s="59" t="s">
        <v>23</v>
      </c>
    </row>
    <row r="2980" spans="1:11" x14ac:dyDescent="0.2">
      <c r="A2980" t="s">
        <v>3019</v>
      </c>
      <c r="B2980">
        <v>2021</v>
      </c>
      <c r="C2980" t="s">
        <v>19</v>
      </c>
      <c r="D2980">
        <v>145</v>
      </c>
      <c r="E2980" t="s">
        <v>25</v>
      </c>
      <c r="F2980" t="s">
        <v>26</v>
      </c>
      <c r="G2980" t="s">
        <v>15</v>
      </c>
      <c r="H2980">
        <v>0.53040782581135104</v>
      </c>
      <c r="I2980">
        <v>2</v>
      </c>
      <c r="J2980" t="s">
        <v>23</v>
      </c>
      <c r="K2980" s="59" t="s">
        <v>17</v>
      </c>
    </row>
    <row r="2981" spans="1:11" x14ac:dyDescent="0.2">
      <c r="A2981" t="s">
        <v>3020</v>
      </c>
      <c r="B2981">
        <v>2023</v>
      </c>
      <c r="C2981" t="s">
        <v>33</v>
      </c>
      <c r="D2981">
        <v>408</v>
      </c>
      <c r="E2981" t="s">
        <v>20</v>
      </c>
      <c r="F2981" t="s">
        <v>21</v>
      </c>
      <c r="G2981" t="s">
        <v>48</v>
      </c>
      <c r="H2981">
        <v>0.67049610144853489</v>
      </c>
      <c r="I2981">
        <v>3</v>
      </c>
      <c r="J2981" t="s">
        <v>17</v>
      </c>
      <c r="K2981" s="59" t="s">
        <v>16</v>
      </c>
    </row>
    <row r="2982" spans="1:11" x14ac:dyDescent="0.2">
      <c r="A2982" t="s">
        <v>3021</v>
      </c>
      <c r="B2982">
        <v>2022</v>
      </c>
      <c r="C2982" t="s">
        <v>19</v>
      </c>
      <c r="D2982">
        <v>353</v>
      </c>
      <c r="E2982" t="s">
        <v>53</v>
      </c>
      <c r="F2982" t="s">
        <v>54</v>
      </c>
      <c r="G2982" t="s">
        <v>15</v>
      </c>
      <c r="H2982">
        <v>0.46058692577733279</v>
      </c>
      <c r="I2982">
        <v>3</v>
      </c>
      <c r="J2982" t="s">
        <v>16</v>
      </c>
      <c r="K2982" s="59" t="s">
        <v>16</v>
      </c>
    </row>
    <row r="2983" spans="1:11" x14ac:dyDescent="0.2">
      <c r="A2983" t="s">
        <v>3022</v>
      </c>
      <c r="B2983">
        <v>2021</v>
      </c>
      <c r="C2983" t="s">
        <v>19</v>
      </c>
      <c r="D2983">
        <v>306</v>
      </c>
      <c r="E2983" t="s">
        <v>29</v>
      </c>
      <c r="F2983" t="s">
        <v>30</v>
      </c>
      <c r="G2983" t="s">
        <v>15</v>
      </c>
      <c r="H2983">
        <v>0.52440461443125497</v>
      </c>
      <c r="I2983">
        <v>4</v>
      </c>
      <c r="J2983" t="s">
        <v>23</v>
      </c>
      <c r="K2983" s="59" t="s">
        <v>17</v>
      </c>
    </row>
    <row r="2984" spans="1:11" x14ac:dyDescent="0.2">
      <c r="A2984" t="s">
        <v>3023</v>
      </c>
      <c r="B2984">
        <v>2024</v>
      </c>
      <c r="C2984" t="s">
        <v>33</v>
      </c>
      <c r="D2984">
        <v>60</v>
      </c>
      <c r="E2984" t="s">
        <v>25</v>
      </c>
      <c r="F2984" t="s">
        <v>26</v>
      </c>
      <c r="G2984" t="s">
        <v>80</v>
      </c>
      <c r="H2984">
        <v>0.42325959845145378</v>
      </c>
      <c r="I2984">
        <v>2</v>
      </c>
      <c r="J2984" t="s">
        <v>23</v>
      </c>
      <c r="K2984" s="59" t="s">
        <v>4376</v>
      </c>
    </row>
    <row r="2985" spans="1:11" x14ac:dyDescent="0.2">
      <c r="A2985" t="s">
        <v>3024</v>
      </c>
      <c r="B2985">
        <v>2018</v>
      </c>
      <c r="C2985" t="s">
        <v>19</v>
      </c>
      <c r="D2985">
        <v>87</v>
      </c>
      <c r="E2985" t="s">
        <v>25</v>
      </c>
      <c r="F2985" t="s">
        <v>26</v>
      </c>
      <c r="G2985" t="s">
        <v>80</v>
      </c>
      <c r="H2985">
        <v>0.66653080067873416</v>
      </c>
      <c r="I2985">
        <v>2</v>
      </c>
      <c r="J2985" t="s">
        <v>23</v>
      </c>
      <c r="K2985" s="59" t="s">
        <v>16</v>
      </c>
    </row>
    <row r="2986" spans="1:11" x14ac:dyDescent="0.2">
      <c r="A2986" t="s">
        <v>3025</v>
      </c>
      <c r="B2986">
        <v>2019</v>
      </c>
      <c r="C2986" t="s">
        <v>19</v>
      </c>
      <c r="D2986">
        <v>130</v>
      </c>
      <c r="E2986" t="s">
        <v>25</v>
      </c>
      <c r="F2986" t="s">
        <v>26</v>
      </c>
      <c r="G2986" t="s">
        <v>15</v>
      </c>
      <c r="H2986">
        <v>-0.63007091952569383</v>
      </c>
      <c r="I2986">
        <v>2</v>
      </c>
      <c r="J2986" t="s">
        <v>16</v>
      </c>
      <c r="K2986" s="59" t="s">
        <v>4376</v>
      </c>
    </row>
    <row r="2987" spans="1:11" x14ac:dyDescent="0.2">
      <c r="A2987" t="s">
        <v>3026</v>
      </c>
      <c r="B2987">
        <v>2021</v>
      </c>
      <c r="C2987" t="s">
        <v>19</v>
      </c>
      <c r="D2987">
        <v>129</v>
      </c>
      <c r="E2987" t="s">
        <v>25</v>
      </c>
      <c r="F2987" t="s">
        <v>26</v>
      </c>
      <c r="G2987" t="s">
        <v>48</v>
      </c>
      <c r="H2987">
        <v>8.7313652518543006E-2</v>
      </c>
      <c r="I2987">
        <v>2</v>
      </c>
      <c r="J2987" t="s">
        <v>23</v>
      </c>
      <c r="K2987" s="59" t="s">
        <v>17</v>
      </c>
    </row>
    <row r="2988" spans="1:11" x14ac:dyDescent="0.2">
      <c r="A2988" t="s">
        <v>3027</v>
      </c>
      <c r="B2988">
        <v>2022</v>
      </c>
      <c r="C2988" t="s">
        <v>12</v>
      </c>
      <c r="D2988">
        <v>200</v>
      </c>
      <c r="E2988" t="s">
        <v>20</v>
      </c>
      <c r="F2988" t="s">
        <v>21</v>
      </c>
      <c r="G2988" t="s">
        <v>48</v>
      </c>
      <c r="H2988">
        <v>-0.91996146175266402</v>
      </c>
      <c r="I2988">
        <v>3</v>
      </c>
      <c r="J2988" t="s">
        <v>23</v>
      </c>
      <c r="K2988" s="59" t="s">
        <v>16</v>
      </c>
    </row>
    <row r="2989" spans="1:11" x14ac:dyDescent="0.2">
      <c r="A2989" t="s">
        <v>3028</v>
      </c>
      <c r="B2989">
        <v>2021</v>
      </c>
      <c r="C2989" t="s">
        <v>33</v>
      </c>
      <c r="D2989">
        <v>71</v>
      </c>
      <c r="E2989" t="s">
        <v>53</v>
      </c>
      <c r="F2989" t="s">
        <v>54</v>
      </c>
      <c r="G2989" t="s">
        <v>15</v>
      </c>
      <c r="H2989">
        <v>0.52550401677886149</v>
      </c>
      <c r="I2989">
        <v>3</v>
      </c>
      <c r="J2989" t="s">
        <v>16</v>
      </c>
      <c r="K2989" s="59" t="s">
        <v>4376</v>
      </c>
    </row>
    <row r="2990" spans="1:11" x14ac:dyDescent="0.2">
      <c r="A2990" t="s">
        <v>3029</v>
      </c>
      <c r="B2990">
        <v>2021</v>
      </c>
      <c r="C2990" t="s">
        <v>12</v>
      </c>
      <c r="D2990">
        <v>130</v>
      </c>
      <c r="E2990" t="s">
        <v>25</v>
      </c>
      <c r="F2990" t="s">
        <v>26</v>
      </c>
      <c r="G2990" t="s">
        <v>15</v>
      </c>
      <c r="H2990">
        <v>4.1040106246792087E-2</v>
      </c>
      <c r="I2990">
        <v>2</v>
      </c>
      <c r="J2990" t="s">
        <v>23</v>
      </c>
      <c r="K2990" s="59" t="s">
        <v>17</v>
      </c>
    </row>
    <row r="2991" spans="1:11" x14ac:dyDescent="0.2">
      <c r="A2991" t="s">
        <v>3030</v>
      </c>
      <c r="B2991">
        <v>2021</v>
      </c>
      <c r="C2991" t="s">
        <v>19</v>
      </c>
      <c r="D2991">
        <v>91</v>
      </c>
      <c r="E2991" t="s">
        <v>25</v>
      </c>
      <c r="F2991" t="s">
        <v>26</v>
      </c>
      <c r="G2991" t="s">
        <v>15</v>
      </c>
      <c r="H2991">
        <v>0.66653080067873416</v>
      </c>
      <c r="I2991">
        <v>2</v>
      </c>
      <c r="J2991" t="s">
        <v>23</v>
      </c>
      <c r="K2991" s="59" t="s">
        <v>17</v>
      </c>
    </row>
    <row r="2992" spans="1:11" x14ac:dyDescent="0.2">
      <c r="A2992" t="s">
        <v>3031</v>
      </c>
      <c r="B2992">
        <v>2021</v>
      </c>
      <c r="C2992" t="s">
        <v>19</v>
      </c>
      <c r="D2992">
        <v>268</v>
      </c>
      <c r="E2992" t="s">
        <v>25</v>
      </c>
      <c r="F2992" t="s">
        <v>26</v>
      </c>
      <c r="G2992" t="s">
        <v>15</v>
      </c>
      <c r="H2992">
        <v>0.46646524504125081</v>
      </c>
      <c r="I2992">
        <v>2</v>
      </c>
      <c r="J2992" t="s">
        <v>23</v>
      </c>
      <c r="K2992" s="59" t="s">
        <v>16</v>
      </c>
    </row>
    <row r="2993" spans="1:11" x14ac:dyDescent="0.2">
      <c r="A2993" t="s">
        <v>3032</v>
      </c>
      <c r="B2993">
        <v>2022</v>
      </c>
      <c r="C2993" t="s">
        <v>12</v>
      </c>
      <c r="D2993">
        <v>353</v>
      </c>
      <c r="E2993" t="s">
        <v>53</v>
      </c>
      <c r="F2993" t="s">
        <v>54</v>
      </c>
      <c r="G2993" t="s">
        <v>15</v>
      </c>
      <c r="H2993">
        <v>0.46058692577733279</v>
      </c>
      <c r="I2993">
        <v>3</v>
      </c>
      <c r="J2993" t="s">
        <v>16</v>
      </c>
      <c r="K2993" s="59" t="s">
        <v>16</v>
      </c>
    </row>
    <row r="2994" spans="1:11" x14ac:dyDescent="0.2">
      <c r="A2994" t="s">
        <v>3033</v>
      </c>
      <c r="B2994">
        <v>2021</v>
      </c>
      <c r="C2994" t="s">
        <v>33</v>
      </c>
      <c r="D2994">
        <v>120</v>
      </c>
      <c r="E2994" t="s">
        <v>20</v>
      </c>
      <c r="F2994" t="s">
        <v>21</v>
      </c>
      <c r="G2994" t="s">
        <v>48</v>
      </c>
      <c r="H2994">
        <v>-0.82012654626575676</v>
      </c>
      <c r="I2994">
        <v>3</v>
      </c>
      <c r="J2994" t="s">
        <v>16</v>
      </c>
      <c r="K2994" s="59" t="s">
        <v>4376</v>
      </c>
    </row>
    <row r="2995" spans="1:11" x14ac:dyDescent="0.2">
      <c r="A2995" t="s">
        <v>3034</v>
      </c>
      <c r="B2995">
        <v>2021</v>
      </c>
      <c r="C2995" t="s">
        <v>12</v>
      </c>
      <c r="D2995">
        <v>311</v>
      </c>
      <c r="E2995" t="s">
        <v>38</v>
      </c>
      <c r="F2995" t="s">
        <v>39</v>
      </c>
      <c r="G2995" t="s">
        <v>15</v>
      </c>
      <c r="H2995">
        <v>0.60221472720671299</v>
      </c>
      <c r="I2995">
        <v>3</v>
      </c>
      <c r="J2995" t="s">
        <v>23</v>
      </c>
      <c r="K2995" s="59" t="s">
        <v>17</v>
      </c>
    </row>
    <row r="2996" spans="1:11" x14ac:dyDescent="0.2">
      <c r="A2996" t="s">
        <v>3035</v>
      </c>
      <c r="B2996">
        <v>2020</v>
      </c>
      <c r="C2996" t="s">
        <v>33</v>
      </c>
      <c r="D2996">
        <v>58</v>
      </c>
      <c r="E2996" t="s">
        <v>29</v>
      </c>
      <c r="F2996" t="s">
        <v>30</v>
      </c>
      <c r="G2996" t="s">
        <v>15</v>
      </c>
      <c r="H2996">
        <v>-0.44312731474394779</v>
      </c>
      <c r="I2996">
        <v>4</v>
      </c>
      <c r="J2996" t="s">
        <v>23</v>
      </c>
      <c r="K2996" s="59" t="s">
        <v>4376</v>
      </c>
    </row>
    <row r="2997" spans="1:11" x14ac:dyDescent="0.2">
      <c r="A2997" t="s">
        <v>3036</v>
      </c>
      <c r="B2997">
        <v>2021</v>
      </c>
      <c r="C2997" t="s">
        <v>19</v>
      </c>
      <c r="D2997">
        <v>306</v>
      </c>
      <c r="E2997" t="s">
        <v>29</v>
      </c>
      <c r="F2997" t="s">
        <v>30</v>
      </c>
      <c r="G2997" t="s">
        <v>15</v>
      </c>
      <c r="H2997">
        <v>0.52440461443125497</v>
      </c>
      <c r="I2997">
        <v>4</v>
      </c>
      <c r="J2997" t="s">
        <v>23</v>
      </c>
      <c r="K2997" s="59" t="s">
        <v>17</v>
      </c>
    </row>
    <row r="2998" spans="1:11" x14ac:dyDescent="0.2">
      <c r="A2998" t="s">
        <v>3037</v>
      </c>
      <c r="B2998">
        <v>2023</v>
      </c>
      <c r="C2998" t="s">
        <v>12</v>
      </c>
      <c r="D2998">
        <v>72</v>
      </c>
      <c r="E2998" t="s">
        <v>20</v>
      </c>
      <c r="F2998" t="s">
        <v>21</v>
      </c>
      <c r="G2998" t="s">
        <v>57</v>
      </c>
      <c r="H2998">
        <v>-1.4425810308379059</v>
      </c>
      <c r="I2998">
        <v>3</v>
      </c>
      <c r="J2998" t="s">
        <v>23</v>
      </c>
      <c r="K2998" s="59" t="s">
        <v>16</v>
      </c>
    </row>
    <row r="2999" spans="1:11" x14ac:dyDescent="0.2">
      <c r="A2999" t="s">
        <v>3038</v>
      </c>
      <c r="B2999">
        <v>2021</v>
      </c>
      <c r="C2999" t="s">
        <v>19</v>
      </c>
      <c r="D2999">
        <v>92</v>
      </c>
      <c r="E2999" t="s">
        <v>25</v>
      </c>
      <c r="F2999" t="s">
        <v>26</v>
      </c>
      <c r="G2999" t="s">
        <v>15</v>
      </c>
      <c r="H2999">
        <v>-0.34338627816467621</v>
      </c>
      <c r="I2999">
        <v>2</v>
      </c>
      <c r="J2999" t="s">
        <v>23</v>
      </c>
      <c r="K2999" s="59" t="s">
        <v>17</v>
      </c>
    </row>
    <row r="3000" spans="1:11" x14ac:dyDescent="0.2">
      <c r="A3000" t="s">
        <v>3039</v>
      </c>
      <c r="B3000">
        <v>2022</v>
      </c>
      <c r="C3000" t="s">
        <v>33</v>
      </c>
      <c r="D3000">
        <v>353</v>
      </c>
      <c r="E3000" t="s">
        <v>53</v>
      </c>
      <c r="F3000" t="s">
        <v>54</v>
      </c>
      <c r="G3000" t="s">
        <v>15</v>
      </c>
      <c r="H3000">
        <v>0.46058692577733279</v>
      </c>
      <c r="I3000">
        <v>3</v>
      </c>
      <c r="J3000" t="s">
        <v>16</v>
      </c>
      <c r="K3000" s="59" t="s">
        <v>17</v>
      </c>
    </row>
    <row r="3001" spans="1:11" x14ac:dyDescent="0.2">
      <c r="A3001" t="s">
        <v>3040</v>
      </c>
      <c r="B3001">
        <v>2022</v>
      </c>
      <c r="C3001" t="s">
        <v>19</v>
      </c>
      <c r="D3001">
        <v>353</v>
      </c>
      <c r="E3001" t="s">
        <v>53</v>
      </c>
      <c r="F3001" t="s">
        <v>54</v>
      </c>
      <c r="G3001" t="s">
        <v>15</v>
      </c>
      <c r="H3001">
        <v>0.46058692577733279</v>
      </c>
      <c r="I3001">
        <v>3</v>
      </c>
      <c r="J3001" t="s">
        <v>16</v>
      </c>
      <c r="K3001" s="59" t="s">
        <v>23</v>
      </c>
    </row>
    <row r="3002" spans="1:11" x14ac:dyDescent="0.2">
      <c r="A3002" t="s">
        <v>3041</v>
      </c>
      <c r="B3002">
        <v>2020</v>
      </c>
      <c r="C3002" t="s">
        <v>33</v>
      </c>
      <c r="D3002">
        <v>55</v>
      </c>
      <c r="E3002" t="s">
        <v>20</v>
      </c>
      <c r="F3002" t="s">
        <v>21</v>
      </c>
      <c r="G3002" t="s">
        <v>15</v>
      </c>
      <c r="H3002">
        <v>-2.213407068112907</v>
      </c>
      <c r="I3002">
        <v>3</v>
      </c>
      <c r="J3002" t="s">
        <v>23</v>
      </c>
      <c r="K3002" s="59" t="s">
        <v>4376</v>
      </c>
    </row>
    <row r="3003" spans="1:11" x14ac:dyDescent="0.2">
      <c r="A3003" t="s">
        <v>3042</v>
      </c>
      <c r="B3003">
        <v>2023</v>
      </c>
      <c r="C3003" t="s">
        <v>19</v>
      </c>
      <c r="D3003">
        <v>358</v>
      </c>
      <c r="E3003" t="s">
        <v>25</v>
      </c>
      <c r="F3003" t="s">
        <v>26</v>
      </c>
      <c r="G3003" t="s">
        <v>48</v>
      </c>
      <c r="H3003">
        <v>1.5634397785873939</v>
      </c>
      <c r="I3003">
        <v>2</v>
      </c>
      <c r="J3003" t="s">
        <v>23</v>
      </c>
      <c r="K3003" s="59" t="s">
        <v>17</v>
      </c>
    </row>
    <row r="3004" spans="1:11" x14ac:dyDescent="0.2">
      <c r="A3004" t="s">
        <v>3043</v>
      </c>
      <c r="B3004">
        <v>2023</v>
      </c>
      <c r="C3004" t="s">
        <v>12</v>
      </c>
      <c r="D3004">
        <v>395</v>
      </c>
      <c r="E3004" t="s">
        <v>38</v>
      </c>
      <c r="F3004" t="s">
        <v>39</v>
      </c>
      <c r="G3004" t="s">
        <v>15</v>
      </c>
      <c r="H3004">
        <v>1.173666381899163E-3</v>
      </c>
      <c r="I3004">
        <v>3</v>
      </c>
      <c r="J3004" t="s">
        <v>16</v>
      </c>
      <c r="K3004" s="59" t="s">
        <v>4376</v>
      </c>
    </row>
    <row r="3005" spans="1:11" x14ac:dyDescent="0.2">
      <c r="A3005" t="s">
        <v>3044</v>
      </c>
      <c r="B3005">
        <v>2022</v>
      </c>
      <c r="C3005" t="s">
        <v>33</v>
      </c>
      <c r="D3005">
        <v>103</v>
      </c>
      <c r="E3005" t="s">
        <v>25</v>
      </c>
      <c r="F3005" t="s">
        <v>26</v>
      </c>
      <c r="G3005" t="s">
        <v>15</v>
      </c>
      <c r="H3005">
        <v>-0.17617336389942639</v>
      </c>
      <c r="I3005">
        <v>2</v>
      </c>
      <c r="J3005" t="s">
        <v>23</v>
      </c>
      <c r="K3005" s="59" t="s">
        <v>17</v>
      </c>
    </row>
    <row r="3006" spans="1:11" x14ac:dyDescent="0.2">
      <c r="A3006" t="s">
        <v>3045</v>
      </c>
      <c r="B3006">
        <v>2021</v>
      </c>
      <c r="C3006" t="s">
        <v>19</v>
      </c>
      <c r="D3006">
        <v>155</v>
      </c>
      <c r="E3006" t="s">
        <v>53</v>
      </c>
      <c r="F3006" t="s">
        <v>54</v>
      </c>
      <c r="G3006" t="s">
        <v>48</v>
      </c>
      <c r="H3006">
        <v>-0.31004176740210432</v>
      </c>
      <c r="I3006">
        <v>3</v>
      </c>
      <c r="J3006" t="s">
        <v>23</v>
      </c>
      <c r="K3006" s="59" t="s">
        <v>23</v>
      </c>
    </row>
    <row r="3007" spans="1:11" x14ac:dyDescent="0.2">
      <c r="A3007" t="s">
        <v>3046</v>
      </c>
      <c r="B3007">
        <v>2021</v>
      </c>
      <c r="C3007" t="s">
        <v>33</v>
      </c>
      <c r="D3007">
        <v>136</v>
      </c>
      <c r="E3007" t="s">
        <v>13</v>
      </c>
      <c r="F3007" t="s">
        <v>14</v>
      </c>
      <c r="G3007" t="s">
        <v>41</v>
      </c>
      <c r="H3007">
        <v>-0.5610030852467236</v>
      </c>
      <c r="I3007">
        <v>4</v>
      </c>
      <c r="J3007" t="s">
        <v>16</v>
      </c>
      <c r="K3007" s="59" t="s">
        <v>4376</v>
      </c>
    </row>
    <row r="3008" spans="1:11" x14ac:dyDescent="0.2">
      <c r="A3008" t="s">
        <v>3047</v>
      </c>
      <c r="B3008">
        <v>2023</v>
      </c>
      <c r="C3008" t="s">
        <v>19</v>
      </c>
      <c r="D3008">
        <v>64</v>
      </c>
      <c r="E3008" t="s">
        <v>25</v>
      </c>
      <c r="F3008" t="s">
        <v>26</v>
      </c>
      <c r="G3008" t="s">
        <v>15</v>
      </c>
      <c r="H3008">
        <v>1.207133472294913</v>
      </c>
      <c r="I3008">
        <v>2</v>
      </c>
      <c r="J3008" t="s">
        <v>23</v>
      </c>
      <c r="K3008" s="59" t="s">
        <v>23</v>
      </c>
    </row>
    <row r="3009" spans="1:11" x14ac:dyDescent="0.2">
      <c r="A3009" t="s">
        <v>3048</v>
      </c>
      <c r="B3009">
        <v>2021</v>
      </c>
      <c r="C3009" t="s">
        <v>19</v>
      </c>
      <c r="D3009">
        <v>155</v>
      </c>
      <c r="E3009" t="s">
        <v>53</v>
      </c>
      <c r="F3009" t="s">
        <v>54</v>
      </c>
      <c r="G3009" t="s">
        <v>48</v>
      </c>
      <c r="H3009">
        <v>-0.31004176740210432</v>
      </c>
      <c r="I3009">
        <v>3</v>
      </c>
      <c r="J3009" t="s">
        <v>23</v>
      </c>
      <c r="K3009" s="59" t="s">
        <v>23</v>
      </c>
    </row>
    <row r="3010" spans="1:11" x14ac:dyDescent="0.2">
      <c r="A3010" t="s">
        <v>3049</v>
      </c>
      <c r="B3010">
        <v>2016</v>
      </c>
      <c r="C3010" t="s">
        <v>19</v>
      </c>
      <c r="D3010">
        <v>88</v>
      </c>
      <c r="E3010" t="s">
        <v>38</v>
      </c>
      <c r="F3010" t="s">
        <v>39</v>
      </c>
      <c r="G3010" t="s">
        <v>15</v>
      </c>
      <c r="H3010">
        <v>0.1382145534174688</v>
      </c>
      <c r="I3010">
        <v>3</v>
      </c>
      <c r="J3010" t="s">
        <v>23</v>
      </c>
      <c r="K3010" s="59" t="s">
        <v>16</v>
      </c>
    </row>
    <row r="3011" spans="1:11" x14ac:dyDescent="0.2">
      <c r="A3011" t="s">
        <v>3050</v>
      </c>
      <c r="B3011">
        <v>2022</v>
      </c>
      <c r="C3011" t="s">
        <v>12</v>
      </c>
      <c r="D3011">
        <v>136</v>
      </c>
      <c r="E3011" t="s">
        <v>25</v>
      </c>
      <c r="F3011" t="s">
        <v>26</v>
      </c>
      <c r="G3011" t="s">
        <v>15</v>
      </c>
      <c r="H3011">
        <v>0.86130676324632793</v>
      </c>
      <c r="I3011">
        <v>2</v>
      </c>
      <c r="J3011" t="s">
        <v>23</v>
      </c>
      <c r="K3011" s="59" t="s">
        <v>17</v>
      </c>
    </row>
    <row r="3012" spans="1:11" x14ac:dyDescent="0.2">
      <c r="A3012" t="s">
        <v>3051</v>
      </c>
      <c r="B3012">
        <v>2021</v>
      </c>
      <c r="C3012" t="s">
        <v>19</v>
      </c>
      <c r="D3012">
        <v>155</v>
      </c>
      <c r="E3012" t="s">
        <v>53</v>
      </c>
      <c r="F3012" t="s">
        <v>54</v>
      </c>
      <c r="G3012" t="s">
        <v>48</v>
      </c>
      <c r="H3012">
        <v>-0.31004176740210432</v>
      </c>
      <c r="I3012">
        <v>3</v>
      </c>
      <c r="J3012" t="s">
        <v>23</v>
      </c>
      <c r="K3012" s="59" t="s">
        <v>16</v>
      </c>
    </row>
    <row r="3013" spans="1:11" x14ac:dyDescent="0.2">
      <c r="A3013" t="s">
        <v>3052</v>
      </c>
      <c r="B3013">
        <v>2023</v>
      </c>
      <c r="C3013" t="s">
        <v>33</v>
      </c>
      <c r="D3013">
        <v>64</v>
      </c>
      <c r="E3013" t="s">
        <v>20</v>
      </c>
      <c r="F3013" t="s">
        <v>21</v>
      </c>
      <c r="G3013" t="s">
        <v>15</v>
      </c>
      <c r="H3013">
        <v>1.207133472294913</v>
      </c>
      <c r="I3013">
        <v>3</v>
      </c>
      <c r="J3013" t="s">
        <v>23</v>
      </c>
      <c r="K3013" s="59" t="s">
        <v>4376</v>
      </c>
    </row>
    <row r="3014" spans="1:11" x14ac:dyDescent="0.2">
      <c r="A3014" t="s">
        <v>3053</v>
      </c>
      <c r="B3014">
        <v>2021</v>
      </c>
      <c r="C3014" t="s">
        <v>33</v>
      </c>
      <c r="D3014">
        <v>304</v>
      </c>
      <c r="E3014" t="s">
        <v>29</v>
      </c>
      <c r="F3014" t="s">
        <v>30</v>
      </c>
      <c r="G3014" t="s">
        <v>15</v>
      </c>
      <c r="H3014">
        <v>0.51773299692770136</v>
      </c>
      <c r="I3014">
        <v>4</v>
      </c>
      <c r="J3014" t="s">
        <v>23</v>
      </c>
      <c r="K3014" s="59" t="s">
        <v>4376</v>
      </c>
    </row>
    <row r="3015" spans="1:11" x14ac:dyDescent="0.2">
      <c r="A3015" t="s">
        <v>3054</v>
      </c>
      <c r="B3015">
        <v>2022</v>
      </c>
      <c r="C3015" t="s">
        <v>19</v>
      </c>
      <c r="D3015">
        <v>56</v>
      </c>
      <c r="E3015" t="s">
        <v>20</v>
      </c>
      <c r="F3015" t="s">
        <v>21</v>
      </c>
      <c r="G3015" t="s">
        <v>15</v>
      </c>
      <c r="H3015">
        <v>-1.405779440516616</v>
      </c>
      <c r="I3015">
        <v>3</v>
      </c>
      <c r="J3015" t="s">
        <v>16</v>
      </c>
      <c r="K3015" s="59" t="s">
        <v>17</v>
      </c>
    </row>
    <row r="3016" spans="1:11" x14ac:dyDescent="0.2">
      <c r="A3016" t="s">
        <v>3055</v>
      </c>
      <c r="B3016">
        <v>2023</v>
      </c>
      <c r="C3016" t="s">
        <v>12</v>
      </c>
      <c r="D3016">
        <v>89</v>
      </c>
      <c r="E3016" t="s">
        <v>20</v>
      </c>
      <c r="F3016" t="s">
        <v>21</v>
      </c>
      <c r="G3016" t="s">
        <v>15</v>
      </c>
      <c r="H3016">
        <v>0.15022487834867609</v>
      </c>
      <c r="I3016">
        <v>3</v>
      </c>
      <c r="J3016" t="s">
        <v>23</v>
      </c>
      <c r="K3016" s="59" t="s">
        <v>23</v>
      </c>
    </row>
    <row r="3017" spans="1:11" x14ac:dyDescent="0.2">
      <c r="A3017" t="s">
        <v>3056</v>
      </c>
      <c r="B3017">
        <v>2022</v>
      </c>
      <c r="C3017" t="s">
        <v>19</v>
      </c>
      <c r="D3017">
        <v>353</v>
      </c>
      <c r="E3017" t="s">
        <v>53</v>
      </c>
      <c r="F3017" t="s">
        <v>54</v>
      </c>
      <c r="G3017" t="s">
        <v>15</v>
      </c>
      <c r="H3017">
        <v>0.46058692577733279</v>
      </c>
      <c r="I3017">
        <v>3</v>
      </c>
      <c r="J3017" t="s">
        <v>16</v>
      </c>
      <c r="K3017" s="59" t="s">
        <v>17</v>
      </c>
    </row>
    <row r="3018" spans="1:11" x14ac:dyDescent="0.2">
      <c r="A3018" t="s">
        <v>3057</v>
      </c>
      <c r="B3018">
        <v>2022</v>
      </c>
      <c r="C3018" t="s">
        <v>19</v>
      </c>
      <c r="D3018">
        <v>148</v>
      </c>
      <c r="E3018" t="s">
        <v>13</v>
      </c>
      <c r="F3018" t="s">
        <v>14</v>
      </c>
      <c r="G3018" t="s">
        <v>48</v>
      </c>
      <c r="H3018">
        <v>0.99237350685834858</v>
      </c>
      <c r="I3018">
        <v>4</v>
      </c>
      <c r="J3018" t="s">
        <v>23</v>
      </c>
      <c r="K3018" s="59" t="s">
        <v>23</v>
      </c>
    </row>
    <row r="3019" spans="1:11" x14ac:dyDescent="0.2">
      <c r="A3019" t="s">
        <v>3058</v>
      </c>
      <c r="B3019">
        <v>2020</v>
      </c>
      <c r="C3019" t="s">
        <v>19</v>
      </c>
      <c r="D3019">
        <v>94</v>
      </c>
      <c r="E3019" t="s">
        <v>13</v>
      </c>
      <c r="F3019" t="s">
        <v>14</v>
      </c>
      <c r="G3019" t="s">
        <v>15</v>
      </c>
      <c r="H3019">
        <v>2.6323586974648379</v>
      </c>
      <c r="I3019">
        <v>4</v>
      </c>
      <c r="J3019" t="s">
        <v>16</v>
      </c>
      <c r="K3019" s="59" t="s">
        <v>17</v>
      </c>
    </row>
    <row r="3020" spans="1:11" x14ac:dyDescent="0.2">
      <c r="A3020" t="s">
        <v>3059</v>
      </c>
      <c r="B3020">
        <v>2023</v>
      </c>
      <c r="C3020" t="s">
        <v>12</v>
      </c>
      <c r="D3020">
        <v>395</v>
      </c>
      <c r="E3020" t="s">
        <v>38</v>
      </c>
      <c r="F3020" t="s">
        <v>39</v>
      </c>
      <c r="G3020" t="s">
        <v>15</v>
      </c>
      <c r="H3020">
        <v>1.173666381899163E-3</v>
      </c>
      <c r="I3020">
        <v>3</v>
      </c>
      <c r="J3020" t="s">
        <v>16</v>
      </c>
      <c r="K3020" s="59" t="s">
        <v>4376</v>
      </c>
    </row>
    <row r="3021" spans="1:11" x14ac:dyDescent="0.2">
      <c r="A3021" t="s">
        <v>3060</v>
      </c>
      <c r="B3021">
        <v>2020</v>
      </c>
      <c r="C3021" t="s">
        <v>33</v>
      </c>
      <c r="D3021">
        <v>65</v>
      </c>
      <c r="E3021" t="s">
        <v>38</v>
      </c>
      <c r="F3021" t="s">
        <v>39</v>
      </c>
      <c r="G3021" t="s">
        <v>15</v>
      </c>
      <c r="H3021">
        <v>-0.28595962074024678</v>
      </c>
      <c r="I3021">
        <v>3</v>
      </c>
      <c r="J3021" t="s">
        <v>23</v>
      </c>
      <c r="K3021" s="59" t="s">
        <v>4376</v>
      </c>
    </row>
    <row r="3022" spans="1:11" x14ac:dyDescent="0.2">
      <c r="A3022" t="s">
        <v>3061</v>
      </c>
      <c r="B3022">
        <v>2018</v>
      </c>
      <c r="C3022" t="s">
        <v>12</v>
      </c>
      <c r="D3022">
        <v>69</v>
      </c>
      <c r="E3022" t="s">
        <v>38</v>
      </c>
      <c r="F3022" t="s">
        <v>39</v>
      </c>
      <c r="G3022" t="s">
        <v>15</v>
      </c>
      <c r="H3022">
        <v>-0.1968197345888941</v>
      </c>
      <c r="I3022">
        <v>3</v>
      </c>
      <c r="J3022" t="s">
        <v>23</v>
      </c>
      <c r="K3022" s="59" t="s">
        <v>4376</v>
      </c>
    </row>
    <row r="3023" spans="1:11" x14ac:dyDescent="0.2">
      <c r="A3023" t="s">
        <v>3062</v>
      </c>
      <c r="B3023">
        <v>2021</v>
      </c>
      <c r="C3023" t="s">
        <v>19</v>
      </c>
      <c r="D3023">
        <v>124</v>
      </c>
      <c r="E3023" t="s">
        <v>25</v>
      </c>
      <c r="F3023" t="s">
        <v>26</v>
      </c>
      <c r="G3023" t="s">
        <v>80</v>
      </c>
      <c r="H3023">
        <v>-0.16464580693114031</v>
      </c>
      <c r="I3023">
        <v>2</v>
      </c>
      <c r="J3023" t="s">
        <v>23</v>
      </c>
      <c r="K3023" s="59" t="s">
        <v>23</v>
      </c>
    </row>
    <row r="3024" spans="1:11" x14ac:dyDescent="0.2">
      <c r="A3024" t="s">
        <v>3063</v>
      </c>
      <c r="B3024">
        <v>2021</v>
      </c>
      <c r="C3024" t="s">
        <v>19</v>
      </c>
      <c r="D3024">
        <v>156</v>
      </c>
      <c r="E3024" t="s">
        <v>53</v>
      </c>
      <c r="F3024" t="s">
        <v>54</v>
      </c>
      <c r="G3024" t="s">
        <v>48</v>
      </c>
      <c r="H3024">
        <v>-0.30031628509635411</v>
      </c>
      <c r="I3024">
        <v>3</v>
      </c>
      <c r="J3024" t="s">
        <v>23</v>
      </c>
      <c r="K3024" s="59" t="s">
        <v>16</v>
      </c>
    </row>
    <row r="3025" spans="1:11" x14ac:dyDescent="0.2">
      <c r="A3025" t="s">
        <v>3064</v>
      </c>
      <c r="B3025">
        <v>2018</v>
      </c>
      <c r="C3025" t="s">
        <v>19</v>
      </c>
      <c r="D3025">
        <v>137</v>
      </c>
      <c r="E3025" t="s">
        <v>13</v>
      </c>
      <c r="F3025" t="s">
        <v>14</v>
      </c>
      <c r="G3025" t="s">
        <v>15</v>
      </c>
      <c r="H3025">
        <v>1.43939239787816</v>
      </c>
      <c r="I3025">
        <v>4</v>
      </c>
      <c r="J3025" t="s">
        <v>16</v>
      </c>
      <c r="K3025" s="59" t="s">
        <v>17</v>
      </c>
    </row>
    <row r="3026" spans="1:11" x14ac:dyDescent="0.2">
      <c r="A3026" t="s">
        <v>3065</v>
      </c>
      <c r="B3026">
        <v>2021</v>
      </c>
      <c r="C3026" t="s">
        <v>19</v>
      </c>
      <c r="D3026">
        <v>70</v>
      </c>
      <c r="E3026" t="s">
        <v>53</v>
      </c>
      <c r="F3026" t="s">
        <v>54</v>
      </c>
      <c r="G3026" t="s">
        <v>15</v>
      </c>
      <c r="H3026">
        <v>0.51548005419774312</v>
      </c>
      <c r="I3026">
        <v>3</v>
      </c>
      <c r="J3026" t="s">
        <v>16</v>
      </c>
      <c r="K3026" s="59" t="s">
        <v>17</v>
      </c>
    </row>
    <row r="3027" spans="1:11" x14ac:dyDescent="0.2">
      <c r="A3027" t="s">
        <v>3066</v>
      </c>
      <c r="B3027">
        <v>2018</v>
      </c>
      <c r="C3027" t="s">
        <v>12</v>
      </c>
      <c r="D3027">
        <v>120</v>
      </c>
      <c r="E3027" t="s">
        <v>20</v>
      </c>
      <c r="F3027" t="s">
        <v>21</v>
      </c>
      <c r="G3027" t="s">
        <v>15</v>
      </c>
      <c r="H3027">
        <v>1.173666381899163E-3</v>
      </c>
      <c r="I3027">
        <v>3</v>
      </c>
      <c r="J3027" t="s">
        <v>23</v>
      </c>
      <c r="K3027" s="59" t="s">
        <v>17</v>
      </c>
    </row>
    <row r="3028" spans="1:11" x14ac:dyDescent="0.2">
      <c r="A3028" t="s">
        <v>3067</v>
      </c>
      <c r="B3028">
        <v>2021</v>
      </c>
      <c r="C3028" t="s">
        <v>12</v>
      </c>
      <c r="D3028">
        <v>311</v>
      </c>
      <c r="E3028" t="s">
        <v>38</v>
      </c>
      <c r="F3028" t="s">
        <v>39</v>
      </c>
      <c r="G3028" t="s">
        <v>15</v>
      </c>
      <c r="H3028">
        <v>0.60221472720671299</v>
      </c>
      <c r="I3028">
        <v>3</v>
      </c>
      <c r="J3028" t="s">
        <v>23</v>
      </c>
      <c r="K3028" s="59" t="s">
        <v>16</v>
      </c>
    </row>
    <row r="3029" spans="1:11" x14ac:dyDescent="0.2">
      <c r="A3029" t="s">
        <v>3068</v>
      </c>
      <c r="B3029">
        <v>2023</v>
      </c>
      <c r="C3029" t="s">
        <v>33</v>
      </c>
      <c r="D3029">
        <v>178</v>
      </c>
      <c r="E3029" t="s">
        <v>25</v>
      </c>
      <c r="F3029" t="s">
        <v>26</v>
      </c>
      <c r="G3029" t="s">
        <v>80</v>
      </c>
      <c r="H3029">
        <v>-0.95527721416980116</v>
      </c>
      <c r="I3029">
        <v>2</v>
      </c>
      <c r="J3029" t="s">
        <v>16</v>
      </c>
      <c r="K3029" s="59" t="s">
        <v>4376</v>
      </c>
    </row>
    <row r="3030" spans="1:11" x14ac:dyDescent="0.2">
      <c r="A3030" t="s">
        <v>3069</v>
      </c>
      <c r="B3030">
        <v>2023</v>
      </c>
      <c r="C3030" t="s">
        <v>33</v>
      </c>
      <c r="D3030">
        <v>53</v>
      </c>
      <c r="E3030" t="s">
        <v>25</v>
      </c>
      <c r="F3030" t="s">
        <v>26</v>
      </c>
      <c r="G3030" t="s">
        <v>147</v>
      </c>
      <c r="H3030">
        <v>1.207133472294913</v>
      </c>
      <c r="I3030">
        <v>2</v>
      </c>
      <c r="J3030" t="s">
        <v>23</v>
      </c>
      <c r="K3030" s="59" t="s">
        <v>4376</v>
      </c>
    </row>
    <row r="3031" spans="1:11" x14ac:dyDescent="0.2">
      <c r="A3031" t="s">
        <v>3070</v>
      </c>
      <c r="B3031">
        <v>2021</v>
      </c>
      <c r="C3031" t="s">
        <v>33</v>
      </c>
      <c r="D3031">
        <v>30</v>
      </c>
      <c r="E3031" t="s">
        <v>20</v>
      </c>
      <c r="F3031" t="s">
        <v>21</v>
      </c>
      <c r="G3031" t="s">
        <v>57</v>
      </c>
      <c r="H3031">
        <v>-2.152325987034196</v>
      </c>
      <c r="I3031">
        <v>3</v>
      </c>
      <c r="J3031" t="s">
        <v>23</v>
      </c>
      <c r="K3031" s="59" t="s">
        <v>4376</v>
      </c>
    </row>
    <row r="3032" spans="1:11" x14ac:dyDescent="0.2">
      <c r="A3032" t="s">
        <v>3071</v>
      </c>
      <c r="B3032">
        <v>2021</v>
      </c>
      <c r="C3032" t="s">
        <v>19</v>
      </c>
      <c r="D3032">
        <v>320</v>
      </c>
      <c r="E3032" t="s">
        <v>38</v>
      </c>
      <c r="F3032" t="s">
        <v>39</v>
      </c>
      <c r="G3032" t="s">
        <v>15</v>
      </c>
      <c r="H3032">
        <v>0.76482219551803943</v>
      </c>
      <c r="I3032">
        <v>3</v>
      </c>
      <c r="J3032" t="s">
        <v>16</v>
      </c>
      <c r="K3032" s="59" t="s">
        <v>17</v>
      </c>
    </row>
    <row r="3033" spans="1:11" x14ac:dyDescent="0.2">
      <c r="A3033" t="s">
        <v>3072</v>
      </c>
      <c r="B3033">
        <v>2021</v>
      </c>
      <c r="C3033" t="s">
        <v>19</v>
      </c>
      <c r="D3033">
        <v>97</v>
      </c>
      <c r="E3033" t="s">
        <v>25</v>
      </c>
      <c r="F3033" t="s">
        <v>26</v>
      </c>
      <c r="G3033" t="s">
        <v>48</v>
      </c>
      <c r="H3033">
        <v>-0.77317947215172</v>
      </c>
      <c r="I3033">
        <v>2</v>
      </c>
      <c r="J3033" t="s">
        <v>23</v>
      </c>
      <c r="K3033" s="59" t="s">
        <v>4376</v>
      </c>
    </row>
    <row r="3034" spans="1:11" x14ac:dyDescent="0.2">
      <c r="A3034" t="s">
        <v>3073</v>
      </c>
      <c r="B3034">
        <v>2021</v>
      </c>
      <c r="C3034" t="s">
        <v>19</v>
      </c>
      <c r="D3034">
        <v>260</v>
      </c>
      <c r="E3034" t="s">
        <v>38</v>
      </c>
      <c r="F3034" t="s">
        <v>39</v>
      </c>
      <c r="G3034" t="s">
        <v>15</v>
      </c>
      <c r="H3034">
        <v>0.93786382097464049</v>
      </c>
      <c r="I3034">
        <v>3</v>
      </c>
      <c r="J3034" t="s">
        <v>23</v>
      </c>
      <c r="K3034" s="59" t="s">
        <v>17</v>
      </c>
    </row>
    <row r="3035" spans="1:11" x14ac:dyDescent="0.2">
      <c r="A3035" t="s">
        <v>3074</v>
      </c>
      <c r="B3035">
        <v>2021</v>
      </c>
      <c r="C3035" t="s">
        <v>12</v>
      </c>
      <c r="D3035">
        <v>58</v>
      </c>
      <c r="E3035" t="s">
        <v>29</v>
      </c>
      <c r="F3035" t="s">
        <v>30</v>
      </c>
      <c r="G3035" t="s">
        <v>15</v>
      </c>
      <c r="H3035">
        <v>-0.44312731474394779</v>
      </c>
      <c r="I3035">
        <v>4</v>
      </c>
      <c r="J3035" t="s">
        <v>23</v>
      </c>
      <c r="K3035" s="59" t="s">
        <v>17</v>
      </c>
    </row>
    <row r="3036" spans="1:11" x14ac:dyDescent="0.2">
      <c r="A3036" t="s">
        <v>3075</v>
      </c>
      <c r="B3036">
        <v>2024</v>
      </c>
      <c r="C3036" t="s">
        <v>12</v>
      </c>
      <c r="D3036">
        <v>78</v>
      </c>
      <c r="E3036" t="s">
        <v>20</v>
      </c>
      <c r="F3036" t="s">
        <v>21</v>
      </c>
      <c r="G3036" t="s">
        <v>48</v>
      </c>
      <c r="H3036">
        <v>-1.8871055034029509</v>
      </c>
      <c r="I3036">
        <v>3</v>
      </c>
      <c r="J3036" t="s">
        <v>17</v>
      </c>
      <c r="K3036" s="59" t="s">
        <v>23</v>
      </c>
    </row>
    <row r="3037" spans="1:11" x14ac:dyDescent="0.2">
      <c r="A3037" t="s">
        <v>3076</v>
      </c>
      <c r="B3037">
        <v>2023</v>
      </c>
      <c r="C3037" t="s">
        <v>19</v>
      </c>
      <c r="D3037">
        <v>48</v>
      </c>
      <c r="E3037" t="s">
        <v>20</v>
      </c>
      <c r="F3037" t="s">
        <v>21</v>
      </c>
      <c r="G3037" t="s">
        <v>15</v>
      </c>
      <c r="H3037">
        <v>-1.8601990775273169</v>
      </c>
      <c r="I3037">
        <v>3</v>
      </c>
      <c r="J3037" t="s">
        <v>17</v>
      </c>
      <c r="K3037" s="59" t="s">
        <v>4376</v>
      </c>
    </row>
    <row r="3038" spans="1:11" x14ac:dyDescent="0.2">
      <c r="A3038" t="s">
        <v>3077</v>
      </c>
      <c r="B3038">
        <v>2021</v>
      </c>
      <c r="C3038" t="s">
        <v>33</v>
      </c>
      <c r="D3038">
        <v>319</v>
      </c>
      <c r="E3038" t="s">
        <v>38</v>
      </c>
      <c r="F3038" t="s">
        <v>39</v>
      </c>
      <c r="G3038" t="s">
        <v>15</v>
      </c>
      <c r="H3038">
        <v>0.6155305486394721</v>
      </c>
      <c r="I3038">
        <v>3</v>
      </c>
      <c r="J3038" t="s">
        <v>16</v>
      </c>
      <c r="K3038" s="59" t="s">
        <v>4376</v>
      </c>
    </row>
    <row r="3039" spans="1:11" x14ac:dyDescent="0.2">
      <c r="A3039" t="s">
        <v>3078</v>
      </c>
      <c r="B3039">
        <v>2021</v>
      </c>
      <c r="C3039" t="s">
        <v>12</v>
      </c>
      <c r="D3039">
        <v>66</v>
      </c>
      <c r="E3039" t="s">
        <v>20</v>
      </c>
      <c r="F3039" t="s">
        <v>21</v>
      </c>
      <c r="G3039" t="s">
        <v>15</v>
      </c>
      <c r="H3039">
        <v>-0.31004176740210432</v>
      </c>
      <c r="I3039">
        <v>3</v>
      </c>
      <c r="J3039" t="s">
        <v>23</v>
      </c>
      <c r="K3039" s="59" t="s">
        <v>17</v>
      </c>
    </row>
    <row r="3040" spans="1:11" x14ac:dyDescent="0.2">
      <c r="A3040" t="s">
        <v>3079</v>
      </c>
      <c r="B3040">
        <v>2021</v>
      </c>
      <c r="C3040" t="s">
        <v>12</v>
      </c>
      <c r="D3040">
        <v>71</v>
      </c>
      <c r="E3040" t="s">
        <v>25</v>
      </c>
      <c r="F3040" t="s">
        <v>26</v>
      </c>
      <c r="G3040" t="s">
        <v>80</v>
      </c>
      <c r="H3040">
        <v>-2.152325987034196</v>
      </c>
      <c r="I3040">
        <v>2</v>
      </c>
      <c r="J3040" t="s">
        <v>23</v>
      </c>
      <c r="K3040" s="59" t="s">
        <v>17</v>
      </c>
    </row>
    <row r="3041" spans="1:11" x14ac:dyDescent="0.2">
      <c r="A3041" t="s">
        <v>3080</v>
      </c>
      <c r="B3041">
        <v>2022</v>
      </c>
      <c r="C3041" t="s">
        <v>12</v>
      </c>
      <c r="D3041">
        <v>289</v>
      </c>
      <c r="E3041" t="s">
        <v>53</v>
      </c>
      <c r="F3041" t="s">
        <v>54</v>
      </c>
      <c r="G3041" t="s">
        <v>15</v>
      </c>
      <c r="H3041">
        <v>0.87591915940331022</v>
      </c>
      <c r="I3041">
        <v>3</v>
      </c>
      <c r="J3041" t="s">
        <v>23</v>
      </c>
      <c r="K3041" s="59" t="s">
        <v>17</v>
      </c>
    </row>
    <row r="3042" spans="1:11" x14ac:dyDescent="0.2">
      <c r="A3042" t="s">
        <v>3081</v>
      </c>
      <c r="B3042">
        <v>2019</v>
      </c>
      <c r="C3042" t="s">
        <v>19</v>
      </c>
      <c r="D3042">
        <v>120</v>
      </c>
      <c r="E3042" t="s">
        <v>25</v>
      </c>
      <c r="F3042" t="s">
        <v>26</v>
      </c>
      <c r="G3042" t="s">
        <v>15</v>
      </c>
      <c r="H3042">
        <v>-1.1444881492354639</v>
      </c>
      <c r="I3042">
        <v>2</v>
      </c>
      <c r="J3042" t="s">
        <v>16</v>
      </c>
      <c r="K3042" s="59" t="s">
        <v>23</v>
      </c>
    </row>
    <row r="3043" spans="1:11" x14ac:dyDescent="0.2">
      <c r="A3043" t="s">
        <v>3082</v>
      </c>
      <c r="B3043">
        <v>2021</v>
      </c>
      <c r="C3043" t="s">
        <v>19</v>
      </c>
      <c r="D3043">
        <v>33</v>
      </c>
      <c r="E3043" t="s">
        <v>20</v>
      </c>
      <c r="F3043" t="s">
        <v>21</v>
      </c>
      <c r="G3043" t="s">
        <v>15</v>
      </c>
      <c r="H3043">
        <v>-3.202157068074543</v>
      </c>
      <c r="I3043">
        <v>3</v>
      </c>
      <c r="J3043" t="s">
        <v>23</v>
      </c>
      <c r="K3043" s="59" t="s">
        <v>4376</v>
      </c>
    </row>
    <row r="3044" spans="1:11" x14ac:dyDescent="0.2">
      <c r="A3044" t="s">
        <v>3083</v>
      </c>
      <c r="B3044">
        <v>2020</v>
      </c>
      <c r="C3044" t="s">
        <v>19</v>
      </c>
      <c r="D3044">
        <v>175</v>
      </c>
      <c r="E3044" t="s">
        <v>25</v>
      </c>
      <c r="F3044" t="s">
        <v>26</v>
      </c>
      <c r="G3044" t="s">
        <v>15</v>
      </c>
      <c r="H3044">
        <v>0.65704654328195911</v>
      </c>
      <c r="I3044">
        <v>2</v>
      </c>
      <c r="J3044" t="s">
        <v>23</v>
      </c>
      <c r="K3044" s="59" t="s">
        <v>16</v>
      </c>
    </row>
    <row r="3045" spans="1:11" x14ac:dyDescent="0.2">
      <c r="A3045" t="s">
        <v>3084</v>
      </c>
      <c r="B3045">
        <v>2021</v>
      </c>
      <c r="C3045" t="s">
        <v>33</v>
      </c>
      <c r="D3045">
        <v>79</v>
      </c>
      <c r="E3045" t="s">
        <v>20</v>
      </c>
      <c r="F3045" t="s">
        <v>21</v>
      </c>
      <c r="G3045" t="s">
        <v>48</v>
      </c>
      <c r="H3045">
        <v>-2.3649500034474311</v>
      </c>
      <c r="I3045">
        <v>3</v>
      </c>
      <c r="J3045" t="s">
        <v>23</v>
      </c>
      <c r="K3045" s="59" t="s">
        <v>4376</v>
      </c>
    </row>
    <row r="3046" spans="1:11" x14ac:dyDescent="0.2">
      <c r="A3046" t="s">
        <v>3085</v>
      </c>
      <c r="B3046">
        <v>2021</v>
      </c>
      <c r="C3046" t="s">
        <v>19</v>
      </c>
      <c r="D3046">
        <v>57</v>
      </c>
      <c r="E3046" t="s">
        <v>25</v>
      </c>
      <c r="F3046" t="s">
        <v>26</v>
      </c>
      <c r="G3046" t="s">
        <v>80</v>
      </c>
      <c r="H3046">
        <v>-2.152325987034196</v>
      </c>
      <c r="I3046">
        <v>2</v>
      </c>
      <c r="J3046" t="s">
        <v>23</v>
      </c>
      <c r="K3046" s="59" t="s">
        <v>17</v>
      </c>
    </row>
    <row r="3047" spans="1:11" x14ac:dyDescent="0.2">
      <c r="A3047" t="s">
        <v>3086</v>
      </c>
      <c r="B3047">
        <v>2023</v>
      </c>
      <c r="C3047" t="s">
        <v>12</v>
      </c>
      <c r="D3047">
        <v>393</v>
      </c>
      <c r="E3047" t="s">
        <v>38</v>
      </c>
      <c r="F3047" t="s">
        <v>39</v>
      </c>
      <c r="G3047" t="s">
        <v>15</v>
      </c>
      <c r="H3047">
        <v>-5.0426212774462454E-3</v>
      </c>
      <c r="I3047">
        <v>3</v>
      </c>
      <c r="J3047" t="s">
        <v>16</v>
      </c>
      <c r="K3047" s="59" t="s">
        <v>4376</v>
      </c>
    </row>
    <row r="3048" spans="1:11" x14ac:dyDescent="0.2">
      <c r="A3048" t="s">
        <v>3087</v>
      </c>
      <c r="B3048">
        <v>2021</v>
      </c>
      <c r="C3048" t="s">
        <v>33</v>
      </c>
      <c r="D3048">
        <v>182</v>
      </c>
      <c r="E3048" t="s">
        <v>25</v>
      </c>
      <c r="F3048" t="s">
        <v>26</v>
      </c>
      <c r="G3048" t="s">
        <v>15</v>
      </c>
      <c r="H3048">
        <v>0.38200307877548229</v>
      </c>
      <c r="I3048">
        <v>2</v>
      </c>
      <c r="J3048" t="s">
        <v>23</v>
      </c>
      <c r="K3048" s="59" t="s">
        <v>4376</v>
      </c>
    </row>
    <row r="3049" spans="1:11" x14ac:dyDescent="0.2">
      <c r="A3049" t="s">
        <v>3088</v>
      </c>
      <c r="B3049">
        <v>2021</v>
      </c>
      <c r="C3049" t="s">
        <v>19</v>
      </c>
      <c r="D3049">
        <v>367</v>
      </c>
      <c r="E3049" t="s">
        <v>38</v>
      </c>
      <c r="F3049" t="s">
        <v>39</v>
      </c>
      <c r="G3049" t="s">
        <v>15</v>
      </c>
      <c r="H3049">
        <v>0.69029355547504967</v>
      </c>
      <c r="I3049">
        <v>3</v>
      </c>
      <c r="J3049" t="s">
        <v>23</v>
      </c>
      <c r="K3049" s="59" t="s">
        <v>17</v>
      </c>
    </row>
    <row r="3050" spans="1:11" x14ac:dyDescent="0.2">
      <c r="A3050" t="s">
        <v>3089</v>
      </c>
      <c r="B3050">
        <v>2021</v>
      </c>
      <c r="C3050" t="s">
        <v>33</v>
      </c>
      <c r="D3050">
        <v>321</v>
      </c>
      <c r="E3050" t="s">
        <v>38</v>
      </c>
      <c r="F3050" t="s">
        <v>39</v>
      </c>
      <c r="G3050" t="s">
        <v>15</v>
      </c>
      <c r="H3050">
        <v>0.61922806691231869</v>
      </c>
      <c r="I3050">
        <v>3</v>
      </c>
      <c r="J3050" t="s">
        <v>16</v>
      </c>
      <c r="K3050" s="59" t="s">
        <v>4376</v>
      </c>
    </row>
    <row r="3051" spans="1:11" x14ac:dyDescent="0.2">
      <c r="A3051" t="s">
        <v>3090</v>
      </c>
      <c r="B3051">
        <v>2021</v>
      </c>
      <c r="C3051" t="s">
        <v>19</v>
      </c>
      <c r="D3051">
        <v>100</v>
      </c>
      <c r="E3051" t="s">
        <v>25</v>
      </c>
      <c r="F3051" t="s">
        <v>26</v>
      </c>
      <c r="G3051" t="s">
        <v>80</v>
      </c>
      <c r="H3051">
        <v>0.19568331249690121</v>
      </c>
      <c r="I3051">
        <v>2</v>
      </c>
      <c r="J3051" t="s">
        <v>23</v>
      </c>
      <c r="K3051" s="59" t="s">
        <v>23</v>
      </c>
    </row>
    <row r="3052" spans="1:11" x14ac:dyDescent="0.2">
      <c r="A3052" t="s">
        <v>3091</v>
      </c>
      <c r="B3052">
        <v>2021</v>
      </c>
      <c r="C3052" t="s">
        <v>19</v>
      </c>
      <c r="D3052">
        <v>92</v>
      </c>
      <c r="E3052" t="s">
        <v>20</v>
      </c>
      <c r="F3052" t="s">
        <v>21</v>
      </c>
      <c r="G3052" t="s">
        <v>41</v>
      </c>
      <c r="H3052">
        <v>0.63356722314116221</v>
      </c>
      <c r="I3052">
        <v>3</v>
      </c>
      <c r="J3052" t="s">
        <v>23</v>
      </c>
      <c r="K3052" s="59" t="s">
        <v>23</v>
      </c>
    </row>
    <row r="3053" spans="1:11" x14ac:dyDescent="0.2">
      <c r="A3053" t="s">
        <v>3092</v>
      </c>
      <c r="B3053">
        <v>2023</v>
      </c>
      <c r="C3053" t="s">
        <v>12</v>
      </c>
      <c r="D3053">
        <v>178</v>
      </c>
      <c r="E3053" t="s">
        <v>25</v>
      </c>
      <c r="F3053" t="s">
        <v>26</v>
      </c>
      <c r="G3053" t="s">
        <v>48</v>
      </c>
      <c r="H3053">
        <v>-0.1066216235321132</v>
      </c>
      <c r="I3053">
        <v>2</v>
      </c>
      <c r="J3053" t="s">
        <v>23</v>
      </c>
      <c r="K3053" s="59" t="s">
        <v>23</v>
      </c>
    </row>
    <row r="3054" spans="1:11" x14ac:dyDescent="0.2">
      <c r="A3054" t="s">
        <v>3093</v>
      </c>
      <c r="B3054">
        <v>2023</v>
      </c>
      <c r="C3054" t="s">
        <v>33</v>
      </c>
      <c r="D3054">
        <v>40</v>
      </c>
      <c r="E3054" t="s">
        <v>20</v>
      </c>
      <c r="F3054" t="s">
        <v>21</v>
      </c>
      <c r="G3054" t="s">
        <v>41</v>
      </c>
      <c r="H3054">
        <v>-1.1444881492354639</v>
      </c>
      <c r="I3054">
        <v>3</v>
      </c>
      <c r="J3054" t="s">
        <v>23</v>
      </c>
      <c r="K3054" s="59" t="s">
        <v>17</v>
      </c>
    </row>
    <row r="3055" spans="1:11" x14ac:dyDescent="0.2">
      <c r="A3055" t="s">
        <v>3094</v>
      </c>
      <c r="B3055">
        <v>2022</v>
      </c>
      <c r="C3055" t="s">
        <v>33</v>
      </c>
      <c r="D3055">
        <v>87</v>
      </c>
      <c r="E3055" t="s">
        <v>25</v>
      </c>
      <c r="F3055" t="s">
        <v>26</v>
      </c>
      <c r="G3055" t="s">
        <v>15</v>
      </c>
      <c r="H3055">
        <v>8.7313652518543006E-2</v>
      </c>
      <c r="I3055">
        <v>2</v>
      </c>
      <c r="J3055" t="s">
        <v>23</v>
      </c>
      <c r="K3055" s="59" t="s">
        <v>17</v>
      </c>
    </row>
    <row r="3056" spans="1:11" x14ac:dyDescent="0.2">
      <c r="A3056" t="s">
        <v>3095</v>
      </c>
      <c r="B3056">
        <v>2021</v>
      </c>
      <c r="C3056" t="s">
        <v>19</v>
      </c>
      <c r="D3056">
        <v>367</v>
      </c>
      <c r="E3056" t="s">
        <v>25</v>
      </c>
      <c r="F3056" t="s">
        <v>26</v>
      </c>
      <c r="G3056" t="s">
        <v>15</v>
      </c>
      <c r="H3056">
        <v>0.80855353644230632</v>
      </c>
      <c r="I3056">
        <v>2</v>
      </c>
      <c r="J3056" t="s">
        <v>23</v>
      </c>
      <c r="K3056" s="59" t="s">
        <v>16</v>
      </c>
    </row>
    <row r="3057" spans="1:11" x14ac:dyDescent="0.2">
      <c r="A3057" t="s">
        <v>3096</v>
      </c>
      <c r="B3057">
        <v>2023</v>
      </c>
      <c r="C3057" t="s">
        <v>33</v>
      </c>
      <c r="D3057">
        <v>149</v>
      </c>
      <c r="E3057" t="s">
        <v>25</v>
      </c>
      <c r="F3057" t="s">
        <v>26</v>
      </c>
      <c r="G3057" t="s">
        <v>15</v>
      </c>
      <c r="H3057">
        <v>-0.1177237792714966</v>
      </c>
      <c r="I3057">
        <v>2</v>
      </c>
      <c r="J3057" t="s">
        <v>23</v>
      </c>
      <c r="K3057" s="59" t="s">
        <v>4376</v>
      </c>
    </row>
    <row r="3058" spans="1:11" x14ac:dyDescent="0.2">
      <c r="A3058" t="s">
        <v>3097</v>
      </c>
      <c r="B3058">
        <v>2022</v>
      </c>
      <c r="C3058" t="s">
        <v>33</v>
      </c>
      <c r="D3058">
        <v>305</v>
      </c>
      <c r="E3058" t="s">
        <v>53</v>
      </c>
      <c r="F3058" t="s">
        <v>54</v>
      </c>
      <c r="G3058" t="s">
        <v>41</v>
      </c>
      <c r="H3058">
        <v>0.73205839723827082</v>
      </c>
      <c r="I3058">
        <v>3</v>
      </c>
      <c r="J3058" t="s">
        <v>23</v>
      </c>
      <c r="K3058" s="59" t="s">
        <v>4376</v>
      </c>
    </row>
    <row r="3059" spans="1:11" x14ac:dyDescent="0.2">
      <c r="A3059" t="s">
        <v>3098</v>
      </c>
      <c r="B3059">
        <v>2021</v>
      </c>
      <c r="C3059" t="s">
        <v>33</v>
      </c>
      <c r="D3059">
        <v>312</v>
      </c>
      <c r="E3059" t="s">
        <v>38</v>
      </c>
      <c r="F3059" t="s">
        <v>39</v>
      </c>
      <c r="G3059" t="s">
        <v>15</v>
      </c>
      <c r="H3059">
        <v>0.60221472720671299</v>
      </c>
      <c r="I3059">
        <v>3</v>
      </c>
      <c r="J3059" t="s">
        <v>23</v>
      </c>
      <c r="K3059" s="59" t="s">
        <v>4376</v>
      </c>
    </row>
    <row r="3060" spans="1:11" x14ac:dyDescent="0.2">
      <c r="A3060" t="s">
        <v>3099</v>
      </c>
      <c r="B3060">
        <v>2021</v>
      </c>
      <c r="C3060" t="s">
        <v>33</v>
      </c>
      <c r="D3060">
        <v>367</v>
      </c>
      <c r="E3060" t="s">
        <v>38</v>
      </c>
      <c r="F3060" t="s">
        <v>39</v>
      </c>
      <c r="G3060" t="s">
        <v>15</v>
      </c>
      <c r="H3060">
        <v>0.69029355547504967</v>
      </c>
      <c r="I3060">
        <v>3</v>
      </c>
      <c r="J3060" t="s">
        <v>23</v>
      </c>
      <c r="K3060" s="59" t="s">
        <v>4376</v>
      </c>
    </row>
    <row r="3061" spans="1:11" x14ac:dyDescent="0.2">
      <c r="A3061" t="s">
        <v>3100</v>
      </c>
      <c r="B3061">
        <v>2025</v>
      </c>
      <c r="C3061" t="s">
        <v>12</v>
      </c>
      <c r="D3061">
        <v>213</v>
      </c>
      <c r="E3061" t="s">
        <v>25</v>
      </c>
      <c r="F3061" t="s">
        <v>26</v>
      </c>
      <c r="G3061" t="s">
        <v>41</v>
      </c>
      <c r="H3061">
        <v>0.29388235713748501</v>
      </c>
      <c r="I3061">
        <v>2</v>
      </c>
      <c r="J3061" t="s">
        <v>23</v>
      </c>
      <c r="K3061" s="59" t="s">
        <v>23</v>
      </c>
    </row>
    <row r="3062" spans="1:11" x14ac:dyDescent="0.2">
      <c r="A3062" t="s">
        <v>3101</v>
      </c>
      <c r="B3062">
        <v>2024</v>
      </c>
      <c r="C3062" t="s">
        <v>19</v>
      </c>
      <c r="D3062">
        <v>79</v>
      </c>
      <c r="E3062" t="s">
        <v>20</v>
      </c>
      <c r="F3062" t="s">
        <v>21</v>
      </c>
      <c r="G3062" t="s">
        <v>15</v>
      </c>
      <c r="H3062">
        <v>0.60415356933840592</v>
      </c>
      <c r="I3062">
        <v>3</v>
      </c>
      <c r="J3062" t="s">
        <v>23</v>
      </c>
      <c r="K3062" s="59" t="s">
        <v>17</v>
      </c>
    </row>
    <row r="3063" spans="1:11" x14ac:dyDescent="0.2">
      <c r="A3063" t="s">
        <v>3102</v>
      </c>
      <c r="B3063">
        <v>2024</v>
      </c>
      <c r="C3063" t="s">
        <v>33</v>
      </c>
      <c r="D3063">
        <v>77</v>
      </c>
      <c r="E3063" t="s">
        <v>20</v>
      </c>
      <c r="F3063" t="s">
        <v>21</v>
      </c>
      <c r="G3063" t="s">
        <v>15</v>
      </c>
      <c r="H3063">
        <v>-4.7064725854621493E-2</v>
      </c>
      <c r="I3063">
        <v>3</v>
      </c>
      <c r="J3063" t="s">
        <v>23</v>
      </c>
      <c r="K3063" s="59" t="s">
        <v>17</v>
      </c>
    </row>
    <row r="3064" spans="1:11" x14ac:dyDescent="0.2">
      <c r="A3064" t="s">
        <v>3103</v>
      </c>
      <c r="B3064">
        <v>2023</v>
      </c>
      <c r="C3064" t="s">
        <v>33</v>
      </c>
      <c r="D3064">
        <v>383</v>
      </c>
      <c r="E3064" t="s">
        <v>29</v>
      </c>
      <c r="F3064" t="s">
        <v>30</v>
      </c>
      <c r="G3064" t="s">
        <v>15</v>
      </c>
      <c r="H3064">
        <v>0.21436445001295959</v>
      </c>
      <c r="I3064">
        <v>4</v>
      </c>
      <c r="J3064" t="s">
        <v>16</v>
      </c>
      <c r="K3064" s="59" t="s">
        <v>23</v>
      </c>
    </row>
    <row r="3065" spans="1:11" x14ac:dyDescent="0.2">
      <c r="A3065" t="s">
        <v>3104</v>
      </c>
      <c r="B3065">
        <v>2021</v>
      </c>
      <c r="C3065" t="s">
        <v>33</v>
      </c>
      <c r="D3065">
        <v>302</v>
      </c>
      <c r="E3065" t="s">
        <v>38</v>
      </c>
      <c r="F3065" t="s">
        <v>39</v>
      </c>
      <c r="G3065" t="s">
        <v>15</v>
      </c>
      <c r="H3065">
        <v>0.1382145534174688</v>
      </c>
      <c r="I3065">
        <v>3</v>
      </c>
      <c r="J3065" t="s">
        <v>23</v>
      </c>
      <c r="K3065" s="59" t="s">
        <v>23</v>
      </c>
    </row>
    <row r="3066" spans="1:11" x14ac:dyDescent="0.2">
      <c r="A3066" t="s">
        <v>3105</v>
      </c>
      <c r="B3066">
        <v>2021</v>
      </c>
      <c r="C3066" t="s">
        <v>12</v>
      </c>
      <c r="D3066">
        <v>367</v>
      </c>
      <c r="E3066" t="s">
        <v>38</v>
      </c>
      <c r="F3066" t="s">
        <v>39</v>
      </c>
      <c r="G3066" t="s">
        <v>15</v>
      </c>
      <c r="H3066">
        <v>0.69029355547504967</v>
      </c>
      <c r="I3066">
        <v>3</v>
      </c>
      <c r="J3066" t="s">
        <v>23</v>
      </c>
      <c r="K3066" s="59" t="s">
        <v>23</v>
      </c>
    </row>
    <row r="3067" spans="1:11" x14ac:dyDescent="0.2">
      <c r="A3067" t="s">
        <v>3106</v>
      </c>
      <c r="B3067">
        <v>2024</v>
      </c>
      <c r="C3067" t="s">
        <v>12</v>
      </c>
      <c r="D3067">
        <v>38</v>
      </c>
      <c r="E3067" t="s">
        <v>38</v>
      </c>
      <c r="F3067" t="s">
        <v>39</v>
      </c>
      <c r="G3067" t="s">
        <v>15</v>
      </c>
      <c r="H3067">
        <v>-2.6063069950516442</v>
      </c>
      <c r="I3067">
        <v>3</v>
      </c>
      <c r="J3067" t="s">
        <v>23</v>
      </c>
      <c r="K3067" s="59" t="s">
        <v>4376</v>
      </c>
    </row>
    <row r="3068" spans="1:11" x14ac:dyDescent="0.2">
      <c r="A3068" t="s">
        <v>3107</v>
      </c>
      <c r="B3068">
        <v>2023</v>
      </c>
      <c r="C3068" t="s">
        <v>33</v>
      </c>
      <c r="D3068">
        <v>384</v>
      </c>
      <c r="E3068" t="s">
        <v>29</v>
      </c>
      <c r="F3068" t="s">
        <v>30</v>
      </c>
      <c r="G3068" t="s">
        <v>15</v>
      </c>
      <c r="H3068">
        <v>0.21697700007159629</v>
      </c>
      <c r="I3068">
        <v>4</v>
      </c>
      <c r="J3068" t="s">
        <v>16</v>
      </c>
      <c r="K3068" s="59" t="s">
        <v>4376</v>
      </c>
    </row>
    <row r="3069" spans="1:11" x14ac:dyDescent="0.2">
      <c r="A3069" t="s">
        <v>3108</v>
      </c>
      <c r="B3069">
        <v>2023</v>
      </c>
      <c r="C3069" t="s">
        <v>12</v>
      </c>
      <c r="D3069">
        <v>393</v>
      </c>
      <c r="E3069" t="s">
        <v>38</v>
      </c>
      <c r="F3069" t="s">
        <v>39</v>
      </c>
      <c r="G3069" t="s">
        <v>15</v>
      </c>
      <c r="H3069">
        <v>-5.0426212774462454E-3</v>
      </c>
      <c r="I3069">
        <v>3</v>
      </c>
      <c r="J3069" t="s">
        <v>16</v>
      </c>
      <c r="K3069" s="59" t="s">
        <v>16</v>
      </c>
    </row>
    <row r="3070" spans="1:11" x14ac:dyDescent="0.2">
      <c r="A3070" t="s">
        <v>3109</v>
      </c>
      <c r="B3070">
        <v>2022</v>
      </c>
      <c r="C3070" t="s">
        <v>19</v>
      </c>
      <c r="D3070">
        <v>289</v>
      </c>
      <c r="E3070" t="s">
        <v>53</v>
      </c>
      <c r="F3070" t="s">
        <v>54</v>
      </c>
      <c r="G3070" t="s">
        <v>15</v>
      </c>
      <c r="H3070">
        <v>0.87591915940331022</v>
      </c>
      <c r="I3070">
        <v>3</v>
      </c>
      <c r="J3070" t="s">
        <v>23</v>
      </c>
      <c r="K3070" s="59" t="s">
        <v>23</v>
      </c>
    </row>
    <row r="3071" spans="1:11" x14ac:dyDescent="0.2">
      <c r="A3071" t="s">
        <v>3110</v>
      </c>
      <c r="B3071">
        <v>2024</v>
      </c>
      <c r="C3071" t="s">
        <v>12</v>
      </c>
      <c r="D3071">
        <v>37</v>
      </c>
      <c r="E3071" t="s">
        <v>38</v>
      </c>
      <c r="F3071" t="s">
        <v>39</v>
      </c>
      <c r="G3071" t="s">
        <v>15</v>
      </c>
      <c r="H3071">
        <v>-2.712235896922381</v>
      </c>
      <c r="I3071">
        <v>3</v>
      </c>
      <c r="J3071" t="s">
        <v>23</v>
      </c>
      <c r="K3071" s="59" t="s">
        <v>4376</v>
      </c>
    </row>
    <row r="3072" spans="1:11" x14ac:dyDescent="0.2">
      <c r="A3072" t="s">
        <v>3111</v>
      </c>
      <c r="B3072">
        <v>2024</v>
      </c>
      <c r="C3072" t="s">
        <v>33</v>
      </c>
      <c r="D3072">
        <v>36</v>
      </c>
      <c r="E3072" t="s">
        <v>38</v>
      </c>
      <c r="F3072" t="s">
        <v>39</v>
      </c>
      <c r="G3072" t="s">
        <v>15</v>
      </c>
      <c r="H3072">
        <v>-2.712235896922381</v>
      </c>
      <c r="I3072">
        <v>3</v>
      </c>
      <c r="J3072" t="s">
        <v>23</v>
      </c>
      <c r="K3072" s="59" t="s">
        <v>4376</v>
      </c>
    </row>
    <row r="3073" spans="1:11" x14ac:dyDescent="0.2">
      <c r="A3073" t="s">
        <v>3112</v>
      </c>
      <c r="B3073">
        <v>2023</v>
      </c>
      <c r="C3073" t="s">
        <v>19</v>
      </c>
      <c r="D3073">
        <v>50</v>
      </c>
      <c r="E3073" t="s">
        <v>20</v>
      </c>
      <c r="F3073" t="s">
        <v>21</v>
      </c>
      <c r="G3073" t="s">
        <v>15</v>
      </c>
      <c r="H3073">
        <v>-1.1444881492354639</v>
      </c>
      <c r="I3073">
        <v>3</v>
      </c>
      <c r="J3073" t="s">
        <v>23</v>
      </c>
      <c r="K3073" s="59" t="s">
        <v>17</v>
      </c>
    </row>
    <row r="3074" spans="1:11" x14ac:dyDescent="0.2">
      <c r="A3074" t="s">
        <v>3113</v>
      </c>
      <c r="B3074">
        <v>2023</v>
      </c>
      <c r="C3074" t="s">
        <v>33</v>
      </c>
      <c r="D3074">
        <v>383</v>
      </c>
      <c r="E3074" t="s">
        <v>29</v>
      </c>
      <c r="F3074" t="s">
        <v>30</v>
      </c>
      <c r="G3074" t="s">
        <v>15</v>
      </c>
      <c r="H3074">
        <v>0.21436445001295959</v>
      </c>
      <c r="I3074">
        <v>4</v>
      </c>
      <c r="J3074" t="s">
        <v>16</v>
      </c>
      <c r="K3074" s="59" t="s">
        <v>4376</v>
      </c>
    </row>
    <row r="3075" spans="1:11" x14ac:dyDescent="0.2">
      <c r="A3075" t="s">
        <v>3114</v>
      </c>
      <c r="B3075">
        <v>2021</v>
      </c>
      <c r="C3075" t="s">
        <v>33</v>
      </c>
      <c r="D3075">
        <v>440</v>
      </c>
      <c r="E3075" t="s">
        <v>38</v>
      </c>
      <c r="F3075" t="s">
        <v>39</v>
      </c>
      <c r="G3075" t="s">
        <v>15</v>
      </c>
      <c r="H3075">
        <v>0.54780030737985386</v>
      </c>
      <c r="I3075">
        <v>3</v>
      </c>
      <c r="J3075" t="s">
        <v>23</v>
      </c>
      <c r="K3075" s="59" t="s">
        <v>4376</v>
      </c>
    </row>
    <row r="3076" spans="1:11" x14ac:dyDescent="0.2">
      <c r="A3076" t="s">
        <v>3115</v>
      </c>
      <c r="B3076">
        <v>2023</v>
      </c>
      <c r="C3076" t="s">
        <v>12</v>
      </c>
      <c r="D3076">
        <v>393</v>
      </c>
      <c r="E3076" t="s">
        <v>38</v>
      </c>
      <c r="F3076" t="s">
        <v>39</v>
      </c>
      <c r="G3076" t="s">
        <v>15</v>
      </c>
      <c r="H3076">
        <v>-5.0426212774462454E-3</v>
      </c>
      <c r="I3076">
        <v>3</v>
      </c>
      <c r="J3076" t="s">
        <v>16</v>
      </c>
      <c r="K3076" s="59" t="s">
        <v>23</v>
      </c>
    </row>
    <row r="3077" spans="1:11" x14ac:dyDescent="0.2">
      <c r="A3077" t="s">
        <v>3116</v>
      </c>
      <c r="B3077">
        <v>2024</v>
      </c>
      <c r="C3077" t="s">
        <v>12</v>
      </c>
      <c r="D3077">
        <v>37</v>
      </c>
      <c r="E3077" t="s">
        <v>38</v>
      </c>
      <c r="F3077" t="s">
        <v>39</v>
      </c>
      <c r="G3077" t="s">
        <v>15</v>
      </c>
      <c r="H3077">
        <v>-2.712235896922381</v>
      </c>
      <c r="I3077">
        <v>3</v>
      </c>
      <c r="J3077" t="s">
        <v>23</v>
      </c>
      <c r="K3077" s="59" t="s">
        <v>4376</v>
      </c>
    </row>
    <row r="3078" spans="1:11" x14ac:dyDescent="0.2">
      <c r="A3078" t="s">
        <v>3117</v>
      </c>
      <c r="B3078">
        <v>2021</v>
      </c>
      <c r="C3078" t="s">
        <v>19</v>
      </c>
      <c r="D3078">
        <v>213</v>
      </c>
      <c r="E3078" t="s">
        <v>25</v>
      </c>
      <c r="F3078" t="s">
        <v>26</v>
      </c>
      <c r="G3078" t="s">
        <v>80</v>
      </c>
      <c r="H3078">
        <v>-0.71486496837895264</v>
      </c>
      <c r="I3078">
        <v>2</v>
      </c>
      <c r="J3078" t="s">
        <v>23</v>
      </c>
      <c r="K3078" s="59" t="s">
        <v>17</v>
      </c>
    </row>
    <row r="3079" spans="1:11" x14ac:dyDescent="0.2">
      <c r="A3079" t="s">
        <v>3118</v>
      </c>
      <c r="B3079">
        <v>2023</v>
      </c>
      <c r="C3079" t="s">
        <v>33</v>
      </c>
      <c r="D3079">
        <v>88</v>
      </c>
      <c r="E3079" t="s">
        <v>25</v>
      </c>
      <c r="F3079" t="s">
        <v>26</v>
      </c>
      <c r="G3079" t="s">
        <v>15</v>
      </c>
      <c r="H3079">
        <v>0.1382145534174688</v>
      </c>
      <c r="I3079">
        <v>2</v>
      </c>
      <c r="J3079" t="s">
        <v>17</v>
      </c>
      <c r="K3079" s="59" t="s">
        <v>16</v>
      </c>
    </row>
    <row r="3080" spans="1:11" x14ac:dyDescent="0.2">
      <c r="A3080" t="s">
        <v>3119</v>
      </c>
      <c r="B3080">
        <v>2024</v>
      </c>
      <c r="C3080" t="s">
        <v>33</v>
      </c>
      <c r="D3080">
        <v>36</v>
      </c>
      <c r="E3080" t="s">
        <v>38</v>
      </c>
      <c r="F3080" t="s">
        <v>39</v>
      </c>
      <c r="G3080" t="s">
        <v>15</v>
      </c>
      <c r="H3080">
        <v>-2.712235896922381</v>
      </c>
      <c r="I3080">
        <v>3</v>
      </c>
      <c r="J3080" t="s">
        <v>23</v>
      </c>
      <c r="K3080" s="59" t="s">
        <v>4376</v>
      </c>
    </row>
    <row r="3081" spans="1:11" x14ac:dyDescent="0.2">
      <c r="A3081" t="s">
        <v>3120</v>
      </c>
      <c r="B3081">
        <v>2021</v>
      </c>
      <c r="C3081" t="s">
        <v>12</v>
      </c>
      <c r="D3081">
        <v>111</v>
      </c>
      <c r="E3081" t="s">
        <v>25</v>
      </c>
      <c r="F3081" t="s">
        <v>26</v>
      </c>
      <c r="G3081" t="s">
        <v>41</v>
      </c>
      <c r="H3081">
        <v>-0.31495171963413338</v>
      </c>
      <c r="I3081">
        <v>2</v>
      </c>
      <c r="J3081" t="s">
        <v>23</v>
      </c>
      <c r="K3081" s="59" t="s">
        <v>17</v>
      </c>
    </row>
    <row r="3082" spans="1:11" x14ac:dyDescent="0.2">
      <c r="A3082" t="s">
        <v>3121</v>
      </c>
      <c r="B3082">
        <v>2023</v>
      </c>
      <c r="C3082" t="s">
        <v>19</v>
      </c>
      <c r="D3082">
        <v>101</v>
      </c>
      <c r="E3082" t="s">
        <v>20</v>
      </c>
      <c r="F3082" t="s">
        <v>21</v>
      </c>
      <c r="G3082" t="s">
        <v>48</v>
      </c>
      <c r="H3082">
        <v>0.24728791248659579</v>
      </c>
      <c r="I3082">
        <v>3</v>
      </c>
      <c r="J3082" t="s">
        <v>23</v>
      </c>
      <c r="K3082" s="59" t="s">
        <v>16</v>
      </c>
    </row>
    <row r="3083" spans="1:11" x14ac:dyDescent="0.2">
      <c r="A3083" t="s">
        <v>3122</v>
      </c>
      <c r="B3083">
        <v>2023</v>
      </c>
      <c r="C3083" t="s">
        <v>19</v>
      </c>
      <c r="D3083">
        <v>62</v>
      </c>
      <c r="E3083" t="s">
        <v>20</v>
      </c>
      <c r="F3083" t="s">
        <v>21</v>
      </c>
      <c r="G3083" t="s">
        <v>41</v>
      </c>
      <c r="H3083">
        <v>-1.8272170070991209</v>
      </c>
      <c r="I3083">
        <v>3</v>
      </c>
      <c r="J3083" t="s">
        <v>23</v>
      </c>
      <c r="K3083" s="59" t="s">
        <v>23</v>
      </c>
    </row>
    <row r="3084" spans="1:11" x14ac:dyDescent="0.2">
      <c r="A3084" t="s">
        <v>3123</v>
      </c>
      <c r="B3084">
        <v>2024</v>
      </c>
      <c r="C3084" t="s">
        <v>19</v>
      </c>
      <c r="D3084">
        <v>37</v>
      </c>
      <c r="E3084" t="s">
        <v>38</v>
      </c>
      <c r="F3084" t="s">
        <v>39</v>
      </c>
      <c r="G3084" t="s">
        <v>15</v>
      </c>
      <c r="H3084">
        <v>-2.6063069950516442</v>
      </c>
      <c r="I3084">
        <v>3</v>
      </c>
      <c r="J3084" t="s">
        <v>23</v>
      </c>
      <c r="K3084" s="59" t="s">
        <v>23</v>
      </c>
    </row>
    <row r="3085" spans="1:11" x14ac:dyDescent="0.2">
      <c r="A3085" t="s">
        <v>3124</v>
      </c>
      <c r="B3085">
        <v>2022</v>
      </c>
      <c r="C3085" t="s">
        <v>12</v>
      </c>
      <c r="D3085">
        <v>289</v>
      </c>
      <c r="E3085" t="s">
        <v>53</v>
      </c>
      <c r="F3085" t="s">
        <v>54</v>
      </c>
      <c r="G3085" t="s">
        <v>15</v>
      </c>
      <c r="H3085">
        <v>0.87591915940331022</v>
      </c>
      <c r="I3085">
        <v>3</v>
      </c>
      <c r="J3085" t="s">
        <v>23</v>
      </c>
      <c r="K3085" s="59" t="s">
        <v>16</v>
      </c>
    </row>
    <row r="3086" spans="1:11" x14ac:dyDescent="0.2">
      <c r="A3086" t="s">
        <v>3125</v>
      </c>
      <c r="B3086">
        <v>2023</v>
      </c>
      <c r="C3086" t="s">
        <v>33</v>
      </c>
      <c r="D3086">
        <v>383</v>
      </c>
      <c r="E3086" t="s">
        <v>29</v>
      </c>
      <c r="F3086" t="s">
        <v>30</v>
      </c>
      <c r="G3086" t="s">
        <v>15</v>
      </c>
      <c r="H3086">
        <v>0.21436445001295959</v>
      </c>
      <c r="I3086">
        <v>4</v>
      </c>
      <c r="J3086" t="s">
        <v>16</v>
      </c>
      <c r="K3086" s="59" t="s">
        <v>23</v>
      </c>
    </row>
    <row r="3087" spans="1:11" x14ac:dyDescent="0.2">
      <c r="A3087" t="s">
        <v>3126</v>
      </c>
      <c r="B3087">
        <v>2025</v>
      </c>
      <c r="C3087" t="s">
        <v>33</v>
      </c>
      <c r="D3087">
        <v>180</v>
      </c>
      <c r="E3087" t="s">
        <v>20</v>
      </c>
      <c r="F3087" t="s">
        <v>21</v>
      </c>
      <c r="G3087" t="s">
        <v>15</v>
      </c>
      <c r="H3087">
        <v>-0.45283473113829409</v>
      </c>
      <c r="I3087">
        <v>3</v>
      </c>
      <c r="J3087" t="s">
        <v>23</v>
      </c>
      <c r="K3087" s="59" t="s">
        <v>17</v>
      </c>
    </row>
    <row r="3088" spans="1:11" x14ac:dyDescent="0.2">
      <c r="A3088" t="s">
        <v>3127</v>
      </c>
      <c r="B3088">
        <v>2024</v>
      </c>
      <c r="C3088" t="s">
        <v>33</v>
      </c>
      <c r="D3088">
        <v>36</v>
      </c>
      <c r="E3088" t="s">
        <v>38</v>
      </c>
      <c r="F3088" t="s">
        <v>39</v>
      </c>
      <c r="G3088" t="s">
        <v>15</v>
      </c>
      <c r="H3088">
        <v>-2.712235896922381</v>
      </c>
      <c r="I3088">
        <v>3</v>
      </c>
      <c r="J3088" t="s">
        <v>23</v>
      </c>
      <c r="K3088" s="59" t="s">
        <v>4376</v>
      </c>
    </row>
    <row r="3089" spans="1:11" x14ac:dyDescent="0.2">
      <c r="A3089" t="s">
        <v>3128</v>
      </c>
      <c r="B3089">
        <v>2023</v>
      </c>
      <c r="C3089" t="s">
        <v>19</v>
      </c>
      <c r="D3089">
        <v>275</v>
      </c>
      <c r="E3089" t="s">
        <v>20</v>
      </c>
      <c r="F3089" t="s">
        <v>21</v>
      </c>
      <c r="G3089" t="s">
        <v>15</v>
      </c>
      <c r="H3089">
        <v>0.85483060764616703</v>
      </c>
      <c r="I3089">
        <v>3</v>
      </c>
      <c r="J3089" t="s">
        <v>23</v>
      </c>
      <c r="K3089" s="59" t="s">
        <v>17</v>
      </c>
    </row>
    <row r="3090" spans="1:11" x14ac:dyDescent="0.2">
      <c r="A3090" t="s">
        <v>3129</v>
      </c>
      <c r="B3090">
        <v>2021</v>
      </c>
      <c r="C3090" t="s">
        <v>12</v>
      </c>
      <c r="D3090">
        <v>311</v>
      </c>
      <c r="E3090" t="s">
        <v>38</v>
      </c>
      <c r="F3090" t="s">
        <v>39</v>
      </c>
      <c r="G3090" t="s">
        <v>15</v>
      </c>
      <c r="H3090">
        <v>0.60221472720671299</v>
      </c>
      <c r="I3090">
        <v>3</v>
      </c>
      <c r="J3090" t="s">
        <v>23</v>
      </c>
      <c r="K3090" s="59" t="s">
        <v>16</v>
      </c>
    </row>
    <row r="3091" spans="1:11" x14ac:dyDescent="0.2">
      <c r="A3091" t="s">
        <v>3130</v>
      </c>
      <c r="B3091">
        <v>2025</v>
      </c>
      <c r="C3091" t="s">
        <v>19</v>
      </c>
      <c r="D3091">
        <v>73</v>
      </c>
      <c r="E3091" t="s">
        <v>20</v>
      </c>
      <c r="F3091" t="s">
        <v>21</v>
      </c>
      <c r="G3091" t="s">
        <v>15</v>
      </c>
      <c r="H3091">
        <v>-2.1050096566211112</v>
      </c>
      <c r="I3091">
        <v>3</v>
      </c>
      <c r="J3091" t="s">
        <v>23</v>
      </c>
      <c r="K3091" s="59" t="s">
        <v>17</v>
      </c>
    </row>
    <row r="3092" spans="1:11" x14ac:dyDescent="0.2">
      <c r="A3092" t="s">
        <v>3131</v>
      </c>
      <c r="B3092">
        <v>2024</v>
      </c>
      <c r="C3092" t="s">
        <v>33</v>
      </c>
      <c r="D3092">
        <v>178</v>
      </c>
      <c r="E3092" t="s">
        <v>29</v>
      </c>
      <c r="F3092" t="s">
        <v>30</v>
      </c>
      <c r="G3092" t="s">
        <v>15</v>
      </c>
      <c r="H3092">
        <v>0.39154215846934859</v>
      </c>
      <c r="I3092">
        <v>4</v>
      </c>
      <c r="J3092" t="s">
        <v>17</v>
      </c>
      <c r="K3092" s="59" t="s">
        <v>23</v>
      </c>
    </row>
    <row r="3093" spans="1:11" x14ac:dyDescent="0.2">
      <c r="A3093" t="s">
        <v>3132</v>
      </c>
      <c r="B3093">
        <v>2023</v>
      </c>
      <c r="C3093" t="s">
        <v>12</v>
      </c>
      <c r="D3093">
        <v>393</v>
      </c>
      <c r="E3093" t="s">
        <v>38</v>
      </c>
      <c r="F3093" t="s">
        <v>39</v>
      </c>
      <c r="G3093" t="s">
        <v>15</v>
      </c>
      <c r="H3093">
        <v>-5.0426212774462454E-3</v>
      </c>
      <c r="I3093">
        <v>3</v>
      </c>
      <c r="J3093" t="s">
        <v>16</v>
      </c>
      <c r="K3093" s="59" t="s">
        <v>16</v>
      </c>
    </row>
    <row r="3094" spans="1:11" x14ac:dyDescent="0.2">
      <c r="A3094" t="s">
        <v>3133</v>
      </c>
      <c r="B3094">
        <v>2024</v>
      </c>
      <c r="C3094" t="s">
        <v>33</v>
      </c>
      <c r="D3094">
        <v>36</v>
      </c>
      <c r="E3094" t="s">
        <v>38</v>
      </c>
      <c r="F3094" t="s">
        <v>39</v>
      </c>
      <c r="G3094" t="s">
        <v>15</v>
      </c>
      <c r="H3094">
        <v>-2.712235896922381</v>
      </c>
      <c r="I3094">
        <v>3</v>
      </c>
      <c r="J3094" t="s">
        <v>23</v>
      </c>
      <c r="K3094" s="59" t="s">
        <v>4376</v>
      </c>
    </row>
    <row r="3095" spans="1:11" x14ac:dyDescent="0.2">
      <c r="A3095" t="s">
        <v>3134</v>
      </c>
      <c r="B3095">
        <v>2024</v>
      </c>
      <c r="C3095" t="s">
        <v>19</v>
      </c>
      <c r="D3095">
        <v>176</v>
      </c>
      <c r="E3095" t="s">
        <v>29</v>
      </c>
      <c r="F3095" t="s">
        <v>30</v>
      </c>
      <c r="G3095" t="s">
        <v>15</v>
      </c>
      <c r="H3095">
        <v>0.38200307877548229</v>
      </c>
      <c r="I3095">
        <v>4</v>
      </c>
      <c r="J3095" t="s">
        <v>16</v>
      </c>
      <c r="K3095" s="59" t="s">
        <v>17</v>
      </c>
    </row>
    <row r="3096" spans="1:11" x14ac:dyDescent="0.2">
      <c r="A3096" t="s">
        <v>3135</v>
      </c>
      <c r="B3096">
        <v>2024</v>
      </c>
      <c r="C3096" t="s">
        <v>33</v>
      </c>
      <c r="D3096">
        <v>36</v>
      </c>
      <c r="E3096" t="s">
        <v>38</v>
      </c>
      <c r="F3096" t="s">
        <v>39</v>
      </c>
      <c r="G3096" t="s">
        <v>15</v>
      </c>
      <c r="H3096">
        <v>-2.712235896922381</v>
      </c>
      <c r="I3096">
        <v>3</v>
      </c>
      <c r="J3096" t="s">
        <v>23</v>
      </c>
      <c r="K3096" s="59" t="s">
        <v>4376</v>
      </c>
    </row>
    <row r="3097" spans="1:11" x14ac:dyDescent="0.2">
      <c r="A3097" t="s">
        <v>3136</v>
      </c>
      <c r="B3097">
        <v>2024</v>
      </c>
      <c r="C3097" t="s">
        <v>33</v>
      </c>
      <c r="D3097">
        <v>37</v>
      </c>
      <c r="E3097" t="s">
        <v>38</v>
      </c>
      <c r="F3097" t="s">
        <v>39</v>
      </c>
      <c r="G3097" t="s">
        <v>15</v>
      </c>
      <c r="H3097">
        <v>-2.6063069950516442</v>
      </c>
      <c r="I3097">
        <v>3</v>
      </c>
      <c r="J3097" t="s">
        <v>23</v>
      </c>
      <c r="K3097" s="59" t="s">
        <v>4376</v>
      </c>
    </row>
    <row r="3098" spans="1:11" x14ac:dyDescent="0.2">
      <c r="A3098" t="s">
        <v>3137</v>
      </c>
      <c r="B3098">
        <v>2023</v>
      </c>
      <c r="C3098" t="s">
        <v>33</v>
      </c>
      <c r="D3098">
        <v>137</v>
      </c>
      <c r="E3098" t="s">
        <v>20</v>
      </c>
      <c r="F3098" t="s">
        <v>21</v>
      </c>
      <c r="G3098" t="s">
        <v>80</v>
      </c>
      <c r="H3098">
        <v>-0.39764768675468798</v>
      </c>
      <c r="I3098">
        <v>3</v>
      </c>
      <c r="J3098" t="s">
        <v>23</v>
      </c>
      <c r="K3098" s="59" t="s">
        <v>17</v>
      </c>
    </row>
    <row r="3099" spans="1:11" x14ac:dyDescent="0.2">
      <c r="A3099" t="s">
        <v>3138</v>
      </c>
      <c r="B3099">
        <v>2021</v>
      </c>
      <c r="C3099" t="s">
        <v>33</v>
      </c>
      <c r="D3099">
        <v>440</v>
      </c>
      <c r="E3099" t="s">
        <v>38</v>
      </c>
      <c r="F3099" t="s">
        <v>39</v>
      </c>
      <c r="G3099" t="s">
        <v>15</v>
      </c>
      <c r="H3099">
        <v>0.54780030737985386</v>
      </c>
      <c r="I3099">
        <v>3</v>
      </c>
      <c r="J3099" t="s">
        <v>23</v>
      </c>
      <c r="K3099" s="59" t="s">
        <v>4376</v>
      </c>
    </row>
    <row r="3100" spans="1:11" x14ac:dyDescent="0.2">
      <c r="A3100" t="s">
        <v>3139</v>
      </c>
      <c r="B3100">
        <v>2024</v>
      </c>
      <c r="C3100" t="s">
        <v>33</v>
      </c>
      <c r="D3100">
        <v>36</v>
      </c>
      <c r="E3100" t="s">
        <v>38</v>
      </c>
      <c r="F3100" t="s">
        <v>39</v>
      </c>
      <c r="G3100" t="s">
        <v>15</v>
      </c>
      <c r="H3100">
        <v>-2.712235896922381</v>
      </c>
      <c r="I3100">
        <v>3</v>
      </c>
      <c r="J3100" t="s">
        <v>23</v>
      </c>
      <c r="K3100" s="59" t="s">
        <v>4376</v>
      </c>
    </row>
    <row r="3101" spans="1:11" x14ac:dyDescent="0.2">
      <c r="A3101" t="s">
        <v>3140</v>
      </c>
      <c r="B3101">
        <v>2024</v>
      </c>
      <c r="C3101" t="s">
        <v>33</v>
      </c>
      <c r="D3101">
        <v>36</v>
      </c>
      <c r="E3101" t="s">
        <v>38</v>
      </c>
      <c r="F3101" t="s">
        <v>39</v>
      </c>
      <c r="G3101" t="s">
        <v>15</v>
      </c>
      <c r="H3101">
        <v>-2.712235896922381</v>
      </c>
      <c r="I3101">
        <v>3</v>
      </c>
      <c r="J3101" t="s">
        <v>23</v>
      </c>
      <c r="K3101" s="59" t="s">
        <v>4376</v>
      </c>
    </row>
    <row r="3102" spans="1:11" x14ac:dyDescent="0.2">
      <c r="A3102" t="s">
        <v>3141</v>
      </c>
      <c r="B3102">
        <v>2021</v>
      </c>
      <c r="C3102" t="s">
        <v>33</v>
      </c>
      <c r="D3102">
        <v>440</v>
      </c>
      <c r="E3102" t="s">
        <v>38</v>
      </c>
      <c r="F3102" t="s">
        <v>39</v>
      </c>
      <c r="G3102" t="s">
        <v>15</v>
      </c>
      <c r="H3102">
        <v>0.54780030737985386</v>
      </c>
      <c r="I3102">
        <v>3</v>
      </c>
      <c r="J3102" t="s">
        <v>23</v>
      </c>
      <c r="K3102" s="59" t="s">
        <v>4376</v>
      </c>
    </row>
    <row r="3103" spans="1:11" x14ac:dyDescent="0.2">
      <c r="A3103" t="s">
        <v>3142</v>
      </c>
      <c r="B3103">
        <v>2024</v>
      </c>
      <c r="C3103" t="s">
        <v>12</v>
      </c>
      <c r="D3103">
        <v>36</v>
      </c>
      <c r="E3103" t="s">
        <v>38</v>
      </c>
      <c r="F3103" t="s">
        <v>39</v>
      </c>
      <c r="G3103" t="s">
        <v>15</v>
      </c>
      <c r="H3103">
        <v>-2.712235896922381</v>
      </c>
      <c r="I3103">
        <v>3</v>
      </c>
      <c r="J3103" t="s">
        <v>23</v>
      </c>
      <c r="K3103" s="59" t="s">
        <v>23</v>
      </c>
    </row>
    <row r="3104" spans="1:11" x14ac:dyDescent="0.2">
      <c r="A3104" t="s">
        <v>3143</v>
      </c>
      <c r="B3104">
        <v>2021</v>
      </c>
      <c r="C3104" t="s">
        <v>19</v>
      </c>
      <c r="D3104">
        <v>108</v>
      </c>
      <c r="E3104" t="s">
        <v>20</v>
      </c>
      <c r="F3104" t="s">
        <v>21</v>
      </c>
      <c r="G3104" t="s">
        <v>15</v>
      </c>
      <c r="H3104">
        <v>1.5057520909019451</v>
      </c>
      <c r="I3104">
        <v>3</v>
      </c>
      <c r="J3104" t="s">
        <v>23</v>
      </c>
      <c r="K3104" s="59" t="s">
        <v>16</v>
      </c>
    </row>
    <row r="3105" spans="1:11" x14ac:dyDescent="0.2">
      <c r="A3105" t="s">
        <v>3144</v>
      </c>
      <c r="B3105">
        <v>2023</v>
      </c>
      <c r="C3105" t="s">
        <v>12</v>
      </c>
      <c r="D3105">
        <v>393</v>
      </c>
      <c r="E3105" t="s">
        <v>38</v>
      </c>
      <c r="F3105" t="s">
        <v>39</v>
      </c>
      <c r="G3105" t="s">
        <v>15</v>
      </c>
      <c r="H3105">
        <v>-5.0426212774462454E-3</v>
      </c>
      <c r="I3105">
        <v>3</v>
      </c>
      <c r="J3105" t="s">
        <v>16</v>
      </c>
      <c r="K3105" s="59" t="s">
        <v>4376</v>
      </c>
    </row>
    <row r="3106" spans="1:11" x14ac:dyDescent="0.2">
      <c r="A3106" t="s">
        <v>3145</v>
      </c>
      <c r="B3106">
        <v>2024</v>
      </c>
      <c r="C3106" t="s">
        <v>33</v>
      </c>
      <c r="D3106">
        <v>36</v>
      </c>
      <c r="E3106" t="s">
        <v>38</v>
      </c>
      <c r="F3106" t="s">
        <v>39</v>
      </c>
      <c r="G3106" t="s">
        <v>15</v>
      </c>
      <c r="H3106">
        <v>-2.712235896922381</v>
      </c>
      <c r="I3106">
        <v>3</v>
      </c>
      <c r="J3106" t="s">
        <v>23</v>
      </c>
      <c r="K3106" s="59" t="s">
        <v>17</v>
      </c>
    </row>
    <row r="3107" spans="1:11" x14ac:dyDescent="0.2">
      <c r="A3107" t="s">
        <v>3146</v>
      </c>
      <c r="B3107">
        <v>2024</v>
      </c>
      <c r="C3107" t="s">
        <v>33</v>
      </c>
      <c r="D3107">
        <v>36</v>
      </c>
      <c r="E3107" t="s">
        <v>38</v>
      </c>
      <c r="F3107" t="s">
        <v>39</v>
      </c>
      <c r="G3107" t="s">
        <v>15</v>
      </c>
      <c r="H3107">
        <v>-2.712235896922381</v>
      </c>
      <c r="I3107">
        <v>3</v>
      </c>
      <c r="J3107" t="s">
        <v>23</v>
      </c>
      <c r="K3107" s="59" t="s">
        <v>4376</v>
      </c>
    </row>
    <row r="3108" spans="1:11" x14ac:dyDescent="0.2">
      <c r="A3108" t="s">
        <v>3147</v>
      </c>
      <c r="B3108">
        <v>2021</v>
      </c>
      <c r="C3108" t="s">
        <v>33</v>
      </c>
      <c r="D3108">
        <v>305</v>
      </c>
      <c r="E3108" t="s">
        <v>29</v>
      </c>
      <c r="F3108" t="s">
        <v>30</v>
      </c>
      <c r="G3108" t="s">
        <v>15</v>
      </c>
      <c r="H3108">
        <v>0.67267401285619066</v>
      </c>
      <c r="I3108">
        <v>4</v>
      </c>
      <c r="J3108" t="s">
        <v>23</v>
      </c>
      <c r="K3108" s="59" t="s">
        <v>17</v>
      </c>
    </row>
    <row r="3109" spans="1:11" x14ac:dyDescent="0.2">
      <c r="A3109" t="s">
        <v>3148</v>
      </c>
      <c r="B3109">
        <v>2023</v>
      </c>
      <c r="C3109" t="s">
        <v>33</v>
      </c>
      <c r="D3109">
        <v>103</v>
      </c>
      <c r="E3109" t="s">
        <v>25</v>
      </c>
      <c r="F3109" t="s">
        <v>26</v>
      </c>
      <c r="G3109" t="s">
        <v>15</v>
      </c>
      <c r="H3109">
        <v>-0.32987412347657519</v>
      </c>
      <c r="I3109">
        <v>2</v>
      </c>
      <c r="J3109" t="s">
        <v>23</v>
      </c>
      <c r="K3109" s="59" t="s">
        <v>23</v>
      </c>
    </row>
    <row r="3110" spans="1:11" x14ac:dyDescent="0.2">
      <c r="A3110" t="s">
        <v>3149</v>
      </c>
      <c r="B3110">
        <v>2022</v>
      </c>
      <c r="C3110" t="s">
        <v>19</v>
      </c>
      <c r="D3110">
        <v>110</v>
      </c>
      <c r="E3110" t="s">
        <v>20</v>
      </c>
      <c r="F3110" t="s">
        <v>21</v>
      </c>
      <c r="G3110" t="s">
        <v>15</v>
      </c>
      <c r="H3110">
        <v>-0.17617336389942639</v>
      </c>
      <c r="I3110">
        <v>3</v>
      </c>
      <c r="J3110" t="s">
        <v>23</v>
      </c>
      <c r="K3110" s="59" t="s">
        <v>17</v>
      </c>
    </row>
    <row r="3111" spans="1:11" x14ac:dyDescent="0.2">
      <c r="A3111" t="s">
        <v>3150</v>
      </c>
      <c r="B3111">
        <v>2024</v>
      </c>
      <c r="C3111" t="s">
        <v>33</v>
      </c>
      <c r="D3111">
        <v>36</v>
      </c>
      <c r="E3111" t="s">
        <v>38</v>
      </c>
      <c r="F3111" t="s">
        <v>39</v>
      </c>
      <c r="G3111" t="s">
        <v>15</v>
      </c>
      <c r="H3111">
        <v>-2.712235896922381</v>
      </c>
      <c r="I3111">
        <v>3</v>
      </c>
      <c r="J3111" t="s">
        <v>23</v>
      </c>
      <c r="K3111" s="59" t="s">
        <v>4376</v>
      </c>
    </row>
    <row r="3112" spans="1:11" x14ac:dyDescent="0.2">
      <c r="A3112" t="s">
        <v>3151</v>
      </c>
      <c r="B3112">
        <v>2020</v>
      </c>
      <c r="C3112" t="s">
        <v>12</v>
      </c>
      <c r="D3112">
        <v>71</v>
      </c>
      <c r="E3112" t="s">
        <v>25</v>
      </c>
      <c r="F3112" t="s">
        <v>26</v>
      </c>
      <c r="G3112" t="s">
        <v>15</v>
      </c>
      <c r="H3112">
        <v>-0.83775489425324057</v>
      </c>
      <c r="I3112">
        <v>2</v>
      </c>
      <c r="J3112" t="s">
        <v>23</v>
      </c>
      <c r="K3112" s="59" t="s">
        <v>16</v>
      </c>
    </row>
    <row r="3113" spans="1:11" x14ac:dyDescent="0.2">
      <c r="A3113" t="s">
        <v>3152</v>
      </c>
      <c r="B3113">
        <v>2021</v>
      </c>
      <c r="C3113" t="s">
        <v>33</v>
      </c>
      <c r="D3113">
        <v>440</v>
      </c>
      <c r="E3113" t="s">
        <v>38</v>
      </c>
      <c r="F3113" t="s">
        <v>39</v>
      </c>
      <c r="G3113" t="s">
        <v>15</v>
      </c>
      <c r="H3113">
        <v>0.54780030737985386</v>
      </c>
      <c r="I3113">
        <v>3</v>
      </c>
      <c r="J3113" t="s">
        <v>23</v>
      </c>
      <c r="K3113" s="59" t="s">
        <v>4376</v>
      </c>
    </row>
    <row r="3114" spans="1:11" x14ac:dyDescent="0.2">
      <c r="A3114" t="s">
        <v>3153</v>
      </c>
      <c r="B3114">
        <v>2021</v>
      </c>
      <c r="C3114" t="s">
        <v>19</v>
      </c>
      <c r="D3114">
        <v>182</v>
      </c>
      <c r="E3114" t="s">
        <v>25</v>
      </c>
      <c r="F3114" t="s">
        <v>26</v>
      </c>
      <c r="G3114" t="s">
        <v>80</v>
      </c>
      <c r="H3114">
        <v>1.207133472294913</v>
      </c>
      <c r="I3114">
        <v>2</v>
      </c>
      <c r="J3114" t="s">
        <v>23</v>
      </c>
      <c r="K3114" s="59" t="s">
        <v>17</v>
      </c>
    </row>
    <row r="3115" spans="1:11" x14ac:dyDescent="0.2">
      <c r="A3115" t="s">
        <v>3154</v>
      </c>
      <c r="B3115">
        <v>2024</v>
      </c>
      <c r="C3115" t="s">
        <v>33</v>
      </c>
      <c r="D3115">
        <v>36</v>
      </c>
      <c r="E3115" t="s">
        <v>38</v>
      </c>
      <c r="F3115" t="s">
        <v>39</v>
      </c>
      <c r="G3115" t="s">
        <v>15</v>
      </c>
      <c r="H3115">
        <v>-2.712235896922381</v>
      </c>
      <c r="I3115">
        <v>3</v>
      </c>
      <c r="J3115" t="s">
        <v>23</v>
      </c>
      <c r="K3115" s="59" t="s">
        <v>4376</v>
      </c>
    </row>
    <row r="3116" spans="1:11" x14ac:dyDescent="0.2">
      <c r="A3116" t="s">
        <v>3155</v>
      </c>
      <c r="B3116">
        <v>2024</v>
      </c>
      <c r="C3116" t="s">
        <v>33</v>
      </c>
      <c r="D3116">
        <v>39</v>
      </c>
      <c r="E3116" t="s">
        <v>38</v>
      </c>
      <c r="F3116" t="s">
        <v>39</v>
      </c>
      <c r="G3116" t="s">
        <v>15</v>
      </c>
      <c r="H3116">
        <v>-2.4107459454441278</v>
      </c>
      <c r="I3116">
        <v>3</v>
      </c>
      <c r="J3116" t="s">
        <v>23</v>
      </c>
      <c r="K3116" s="59" t="s">
        <v>4376</v>
      </c>
    </row>
    <row r="3117" spans="1:11" x14ac:dyDescent="0.2">
      <c r="A3117" t="s">
        <v>3156</v>
      </c>
      <c r="B3117">
        <v>2022</v>
      </c>
      <c r="C3117" t="s">
        <v>19</v>
      </c>
      <c r="D3117">
        <v>95</v>
      </c>
      <c r="E3117" t="s">
        <v>25</v>
      </c>
      <c r="F3117" t="s">
        <v>26</v>
      </c>
      <c r="G3117" t="s">
        <v>48</v>
      </c>
      <c r="H3117">
        <v>-0.83775489425324057</v>
      </c>
      <c r="I3117">
        <v>2</v>
      </c>
      <c r="J3117" t="s">
        <v>23</v>
      </c>
      <c r="K3117" s="59" t="s">
        <v>17</v>
      </c>
    </row>
    <row r="3118" spans="1:11" x14ac:dyDescent="0.2">
      <c r="A3118" t="s">
        <v>3157</v>
      </c>
      <c r="B3118">
        <v>2021</v>
      </c>
      <c r="C3118" t="s">
        <v>33</v>
      </c>
      <c r="D3118">
        <v>401</v>
      </c>
      <c r="E3118" t="s">
        <v>38</v>
      </c>
      <c r="F3118" t="s">
        <v>39</v>
      </c>
      <c r="G3118" t="s">
        <v>15</v>
      </c>
      <c r="H3118">
        <v>0.2123696730011832</v>
      </c>
      <c r="I3118">
        <v>3</v>
      </c>
      <c r="J3118" t="s">
        <v>23</v>
      </c>
      <c r="K3118" s="59" t="s">
        <v>4376</v>
      </c>
    </row>
    <row r="3119" spans="1:11" x14ac:dyDescent="0.2">
      <c r="A3119" t="s">
        <v>3158</v>
      </c>
      <c r="B3119">
        <v>2022</v>
      </c>
      <c r="C3119" t="s">
        <v>19</v>
      </c>
      <c r="D3119">
        <v>200</v>
      </c>
      <c r="E3119" t="s">
        <v>25</v>
      </c>
      <c r="F3119" t="s">
        <v>26</v>
      </c>
      <c r="G3119" t="s">
        <v>15</v>
      </c>
      <c r="H3119">
        <v>-0.38718627111551202</v>
      </c>
      <c r="I3119">
        <v>2</v>
      </c>
      <c r="J3119" t="s">
        <v>23</v>
      </c>
      <c r="K3119" s="59" t="s">
        <v>17</v>
      </c>
    </row>
    <row r="3120" spans="1:11" x14ac:dyDescent="0.2">
      <c r="A3120" t="s">
        <v>3159</v>
      </c>
      <c r="B3120">
        <v>2024</v>
      </c>
      <c r="C3120" t="s">
        <v>19</v>
      </c>
      <c r="D3120">
        <v>36</v>
      </c>
      <c r="E3120" t="s">
        <v>38</v>
      </c>
      <c r="F3120" t="s">
        <v>39</v>
      </c>
      <c r="G3120" t="s">
        <v>15</v>
      </c>
      <c r="H3120">
        <v>-2.712235896922381</v>
      </c>
      <c r="I3120">
        <v>3</v>
      </c>
      <c r="J3120" t="s">
        <v>23</v>
      </c>
      <c r="K3120" s="59" t="s">
        <v>17</v>
      </c>
    </row>
    <row r="3121" spans="1:11" x14ac:dyDescent="0.2">
      <c r="A3121" t="s">
        <v>3160</v>
      </c>
      <c r="B3121">
        <v>2024</v>
      </c>
      <c r="C3121" t="s">
        <v>19</v>
      </c>
      <c r="D3121">
        <v>36</v>
      </c>
      <c r="E3121" t="s">
        <v>38</v>
      </c>
      <c r="F3121" t="s">
        <v>39</v>
      </c>
      <c r="G3121" t="s">
        <v>15</v>
      </c>
      <c r="H3121">
        <v>-2.712235896922381</v>
      </c>
      <c r="I3121">
        <v>3</v>
      </c>
      <c r="J3121" t="s">
        <v>23</v>
      </c>
      <c r="K3121" s="59" t="s">
        <v>16</v>
      </c>
    </row>
    <row r="3122" spans="1:11" x14ac:dyDescent="0.2">
      <c r="A3122" t="s">
        <v>3161</v>
      </c>
      <c r="B3122">
        <v>2024</v>
      </c>
      <c r="C3122" t="s">
        <v>19</v>
      </c>
      <c r="D3122">
        <v>288</v>
      </c>
      <c r="E3122" t="s">
        <v>25</v>
      </c>
      <c r="F3122" t="s">
        <v>26</v>
      </c>
      <c r="G3122" t="s">
        <v>15</v>
      </c>
      <c r="H3122">
        <v>0.18838042325648249</v>
      </c>
      <c r="I3122">
        <v>2</v>
      </c>
      <c r="J3122" t="s">
        <v>23</v>
      </c>
      <c r="K3122" s="59" t="s">
        <v>23</v>
      </c>
    </row>
    <row r="3123" spans="1:11" x14ac:dyDescent="0.2">
      <c r="A3123" t="s">
        <v>3162</v>
      </c>
      <c r="B3123">
        <v>2024</v>
      </c>
      <c r="C3123" t="s">
        <v>19</v>
      </c>
      <c r="D3123">
        <v>36</v>
      </c>
      <c r="E3123" t="s">
        <v>38</v>
      </c>
      <c r="F3123" t="s">
        <v>39</v>
      </c>
      <c r="G3123" t="s">
        <v>15</v>
      </c>
      <c r="H3123">
        <v>-2.712235896922381</v>
      </c>
      <c r="I3123">
        <v>3</v>
      </c>
      <c r="J3123" t="s">
        <v>23</v>
      </c>
      <c r="K3123" s="59" t="s">
        <v>17</v>
      </c>
    </row>
    <row r="3124" spans="1:11" x14ac:dyDescent="0.2">
      <c r="A3124" t="s">
        <v>3163</v>
      </c>
      <c r="B3124">
        <v>2021</v>
      </c>
      <c r="C3124" t="s">
        <v>33</v>
      </c>
      <c r="D3124">
        <v>56</v>
      </c>
      <c r="E3124" t="s">
        <v>13</v>
      </c>
      <c r="F3124" t="s">
        <v>14</v>
      </c>
      <c r="G3124" t="s">
        <v>15</v>
      </c>
      <c r="H3124">
        <v>0.35199833719295759</v>
      </c>
      <c r="I3124">
        <v>4</v>
      </c>
      <c r="J3124" t="s">
        <v>16</v>
      </c>
      <c r="K3124" s="59" t="s">
        <v>4376</v>
      </c>
    </row>
    <row r="3125" spans="1:11" x14ac:dyDescent="0.2">
      <c r="A3125" t="s">
        <v>3164</v>
      </c>
      <c r="B3125">
        <v>2024</v>
      </c>
      <c r="C3125" t="s">
        <v>12</v>
      </c>
      <c r="D3125">
        <v>86</v>
      </c>
      <c r="E3125" t="s">
        <v>25</v>
      </c>
      <c r="F3125" t="s">
        <v>26</v>
      </c>
      <c r="G3125" t="s">
        <v>15</v>
      </c>
      <c r="H3125">
        <v>-0.49283396495596171</v>
      </c>
      <c r="I3125">
        <v>2</v>
      </c>
      <c r="J3125" t="s">
        <v>16</v>
      </c>
      <c r="K3125" s="59" t="s">
        <v>16</v>
      </c>
    </row>
    <row r="3126" spans="1:11" x14ac:dyDescent="0.2">
      <c r="A3126" t="s">
        <v>3165</v>
      </c>
      <c r="B3126">
        <v>2021</v>
      </c>
      <c r="C3126" t="s">
        <v>19</v>
      </c>
      <c r="D3126">
        <v>82</v>
      </c>
      <c r="E3126" t="s">
        <v>25</v>
      </c>
      <c r="F3126" t="s">
        <v>26</v>
      </c>
      <c r="G3126" t="s">
        <v>15</v>
      </c>
      <c r="H3126">
        <v>1.8101133752514189</v>
      </c>
      <c r="I3126">
        <v>2</v>
      </c>
      <c r="J3126" t="s">
        <v>23</v>
      </c>
      <c r="K3126" s="59" t="s">
        <v>17</v>
      </c>
    </row>
    <row r="3127" spans="1:11" x14ac:dyDescent="0.2">
      <c r="A3127" t="s">
        <v>3166</v>
      </c>
      <c r="B3127">
        <v>2022</v>
      </c>
      <c r="C3127" t="s">
        <v>19</v>
      </c>
      <c r="D3127">
        <v>253</v>
      </c>
      <c r="E3127" t="s">
        <v>25</v>
      </c>
      <c r="F3127" t="s">
        <v>26</v>
      </c>
      <c r="G3127" t="s">
        <v>15</v>
      </c>
      <c r="H3127">
        <v>1.618035099712855</v>
      </c>
      <c r="I3127">
        <v>2</v>
      </c>
      <c r="J3127" t="s">
        <v>23</v>
      </c>
      <c r="K3127" s="59" t="s">
        <v>23</v>
      </c>
    </row>
    <row r="3128" spans="1:11" x14ac:dyDescent="0.2">
      <c r="A3128" t="s">
        <v>3167</v>
      </c>
      <c r="B3128">
        <v>2020</v>
      </c>
      <c r="C3128" t="s">
        <v>12</v>
      </c>
      <c r="D3128">
        <v>92</v>
      </c>
      <c r="E3128" t="s">
        <v>25</v>
      </c>
      <c r="F3128" t="s">
        <v>26</v>
      </c>
      <c r="G3128" t="s">
        <v>15</v>
      </c>
      <c r="H3128">
        <v>0.66653080067873416</v>
      </c>
      <c r="I3128">
        <v>2</v>
      </c>
      <c r="J3128" t="s">
        <v>23</v>
      </c>
      <c r="K3128" s="59" t="s">
        <v>16</v>
      </c>
    </row>
    <row r="3129" spans="1:11" x14ac:dyDescent="0.2">
      <c r="A3129" t="s">
        <v>3168</v>
      </c>
      <c r="B3129">
        <v>2024</v>
      </c>
      <c r="C3129" t="s">
        <v>33</v>
      </c>
      <c r="D3129">
        <v>37</v>
      </c>
      <c r="E3129" t="s">
        <v>38</v>
      </c>
      <c r="F3129" t="s">
        <v>39</v>
      </c>
      <c r="G3129" t="s">
        <v>15</v>
      </c>
      <c r="H3129">
        <v>-2.6063069950516442</v>
      </c>
      <c r="I3129">
        <v>3</v>
      </c>
      <c r="J3129" t="s">
        <v>23</v>
      </c>
      <c r="K3129" s="59" t="s">
        <v>4376</v>
      </c>
    </row>
    <row r="3130" spans="1:11" x14ac:dyDescent="0.2">
      <c r="A3130" t="s">
        <v>3169</v>
      </c>
      <c r="B3130">
        <v>2023</v>
      </c>
      <c r="C3130" t="s">
        <v>19</v>
      </c>
      <c r="D3130">
        <v>68</v>
      </c>
      <c r="E3130" t="s">
        <v>25</v>
      </c>
      <c r="F3130" t="s">
        <v>26</v>
      </c>
      <c r="G3130" t="s">
        <v>15</v>
      </c>
      <c r="H3130">
        <v>0.50515686885300926</v>
      </c>
      <c r="I3130">
        <v>2</v>
      </c>
      <c r="J3130" t="s">
        <v>23</v>
      </c>
      <c r="K3130" s="59" t="s">
        <v>17</v>
      </c>
    </row>
    <row r="3131" spans="1:11" x14ac:dyDescent="0.2">
      <c r="A3131" t="s">
        <v>3170</v>
      </c>
      <c r="B3131">
        <v>2021</v>
      </c>
      <c r="C3131" t="s">
        <v>33</v>
      </c>
      <c r="D3131">
        <v>108</v>
      </c>
      <c r="E3131" t="s">
        <v>38</v>
      </c>
      <c r="F3131" t="s">
        <v>39</v>
      </c>
      <c r="G3131" t="s">
        <v>15</v>
      </c>
      <c r="H3131">
        <v>0.55390524409203035</v>
      </c>
      <c r="I3131">
        <v>3</v>
      </c>
      <c r="J3131" t="s">
        <v>23</v>
      </c>
      <c r="K3131" s="59" t="s">
        <v>4376</v>
      </c>
    </row>
    <row r="3132" spans="1:11" x14ac:dyDescent="0.2">
      <c r="A3132" t="s">
        <v>3171</v>
      </c>
      <c r="B3132">
        <v>2024</v>
      </c>
      <c r="C3132" t="s">
        <v>19</v>
      </c>
      <c r="D3132">
        <v>88</v>
      </c>
      <c r="E3132" t="s">
        <v>25</v>
      </c>
      <c r="F3132" t="s">
        <v>26</v>
      </c>
      <c r="G3132" t="s">
        <v>15</v>
      </c>
      <c r="H3132">
        <v>-2.0364825574021581</v>
      </c>
      <c r="I3132">
        <v>2</v>
      </c>
      <c r="J3132" t="s">
        <v>16</v>
      </c>
      <c r="K3132" s="59" t="s">
        <v>16</v>
      </c>
    </row>
    <row r="3133" spans="1:11" x14ac:dyDescent="0.2">
      <c r="A3133" t="s">
        <v>3172</v>
      </c>
      <c r="B3133">
        <v>2021</v>
      </c>
      <c r="C3133" t="s">
        <v>19</v>
      </c>
      <c r="D3133">
        <v>159</v>
      </c>
      <c r="E3133" t="s">
        <v>20</v>
      </c>
      <c r="F3133" t="s">
        <v>21</v>
      </c>
      <c r="G3133" t="s">
        <v>15</v>
      </c>
      <c r="H3133">
        <v>-0.28123464259773068</v>
      </c>
      <c r="I3133">
        <v>3</v>
      </c>
      <c r="J3133" t="s">
        <v>23</v>
      </c>
      <c r="K3133" s="59" t="s">
        <v>16</v>
      </c>
    </row>
    <row r="3134" spans="1:11" x14ac:dyDescent="0.2">
      <c r="A3134" t="s">
        <v>3173</v>
      </c>
      <c r="B3134">
        <v>2021</v>
      </c>
      <c r="C3134" t="s">
        <v>33</v>
      </c>
      <c r="D3134">
        <v>108</v>
      </c>
      <c r="E3134" t="s">
        <v>38</v>
      </c>
      <c r="F3134" t="s">
        <v>39</v>
      </c>
      <c r="G3134" t="s">
        <v>15</v>
      </c>
      <c r="H3134">
        <v>0.55390524409203035</v>
      </c>
      <c r="I3134">
        <v>3</v>
      </c>
      <c r="J3134" t="s">
        <v>23</v>
      </c>
      <c r="K3134" s="59" t="s">
        <v>4376</v>
      </c>
    </row>
    <row r="3135" spans="1:11" x14ac:dyDescent="0.2">
      <c r="A3135" t="s">
        <v>3174</v>
      </c>
      <c r="B3135">
        <v>2024</v>
      </c>
      <c r="C3135" t="s">
        <v>33</v>
      </c>
      <c r="D3135">
        <v>36</v>
      </c>
      <c r="E3135" t="s">
        <v>38</v>
      </c>
      <c r="F3135" t="s">
        <v>39</v>
      </c>
      <c r="G3135" t="s">
        <v>15</v>
      </c>
      <c r="H3135">
        <v>-2.712235896922381</v>
      </c>
      <c r="I3135">
        <v>3</v>
      </c>
      <c r="J3135" t="s">
        <v>23</v>
      </c>
      <c r="K3135" s="59" t="s">
        <v>4376</v>
      </c>
    </row>
    <row r="3136" spans="1:11" x14ac:dyDescent="0.2">
      <c r="A3136" t="s">
        <v>3175</v>
      </c>
      <c r="B3136">
        <v>2024</v>
      </c>
      <c r="C3136" t="s">
        <v>33</v>
      </c>
      <c r="D3136">
        <v>36</v>
      </c>
      <c r="E3136" t="s">
        <v>38</v>
      </c>
      <c r="F3136" t="s">
        <v>39</v>
      </c>
      <c r="G3136" t="s">
        <v>15</v>
      </c>
      <c r="H3136">
        <v>-2.712235896922381</v>
      </c>
      <c r="I3136">
        <v>3</v>
      </c>
      <c r="J3136" t="s">
        <v>23</v>
      </c>
      <c r="K3136" s="59" t="s">
        <v>4376</v>
      </c>
    </row>
    <row r="3137" spans="1:11" x14ac:dyDescent="0.2">
      <c r="A3137" t="s">
        <v>3176</v>
      </c>
      <c r="B3137">
        <v>2021</v>
      </c>
      <c r="C3137" t="s">
        <v>19</v>
      </c>
      <c r="D3137">
        <v>73</v>
      </c>
      <c r="E3137" t="s">
        <v>53</v>
      </c>
      <c r="F3137" t="s">
        <v>54</v>
      </c>
      <c r="G3137" t="s">
        <v>15</v>
      </c>
      <c r="H3137">
        <v>0.54470484651170803</v>
      </c>
      <c r="I3137">
        <v>3</v>
      </c>
      <c r="J3137" t="s">
        <v>16</v>
      </c>
      <c r="K3137" s="59" t="s">
        <v>17</v>
      </c>
    </row>
    <row r="3138" spans="1:11" x14ac:dyDescent="0.2">
      <c r="A3138" t="s">
        <v>3177</v>
      </c>
      <c r="B3138">
        <v>2020</v>
      </c>
      <c r="C3138" t="s">
        <v>12</v>
      </c>
      <c r="D3138">
        <v>69</v>
      </c>
      <c r="E3138" t="s">
        <v>25</v>
      </c>
      <c r="F3138" t="s">
        <v>26</v>
      </c>
      <c r="G3138" t="s">
        <v>15</v>
      </c>
      <c r="H3138">
        <v>-0.89879633803079739</v>
      </c>
      <c r="I3138">
        <v>2</v>
      </c>
      <c r="J3138" t="s">
        <v>23</v>
      </c>
      <c r="K3138" s="59" t="s">
        <v>17</v>
      </c>
    </row>
    <row r="3139" spans="1:11" x14ac:dyDescent="0.2">
      <c r="A3139" t="s">
        <v>3178</v>
      </c>
      <c r="B3139">
        <v>2021</v>
      </c>
      <c r="C3139" t="s">
        <v>33</v>
      </c>
      <c r="D3139">
        <v>382</v>
      </c>
      <c r="E3139" t="s">
        <v>29</v>
      </c>
      <c r="F3139" t="s">
        <v>30</v>
      </c>
      <c r="G3139" t="s">
        <v>15</v>
      </c>
      <c r="H3139">
        <v>-0.1911280323988247</v>
      </c>
      <c r="I3139">
        <v>4</v>
      </c>
      <c r="J3139" t="s">
        <v>17</v>
      </c>
      <c r="K3139" s="59" t="s">
        <v>4376</v>
      </c>
    </row>
    <row r="3140" spans="1:11" x14ac:dyDescent="0.2">
      <c r="A3140" t="s">
        <v>3179</v>
      </c>
      <c r="B3140">
        <v>2025</v>
      </c>
      <c r="C3140" t="s">
        <v>19</v>
      </c>
      <c r="D3140">
        <v>299</v>
      </c>
      <c r="E3140" t="s">
        <v>25</v>
      </c>
      <c r="F3140" t="s">
        <v>26</v>
      </c>
      <c r="G3140" t="s">
        <v>15</v>
      </c>
      <c r="H3140">
        <v>3.5507041639209133E-2</v>
      </c>
      <c r="I3140">
        <v>2</v>
      </c>
      <c r="J3140" t="s">
        <v>23</v>
      </c>
      <c r="K3140" s="59" t="s">
        <v>16</v>
      </c>
    </row>
    <row r="3141" spans="1:11" x14ac:dyDescent="0.2">
      <c r="A3141" t="s">
        <v>3180</v>
      </c>
      <c r="B3141">
        <v>2021</v>
      </c>
      <c r="C3141" t="s">
        <v>33</v>
      </c>
      <c r="D3141">
        <v>304</v>
      </c>
      <c r="E3141" t="s">
        <v>29</v>
      </c>
      <c r="F3141" t="s">
        <v>30</v>
      </c>
      <c r="G3141" t="s">
        <v>15</v>
      </c>
      <c r="H3141">
        <v>0.51773299692770136</v>
      </c>
      <c r="I3141">
        <v>4</v>
      </c>
      <c r="J3141" t="s">
        <v>23</v>
      </c>
      <c r="K3141" s="59" t="s">
        <v>17</v>
      </c>
    </row>
    <row r="3142" spans="1:11" x14ac:dyDescent="0.2">
      <c r="A3142" t="s">
        <v>3181</v>
      </c>
      <c r="B3142">
        <v>2024</v>
      </c>
      <c r="C3142" t="s">
        <v>33</v>
      </c>
      <c r="D3142">
        <v>38</v>
      </c>
      <c r="E3142" t="s">
        <v>38</v>
      </c>
      <c r="F3142" t="s">
        <v>39</v>
      </c>
      <c r="G3142" t="s">
        <v>15</v>
      </c>
      <c r="H3142">
        <v>-2.505953298542523</v>
      </c>
      <c r="I3142">
        <v>3</v>
      </c>
      <c r="J3142" t="s">
        <v>23</v>
      </c>
      <c r="K3142" s="59" t="s">
        <v>4376</v>
      </c>
    </row>
    <row r="3143" spans="1:11" x14ac:dyDescent="0.2">
      <c r="A3143" t="s">
        <v>3182</v>
      </c>
      <c r="B3143">
        <v>2023</v>
      </c>
      <c r="C3143" t="s">
        <v>33</v>
      </c>
      <c r="D3143">
        <v>49</v>
      </c>
      <c r="E3143" t="s">
        <v>20</v>
      </c>
      <c r="F3143" t="s">
        <v>21</v>
      </c>
      <c r="G3143" t="s">
        <v>167</v>
      </c>
      <c r="H3143">
        <v>0.24728791248659579</v>
      </c>
      <c r="I3143">
        <v>3</v>
      </c>
      <c r="J3143" t="s">
        <v>17</v>
      </c>
      <c r="K3143" s="59" t="s">
        <v>4376</v>
      </c>
    </row>
    <row r="3144" spans="1:11" x14ac:dyDescent="0.2">
      <c r="A3144" t="s">
        <v>3183</v>
      </c>
      <c r="B3144">
        <v>2022</v>
      </c>
      <c r="C3144" t="s">
        <v>33</v>
      </c>
      <c r="D3144">
        <v>86</v>
      </c>
      <c r="E3144" t="s">
        <v>20</v>
      </c>
      <c r="F3144" t="s">
        <v>21</v>
      </c>
      <c r="G3144" t="s">
        <v>15</v>
      </c>
      <c r="H3144">
        <v>-1.0325061672578271</v>
      </c>
      <c r="I3144">
        <v>3</v>
      </c>
      <c r="J3144" t="s">
        <v>17</v>
      </c>
      <c r="K3144" s="59" t="s">
        <v>4376</v>
      </c>
    </row>
    <row r="3145" spans="1:11" x14ac:dyDescent="0.2">
      <c r="A3145" t="s">
        <v>3184</v>
      </c>
      <c r="B3145">
        <v>2024</v>
      </c>
      <c r="C3145" t="s">
        <v>33</v>
      </c>
      <c r="D3145">
        <v>36</v>
      </c>
      <c r="E3145" t="s">
        <v>38</v>
      </c>
      <c r="F3145" t="s">
        <v>39</v>
      </c>
      <c r="G3145" t="s">
        <v>15</v>
      </c>
      <c r="H3145">
        <v>-2.712235896922381</v>
      </c>
      <c r="I3145">
        <v>3</v>
      </c>
      <c r="J3145" t="s">
        <v>23</v>
      </c>
      <c r="K3145" s="59" t="s">
        <v>4376</v>
      </c>
    </row>
    <row r="3146" spans="1:11" x14ac:dyDescent="0.2">
      <c r="A3146" t="s">
        <v>3185</v>
      </c>
      <c r="B3146">
        <v>2021</v>
      </c>
      <c r="C3146" t="s">
        <v>33</v>
      </c>
      <c r="D3146">
        <v>108</v>
      </c>
      <c r="E3146" t="s">
        <v>38</v>
      </c>
      <c r="F3146" t="s">
        <v>39</v>
      </c>
      <c r="G3146" t="s">
        <v>15</v>
      </c>
      <c r="H3146">
        <v>0.55390524409203035</v>
      </c>
      <c r="I3146">
        <v>3</v>
      </c>
      <c r="J3146" t="s">
        <v>23</v>
      </c>
      <c r="K3146" s="59" t="s">
        <v>4376</v>
      </c>
    </row>
    <row r="3147" spans="1:11" x14ac:dyDescent="0.2">
      <c r="A3147" t="s">
        <v>3186</v>
      </c>
      <c r="B3147">
        <v>2020</v>
      </c>
      <c r="C3147" t="s">
        <v>19</v>
      </c>
      <c r="D3147">
        <v>69</v>
      </c>
      <c r="E3147" t="s">
        <v>25</v>
      </c>
      <c r="F3147" t="s">
        <v>26</v>
      </c>
      <c r="G3147" t="s">
        <v>15</v>
      </c>
      <c r="H3147">
        <v>-0.89879633803079739</v>
      </c>
      <c r="I3147">
        <v>2</v>
      </c>
      <c r="J3147" t="s">
        <v>23</v>
      </c>
      <c r="K3147" s="59" t="s">
        <v>16</v>
      </c>
    </row>
    <row r="3148" spans="1:11" x14ac:dyDescent="0.2">
      <c r="A3148" t="s">
        <v>3187</v>
      </c>
      <c r="B3148">
        <v>2021</v>
      </c>
      <c r="C3148" t="s">
        <v>12</v>
      </c>
      <c r="D3148">
        <v>304</v>
      </c>
      <c r="E3148" t="s">
        <v>29</v>
      </c>
      <c r="F3148" t="s">
        <v>30</v>
      </c>
      <c r="G3148" t="s">
        <v>15</v>
      </c>
      <c r="H3148">
        <v>0.51773299692770136</v>
      </c>
      <c r="I3148">
        <v>4</v>
      </c>
      <c r="J3148" t="s">
        <v>23</v>
      </c>
      <c r="K3148" s="59" t="s">
        <v>17</v>
      </c>
    </row>
    <row r="3149" spans="1:11" x14ac:dyDescent="0.2">
      <c r="A3149" t="s">
        <v>3188</v>
      </c>
      <c r="B3149">
        <v>2021</v>
      </c>
      <c r="C3149" t="s">
        <v>19</v>
      </c>
      <c r="D3149">
        <v>364</v>
      </c>
      <c r="E3149" t="s">
        <v>38</v>
      </c>
      <c r="F3149" t="s">
        <v>39</v>
      </c>
      <c r="G3149" t="s">
        <v>15</v>
      </c>
      <c r="H3149">
        <v>0.67461046017299775</v>
      </c>
      <c r="I3149">
        <v>3</v>
      </c>
      <c r="J3149" t="s">
        <v>16</v>
      </c>
      <c r="K3149" s="59" t="s">
        <v>16</v>
      </c>
    </row>
    <row r="3150" spans="1:11" x14ac:dyDescent="0.2">
      <c r="A3150" t="s">
        <v>3189</v>
      </c>
      <c r="B3150">
        <v>2021</v>
      </c>
      <c r="C3150" t="s">
        <v>33</v>
      </c>
      <c r="D3150">
        <v>237</v>
      </c>
      <c r="E3150" t="s">
        <v>13</v>
      </c>
      <c r="F3150" t="s">
        <v>14</v>
      </c>
      <c r="G3150" t="s">
        <v>15</v>
      </c>
      <c r="H3150">
        <v>0.58555947541463693</v>
      </c>
      <c r="I3150">
        <v>4</v>
      </c>
      <c r="J3150" t="s">
        <v>23</v>
      </c>
      <c r="K3150" s="59" t="s">
        <v>4376</v>
      </c>
    </row>
    <row r="3151" spans="1:11" x14ac:dyDescent="0.2">
      <c r="A3151" t="s">
        <v>3190</v>
      </c>
      <c r="B3151">
        <v>2021</v>
      </c>
      <c r="C3151" t="s">
        <v>19</v>
      </c>
      <c r="D3151">
        <v>399</v>
      </c>
      <c r="E3151" t="s">
        <v>29</v>
      </c>
      <c r="F3151" t="s">
        <v>30</v>
      </c>
      <c r="G3151" t="s">
        <v>15</v>
      </c>
      <c r="H3151">
        <v>0.20729434749458239</v>
      </c>
      <c r="I3151">
        <v>4</v>
      </c>
      <c r="J3151" t="s">
        <v>23</v>
      </c>
      <c r="K3151" s="59" t="s">
        <v>17</v>
      </c>
    </row>
    <row r="3152" spans="1:11" x14ac:dyDescent="0.2">
      <c r="A3152" t="s">
        <v>3191</v>
      </c>
      <c r="B3152">
        <v>2020</v>
      </c>
      <c r="C3152" t="s">
        <v>19</v>
      </c>
      <c r="D3152">
        <v>71</v>
      </c>
      <c r="E3152" t="s">
        <v>25</v>
      </c>
      <c r="F3152" t="s">
        <v>26</v>
      </c>
      <c r="G3152" t="s">
        <v>15</v>
      </c>
      <c r="H3152">
        <v>0.52550401677886149</v>
      </c>
      <c r="I3152">
        <v>2</v>
      </c>
      <c r="J3152" t="s">
        <v>23</v>
      </c>
      <c r="K3152" s="59" t="s">
        <v>16</v>
      </c>
    </row>
    <row r="3153" spans="1:11" x14ac:dyDescent="0.2">
      <c r="A3153" t="s">
        <v>3192</v>
      </c>
      <c r="B3153">
        <v>2018</v>
      </c>
      <c r="C3153" t="s">
        <v>33</v>
      </c>
      <c r="D3153">
        <v>361</v>
      </c>
      <c r="E3153" t="s">
        <v>20</v>
      </c>
      <c r="F3153" t="s">
        <v>21</v>
      </c>
      <c r="G3153" t="s">
        <v>48</v>
      </c>
      <c r="H3153">
        <v>1.339619197451553</v>
      </c>
      <c r="I3153">
        <v>3</v>
      </c>
      <c r="J3153" t="s">
        <v>23</v>
      </c>
      <c r="K3153" s="59" t="s">
        <v>23</v>
      </c>
    </row>
    <row r="3154" spans="1:11" x14ac:dyDescent="0.2">
      <c r="A3154" t="s">
        <v>3193</v>
      </c>
      <c r="B3154">
        <v>2024</v>
      </c>
      <c r="C3154" t="s">
        <v>12</v>
      </c>
      <c r="D3154">
        <v>36</v>
      </c>
      <c r="E3154" t="s">
        <v>38</v>
      </c>
      <c r="F3154" t="s">
        <v>39</v>
      </c>
      <c r="G3154" t="s">
        <v>15</v>
      </c>
      <c r="H3154">
        <v>-2.712235896922381</v>
      </c>
      <c r="I3154">
        <v>3</v>
      </c>
      <c r="J3154" t="s">
        <v>23</v>
      </c>
      <c r="K3154" s="59" t="s">
        <v>23</v>
      </c>
    </row>
    <row r="3155" spans="1:11" x14ac:dyDescent="0.2">
      <c r="A3155" t="s">
        <v>3194</v>
      </c>
      <c r="B3155">
        <v>2024</v>
      </c>
      <c r="C3155" t="s">
        <v>12</v>
      </c>
      <c r="D3155">
        <v>36</v>
      </c>
      <c r="E3155" t="s">
        <v>38</v>
      </c>
      <c r="F3155" t="s">
        <v>39</v>
      </c>
      <c r="G3155" t="s">
        <v>15</v>
      </c>
      <c r="H3155">
        <v>-2.712235896922381</v>
      </c>
      <c r="I3155">
        <v>3</v>
      </c>
      <c r="J3155" t="s">
        <v>23</v>
      </c>
      <c r="K3155" s="59" t="s">
        <v>23</v>
      </c>
    </row>
    <row r="3156" spans="1:11" x14ac:dyDescent="0.2">
      <c r="A3156" t="s">
        <v>3195</v>
      </c>
      <c r="B3156">
        <v>2024</v>
      </c>
      <c r="C3156" t="s">
        <v>19</v>
      </c>
      <c r="D3156">
        <v>36</v>
      </c>
      <c r="E3156" t="s">
        <v>38</v>
      </c>
      <c r="F3156" t="s">
        <v>39</v>
      </c>
      <c r="G3156" t="s">
        <v>15</v>
      </c>
      <c r="H3156">
        <v>-2.712235896922381</v>
      </c>
      <c r="I3156">
        <v>3</v>
      </c>
      <c r="J3156" t="s">
        <v>23</v>
      </c>
      <c r="K3156" s="59" t="s">
        <v>17</v>
      </c>
    </row>
    <row r="3157" spans="1:11" x14ac:dyDescent="0.2">
      <c r="A3157" t="s">
        <v>3196</v>
      </c>
      <c r="B3157">
        <v>2024</v>
      </c>
      <c r="C3157" t="s">
        <v>33</v>
      </c>
      <c r="D3157">
        <v>36</v>
      </c>
      <c r="E3157" t="s">
        <v>38</v>
      </c>
      <c r="F3157" t="s">
        <v>39</v>
      </c>
      <c r="G3157" t="s">
        <v>15</v>
      </c>
      <c r="H3157">
        <v>-2.712235896922381</v>
      </c>
      <c r="I3157">
        <v>3</v>
      </c>
      <c r="J3157" t="s">
        <v>23</v>
      </c>
      <c r="K3157" s="59" t="s">
        <v>4376</v>
      </c>
    </row>
    <row r="3158" spans="1:11" x14ac:dyDescent="0.2">
      <c r="A3158" t="s">
        <v>3197</v>
      </c>
      <c r="B3158">
        <v>2021</v>
      </c>
      <c r="C3158" t="s">
        <v>19</v>
      </c>
      <c r="D3158">
        <v>65</v>
      </c>
      <c r="E3158" t="s">
        <v>25</v>
      </c>
      <c r="F3158" t="s">
        <v>26</v>
      </c>
      <c r="G3158" t="s">
        <v>15</v>
      </c>
      <c r="H3158">
        <v>0.46058692577733279</v>
      </c>
      <c r="I3158">
        <v>2</v>
      </c>
      <c r="J3158" t="s">
        <v>16</v>
      </c>
      <c r="K3158" s="59" t="s">
        <v>23</v>
      </c>
    </row>
    <row r="3159" spans="1:11" x14ac:dyDescent="0.2">
      <c r="A3159" t="s">
        <v>3198</v>
      </c>
      <c r="B3159">
        <v>2021</v>
      </c>
      <c r="C3159" t="s">
        <v>19</v>
      </c>
      <c r="D3159">
        <v>71</v>
      </c>
      <c r="E3159" t="s">
        <v>53</v>
      </c>
      <c r="F3159" t="s">
        <v>54</v>
      </c>
      <c r="G3159" t="s">
        <v>15</v>
      </c>
      <c r="H3159">
        <v>1.207133472294913</v>
      </c>
      <c r="I3159">
        <v>3</v>
      </c>
      <c r="J3159" t="s">
        <v>16</v>
      </c>
      <c r="K3159" s="59" t="s">
        <v>17</v>
      </c>
    </row>
    <row r="3160" spans="1:11" x14ac:dyDescent="0.2">
      <c r="A3160" t="s">
        <v>3199</v>
      </c>
      <c r="B3160">
        <v>2024</v>
      </c>
      <c r="C3160" t="s">
        <v>19</v>
      </c>
      <c r="D3160">
        <v>58</v>
      </c>
      <c r="E3160" t="s">
        <v>25</v>
      </c>
      <c r="F3160" t="s">
        <v>26</v>
      </c>
      <c r="G3160" t="s">
        <v>15</v>
      </c>
      <c r="H3160">
        <v>-3.821491378776332</v>
      </c>
      <c r="I3160">
        <v>2</v>
      </c>
      <c r="J3160" t="s">
        <v>16</v>
      </c>
      <c r="K3160" s="59" t="s">
        <v>16</v>
      </c>
    </row>
    <row r="3161" spans="1:11" x14ac:dyDescent="0.2">
      <c r="A3161" t="s">
        <v>3200</v>
      </c>
      <c r="B3161">
        <v>2024</v>
      </c>
      <c r="C3161" t="s">
        <v>33</v>
      </c>
      <c r="D3161">
        <v>36</v>
      </c>
      <c r="E3161" t="s">
        <v>38</v>
      </c>
      <c r="F3161" t="s">
        <v>39</v>
      </c>
      <c r="G3161" t="s">
        <v>15</v>
      </c>
      <c r="H3161">
        <v>-2.712235896922381</v>
      </c>
      <c r="I3161">
        <v>3</v>
      </c>
      <c r="J3161" t="s">
        <v>23</v>
      </c>
      <c r="K3161" s="59" t="s">
        <v>4376</v>
      </c>
    </row>
    <row r="3162" spans="1:11" x14ac:dyDescent="0.2">
      <c r="A3162" t="s">
        <v>3201</v>
      </c>
      <c r="B3162">
        <v>2021</v>
      </c>
      <c r="C3162" t="s">
        <v>19</v>
      </c>
      <c r="D3162">
        <v>70</v>
      </c>
      <c r="E3162" t="s">
        <v>53</v>
      </c>
      <c r="F3162" t="s">
        <v>54</v>
      </c>
      <c r="G3162" t="s">
        <v>15</v>
      </c>
      <c r="H3162">
        <v>1.207133472294913</v>
      </c>
      <c r="I3162">
        <v>3</v>
      </c>
      <c r="J3162" t="s">
        <v>16</v>
      </c>
      <c r="K3162" s="59" t="s">
        <v>17</v>
      </c>
    </row>
    <row r="3163" spans="1:11" x14ac:dyDescent="0.2">
      <c r="A3163" t="s">
        <v>3202</v>
      </c>
      <c r="B3163">
        <v>2024</v>
      </c>
      <c r="C3163" t="s">
        <v>33</v>
      </c>
      <c r="D3163">
        <v>36</v>
      </c>
      <c r="E3163" t="s">
        <v>38</v>
      </c>
      <c r="F3163" t="s">
        <v>39</v>
      </c>
      <c r="G3163" t="s">
        <v>15</v>
      </c>
      <c r="H3163">
        <v>-2.712235896922381</v>
      </c>
      <c r="I3163">
        <v>3</v>
      </c>
      <c r="J3163" t="s">
        <v>23</v>
      </c>
      <c r="K3163" s="59" t="s">
        <v>4376</v>
      </c>
    </row>
    <row r="3164" spans="1:11" x14ac:dyDescent="0.2">
      <c r="A3164" t="s">
        <v>3203</v>
      </c>
      <c r="B3164">
        <v>2024</v>
      </c>
      <c r="C3164" t="s">
        <v>19</v>
      </c>
      <c r="D3164">
        <v>166</v>
      </c>
      <c r="E3164" t="s">
        <v>25</v>
      </c>
      <c r="F3164" t="s">
        <v>26</v>
      </c>
      <c r="G3164" t="s">
        <v>15</v>
      </c>
      <c r="H3164">
        <v>1.777223562362882</v>
      </c>
      <c r="I3164">
        <v>2</v>
      </c>
      <c r="J3164" t="s">
        <v>17</v>
      </c>
      <c r="K3164" s="59" t="s">
        <v>16</v>
      </c>
    </row>
    <row r="3165" spans="1:11" x14ac:dyDescent="0.2">
      <c r="A3165" t="s">
        <v>3204</v>
      </c>
      <c r="B3165">
        <v>2021</v>
      </c>
      <c r="C3165" t="s">
        <v>19</v>
      </c>
      <c r="D3165">
        <v>73</v>
      </c>
      <c r="E3165" t="s">
        <v>25</v>
      </c>
      <c r="F3165" t="s">
        <v>26</v>
      </c>
      <c r="G3165" t="s">
        <v>48</v>
      </c>
      <c r="H3165">
        <v>-1.405779440516616</v>
      </c>
      <c r="I3165">
        <v>2</v>
      </c>
      <c r="J3165" t="s">
        <v>23</v>
      </c>
      <c r="K3165" s="59" t="s">
        <v>17</v>
      </c>
    </row>
    <row r="3166" spans="1:11" x14ac:dyDescent="0.2">
      <c r="A3166" t="s">
        <v>3205</v>
      </c>
      <c r="B3166">
        <v>2021</v>
      </c>
      <c r="C3166" t="s">
        <v>33</v>
      </c>
      <c r="D3166">
        <v>71</v>
      </c>
      <c r="E3166" t="s">
        <v>53</v>
      </c>
      <c r="F3166" t="s">
        <v>54</v>
      </c>
      <c r="G3166" t="s">
        <v>15</v>
      </c>
      <c r="H3166">
        <v>0.52550401677886149</v>
      </c>
      <c r="I3166">
        <v>3</v>
      </c>
      <c r="J3166" t="s">
        <v>16</v>
      </c>
      <c r="K3166" s="59" t="s">
        <v>4376</v>
      </c>
    </row>
    <row r="3167" spans="1:11" x14ac:dyDescent="0.2">
      <c r="A3167" t="s">
        <v>3206</v>
      </c>
      <c r="B3167">
        <v>2021</v>
      </c>
      <c r="C3167" t="s">
        <v>12</v>
      </c>
      <c r="D3167">
        <v>59</v>
      </c>
      <c r="E3167" t="s">
        <v>20</v>
      </c>
      <c r="F3167" t="s">
        <v>21</v>
      </c>
      <c r="G3167" t="s">
        <v>15</v>
      </c>
      <c r="H3167">
        <v>-2.8473865648264258</v>
      </c>
      <c r="I3167">
        <v>3</v>
      </c>
      <c r="J3167" t="s">
        <v>23</v>
      </c>
      <c r="K3167" s="59" t="s">
        <v>23</v>
      </c>
    </row>
    <row r="3168" spans="1:11" x14ac:dyDescent="0.2">
      <c r="A3168" t="s">
        <v>3207</v>
      </c>
      <c r="B3168">
        <v>2021</v>
      </c>
      <c r="C3168" t="s">
        <v>33</v>
      </c>
      <c r="D3168">
        <v>367</v>
      </c>
      <c r="E3168" t="s">
        <v>38</v>
      </c>
      <c r="F3168" t="s">
        <v>39</v>
      </c>
      <c r="G3168" t="s">
        <v>15</v>
      </c>
      <c r="H3168">
        <v>0.69029355547504967</v>
      </c>
      <c r="I3168">
        <v>3</v>
      </c>
      <c r="J3168" t="s">
        <v>23</v>
      </c>
      <c r="K3168" s="59" t="s">
        <v>4376</v>
      </c>
    </row>
    <row r="3169" spans="1:11" x14ac:dyDescent="0.2">
      <c r="A3169" t="s">
        <v>3208</v>
      </c>
      <c r="B3169">
        <v>2024</v>
      </c>
      <c r="C3169" t="s">
        <v>19</v>
      </c>
      <c r="D3169">
        <v>43</v>
      </c>
      <c r="E3169" t="s">
        <v>25</v>
      </c>
      <c r="F3169" t="s">
        <v>26</v>
      </c>
      <c r="G3169" t="s">
        <v>15</v>
      </c>
      <c r="H3169">
        <v>-0.98042152447753039</v>
      </c>
      <c r="I3169">
        <v>2</v>
      </c>
      <c r="J3169" t="s">
        <v>16</v>
      </c>
      <c r="K3169" s="59" t="s">
        <v>17</v>
      </c>
    </row>
    <row r="3170" spans="1:11" x14ac:dyDescent="0.2">
      <c r="A3170" t="s">
        <v>3209</v>
      </c>
      <c r="B3170">
        <v>2023</v>
      </c>
      <c r="C3170" t="s">
        <v>33</v>
      </c>
      <c r="D3170">
        <v>110</v>
      </c>
      <c r="E3170" t="s">
        <v>20</v>
      </c>
      <c r="F3170" t="s">
        <v>21</v>
      </c>
      <c r="G3170" t="s">
        <v>22</v>
      </c>
      <c r="H3170">
        <v>0.77956590474393506</v>
      </c>
      <c r="I3170">
        <v>3</v>
      </c>
      <c r="J3170" t="s">
        <v>17</v>
      </c>
      <c r="K3170" s="59" t="s">
        <v>4376</v>
      </c>
    </row>
    <row r="3171" spans="1:11" x14ac:dyDescent="0.2">
      <c r="A3171" t="s">
        <v>3210</v>
      </c>
      <c r="B3171">
        <v>2024</v>
      </c>
      <c r="C3171" t="s">
        <v>19</v>
      </c>
      <c r="D3171">
        <v>57</v>
      </c>
      <c r="E3171" t="s">
        <v>25</v>
      </c>
      <c r="F3171" t="s">
        <v>26</v>
      </c>
      <c r="G3171" t="s">
        <v>15</v>
      </c>
      <c r="H3171">
        <v>-2.712235896922381</v>
      </c>
      <c r="I3171">
        <v>2</v>
      </c>
      <c r="J3171" t="s">
        <v>16</v>
      </c>
      <c r="K3171" s="59" t="s">
        <v>16</v>
      </c>
    </row>
    <row r="3172" spans="1:11" x14ac:dyDescent="0.2">
      <c r="A3172" t="s">
        <v>3211</v>
      </c>
      <c r="B3172">
        <v>2023</v>
      </c>
      <c r="C3172" t="s">
        <v>12</v>
      </c>
      <c r="D3172">
        <v>407</v>
      </c>
      <c r="E3172" t="s">
        <v>38</v>
      </c>
      <c r="F3172" t="s">
        <v>39</v>
      </c>
      <c r="G3172" t="s">
        <v>22</v>
      </c>
      <c r="H3172">
        <v>0.1593812646823688</v>
      </c>
      <c r="I3172">
        <v>3</v>
      </c>
      <c r="J3172" t="s">
        <v>16</v>
      </c>
      <c r="K3172" s="59" t="s">
        <v>4376</v>
      </c>
    </row>
    <row r="3173" spans="1:11" x14ac:dyDescent="0.2">
      <c r="A3173" t="s">
        <v>3212</v>
      </c>
      <c r="B3173">
        <v>2021</v>
      </c>
      <c r="C3173" t="s">
        <v>33</v>
      </c>
      <c r="D3173">
        <v>368</v>
      </c>
      <c r="E3173" t="s">
        <v>38</v>
      </c>
      <c r="F3173" t="s">
        <v>39</v>
      </c>
      <c r="G3173" t="s">
        <v>15</v>
      </c>
      <c r="H3173">
        <v>0.69170955524715882</v>
      </c>
      <c r="I3173">
        <v>3</v>
      </c>
      <c r="J3173" t="s">
        <v>23</v>
      </c>
      <c r="K3173" s="59" t="s">
        <v>4376</v>
      </c>
    </row>
    <row r="3174" spans="1:11" x14ac:dyDescent="0.2">
      <c r="A3174" t="s">
        <v>3213</v>
      </c>
      <c r="B3174">
        <v>2024</v>
      </c>
      <c r="C3174" t="s">
        <v>33</v>
      </c>
      <c r="D3174">
        <v>36</v>
      </c>
      <c r="E3174" t="s">
        <v>38</v>
      </c>
      <c r="F3174" t="s">
        <v>39</v>
      </c>
      <c r="G3174" t="s">
        <v>15</v>
      </c>
      <c r="H3174">
        <v>-2.712235896922381</v>
      </c>
      <c r="I3174">
        <v>3</v>
      </c>
      <c r="J3174" t="s">
        <v>23</v>
      </c>
      <c r="K3174" s="59" t="s">
        <v>4376</v>
      </c>
    </row>
    <row r="3175" spans="1:11" x14ac:dyDescent="0.2">
      <c r="A3175" t="s">
        <v>3214</v>
      </c>
      <c r="B3175">
        <v>2021</v>
      </c>
      <c r="C3175" t="s">
        <v>33</v>
      </c>
      <c r="D3175">
        <v>398</v>
      </c>
      <c r="E3175" t="s">
        <v>29</v>
      </c>
      <c r="F3175" t="s">
        <v>30</v>
      </c>
      <c r="G3175" t="s">
        <v>15</v>
      </c>
      <c r="H3175">
        <v>0.43743819565275671</v>
      </c>
      <c r="I3175">
        <v>4</v>
      </c>
      <c r="J3175" t="s">
        <v>23</v>
      </c>
      <c r="K3175" s="59" t="s">
        <v>23</v>
      </c>
    </row>
    <row r="3176" spans="1:11" x14ac:dyDescent="0.2">
      <c r="A3176" t="s">
        <v>3215</v>
      </c>
      <c r="B3176">
        <v>2021</v>
      </c>
      <c r="C3176" t="s">
        <v>33</v>
      </c>
      <c r="D3176">
        <v>72</v>
      </c>
      <c r="E3176" t="s">
        <v>53</v>
      </c>
      <c r="F3176" t="s">
        <v>54</v>
      </c>
      <c r="G3176" t="s">
        <v>15</v>
      </c>
      <c r="H3176">
        <v>0.53524158042909076</v>
      </c>
      <c r="I3176">
        <v>3</v>
      </c>
      <c r="J3176" t="s">
        <v>16</v>
      </c>
      <c r="K3176" s="59" t="s">
        <v>23</v>
      </c>
    </row>
    <row r="3177" spans="1:11" x14ac:dyDescent="0.2">
      <c r="A3177" t="s">
        <v>3216</v>
      </c>
      <c r="B3177">
        <v>2024</v>
      </c>
      <c r="C3177" t="s">
        <v>33</v>
      </c>
      <c r="D3177">
        <v>36</v>
      </c>
      <c r="E3177" t="s">
        <v>38</v>
      </c>
      <c r="F3177" t="s">
        <v>39</v>
      </c>
      <c r="G3177" t="s">
        <v>15</v>
      </c>
      <c r="H3177">
        <v>-2.712235896922381</v>
      </c>
      <c r="I3177">
        <v>3</v>
      </c>
      <c r="J3177" t="s">
        <v>23</v>
      </c>
      <c r="K3177" s="59" t="s">
        <v>4376</v>
      </c>
    </row>
    <row r="3178" spans="1:11" x14ac:dyDescent="0.2">
      <c r="A3178" t="s">
        <v>3217</v>
      </c>
      <c r="B3178">
        <v>2021</v>
      </c>
      <c r="C3178" t="s">
        <v>33</v>
      </c>
      <c r="D3178">
        <v>382</v>
      </c>
      <c r="E3178" t="s">
        <v>29</v>
      </c>
      <c r="F3178" t="s">
        <v>30</v>
      </c>
      <c r="G3178" t="s">
        <v>15</v>
      </c>
      <c r="H3178">
        <v>-0.1911280323988247</v>
      </c>
      <c r="I3178">
        <v>4</v>
      </c>
      <c r="J3178" t="s">
        <v>17</v>
      </c>
      <c r="K3178" s="59" t="s">
        <v>4376</v>
      </c>
    </row>
    <row r="3179" spans="1:11" x14ac:dyDescent="0.2">
      <c r="A3179" t="s">
        <v>3218</v>
      </c>
      <c r="B3179">
        <v>2024</v>
      </c>
      <c r="C3179" t="s">
        <v>33</v>
      </c>
      <c r="D3179">
        <v>36</v>
      </c>
      <c r="E3179" t="s">
        <v>38</v>
      </c>
      <c r="F3179" t="s">
        <v>39</v>
      </c>
      <c r="G3179" t="s">
        <v>15</v>
      </c>
      <c r="H3179">
        <v>-2.712235896922381</v>
      </c>
      <c r="I3179">
        <v>3</v>
      </c>
      <c r="J3179" t="s">
        <v>23</v>
      </c>
      <c r="K3179" s="59" t="s">
        <v>4376</v>
      </c>
    </row>
    <row r="3180" spans="1:11" x14ac:dyDescent="0.2">
      <c r="A3180" t="s">
        <v>3219</v>
      </c>
      <c r="B3180">
        <v>2021</v>
      </c>
      <c r="C3180" t="s">
        <v>19</v>
      </c>
      <c r="D3180">
        <v>312</v>
      </c>
      <c r="E3180" t="s">
        <v>38</v>
      </c>
      <c r="F3180" t="s">
        <v>39</v>
      </c>
      <c r="G3180" t="s">
        <v>15</v>
      </c>
      <c r="H3180">
        <v>0.60221472720671299</v>
      </c>
      <c r="I3180">
        <v>3</v>
      </c>
      <c r="J3180" t="s">
        <v>23</v>
      </c>
      <c r="K3180" s="59" t="s">
        <v>17</v>
      </c>
    </row>
    <row r="3181" spans="1:11" x14ac:dyDescent="0.2">
      <c r="A3181" t="s">
        <v>3220</v>
      </c>
      <c r="B3181">
        <v>2021</v>
      </c>
      <c r="C3181" t="s">
        <v>33</v>
      </c>
      <c r="D3181">
        <v>367</v>
      </c>
      <c r="E3181" t="s">
        <v>38</v>
      </c>
      <c r="F3181" t="s">
        <v>39</v>
      </c>
      <c r="G3181" t="s">
        <v>15</v>
      </c>
      <c r="H3181">
        <v>0.69029355547504967</v>
      </c>
      <c r="I3181">
        <v>3</v>
      </c>
      <c r="J3181" t="s">
        <v>23</v>
      </c>
      <c r="K3181" s="59" t="s">
        <v>4376</v>
      </c>
    </row>
    <row r="3182" spans="1:11" x14ac:dyDescent="0.2">
      <c r="A3182" t="s">
        <v>3221</v>
      </c>
      <c r="B3182">
        <v>2021</v>
      </c>
      <c r="C3182" t="s">
        <v>33</v>
      </c>
      <c r="D3182">
        <v>70</v>
      </c>
      <c r="E3182" t="s">
        <v>53</v>
      </c>
      <c r="F3182" t="s">
        <v>54</v>
      </c>
      <c r="G3182" t="s">
        <v>15</v>
      </c>
      <c r="H3182">
        <v>0.51548005419774312</v>
      </c>
      <c r="I3182">
        <v>3</v>
      </c>
      <c r="J3182" t="s">
        <v>16</v>
      </c>
      <c r="K3182" s="59" t="s">
        <v>4376</v>
      </c>
    </row>
    <row r="3183" spans="1:11" x14ac:dyDescent="0.2">
      <c r="A3183" t="s">
        <v>3222</v>
      </c>
      <c r="B3183">
        <v>2024</v>
      </c>
      <c r="C3183" t="s">
        <v>19</v>
      </c>
      <c r="D3183">
        <v>36</v>
      </c>
      <c r="E3183" t="s">
        <v>38</v>
      </c>
      <c r="F3183" t="s">
        <v>39</v>
      </c>
      <c r="G3183" t="s">
        <v>15</v>
      </c>
      <c r="H3183">
        <v>-2.712235896922381</v>
      </c>
      <c r="I3183">
        <v>3</v>
      </c>
      <c r="J3183" t="s">
        <v>23</v>
      </c>
      <c r="K3183" s="59" t="s">
        <v>17</v>
      </c>
    </row>
    <row r="3184" spans="1:11" x14ac:dyDescent="0.2">
      <c r="A3184" t="s">
        <v>3223</v>
      </c>
      <c r="B3184">
        <v>2021</v>
      </c>
      <c r="C3184" t="s">
        <v>19</v>
      </c>
      <c r="D3184">
        <v>398</v>
      </c>
      <c r="E3184" t="s">
        <v>29</v>
      </c>
      <c r="F3184" t="s">
        <v>30</v>
      </c>
      <c r="G3184" t="s">
        <v>15</v>
      </c>
      <c r="H3184">
        <v>0.43743819565275671</v>
      </c>
      <c r="I3184">
        <v>4</v>
      </c>
      <c r="J3184" t="s">
        <v>23</v>
      </c>
      <c r="K3184" s="59" t="s">
        <v>23</v>
      </c>
    </row>
    <row r="3185" spans="1:11" x14ac:dyDescent="0.2">
      <c r="A3185" t="s">
        <v>3224</v>
      </c>
      <c r="B3185">
        <v>2021</v>
      </c>
      <c r="C3185" t="s">
        <v>33</v>
      </c>
      <c r="D3185">
        <v>90</v>
      </c>
      <c r="E3185" t="s">
        <v>20</v>
      </c>
      <c r="F3185" t="s">
        <v>21</v>
      </c>
      <c r="G3185" t="s">
        <v>15</v>
      </c>
      <c r="H3185">
        <v>-1.435138012570679</v>
      </c>
      <c r="I3185">
        <v>3</v>
      </c>
      <c r="J3185" t="s">
        <v>23</v>
      </c>
      <c r="K3185" s="59" t="s">
        <v>23</v>
      </c>
    </row>
    <row r="3186" spans="1:11" x14ac:dyDescent="0.2">
      <c r="A3186" t="s">
        <v>3225</v>
      </c>
      <c r="B3186">
        <v>2018</v>
      </c>
      <c r="C3186" t="s">
        <v>33</v>
      </c>
      <c r="D3186">
        <v>320</v>
      </c>
      <c r="E3186" t="s">
        <v>13</v>
      </c>
      <c r="F3186" t="s">
        <v>14</v>
      </c>
      <c r="G3186" t="s">
        <v>15</v>
      </c>
      <c r="H3186">
        <v>0.44361995881102417</v>
      </c>
      <c r="I3186">
        <v>4</v>
      </c>
      <c r="J3186" t="s">
        <v>23</v>
      </c>
      <c r="K3186" s="59" t="s">
        <v>4376</v>
      </c>
    </row>
    <row r="3187" spans="1:11" x14ac:dyDescent="0.2">
      <c r="A3187" t="s">
        <v>3226</v>
      </c>
      <c r="B3187">
        <v>2021</v>
      </c>
      <c r="C3187" t="s">
        <v>33</v>
      </c>
      <c r="D3187">
        <v>71</v>
      </c>
      <c r="E3187" t="s">
        <v>53</v>
      </c>
      <c r="F3187" t="s">
        <v>54</v>
      </c>
      <c r="G3187" t="s">
        <v>15</v>
      </c>
      <c r="H3187">
        <v>0.52550401677886149</v>
      </c>
      <c r="I3187">
        <v>3</v>
      </c>
      <c r="J3187" t="s">
        <v>16</v>
      </c>
      <c r="K3187" s="59" t="s">
        <v>4376</v>
      </c>
    </row>
    <row r="3188" spans="1:11" x14ac:dyDescent="0.2">
      <c r="A3188" t="s">
        <v>3227</v>
      </c>
      <c r="B3188">
        <v>2021</v>
      </c>
      <c r="C3188" t="s">
        <v>33</v>
      </c>
      <c r="D3188">
        <v>367</v>
      </c>
      <c r="E3188" t="s">
        <v>38</v>
      </c>
      <c r="F3188" t="s">
        <v>39</v>
      </c>
      <c r="G3188" t="s">
        <v>15</v>
      </c>
      <c r="H3188">
        <v>0.69029355547504967</v>
      </c>
      <c r="I3188">
        <v>3</v>
      </c>
      <c r="J3188" t="s">
        <v>23</v>
      </c>
      <c r="K3188" s="59" t="s">
        <v>4376</v>
      </c>
    </row>
    <row r="3189" spans="1:11" x14ac:dyDescent="0.2">
      <c r="A3189" t="s">
        <v>3228</v>
      </c>
      <c r="B3189">
        <v>2024</v>
      </c>
      <c r="C3189" t="s">
        <v>19</v>
      </c>
      <c r="D3189">
        <v>39</v>
      </c>
      <c r="E3189" t="s">
        <v>38</v>
      </c>
      <c r="F3189" t="s">
        <v>39</v>
      </c>
      <c r="G3189" t="s">
        <v>15</v>
      </c>
      <c r="H3189">
        <v>-1.2047861395311139</v>
      </c>
      <c r="I3189">
        <v>3</v>
      </c>
      <c r="J3189" t="s">
        <v>23</v>
      </c>
      <c r="K3189" s="59" t="s">
        <v>23</v>
      </c>
    </row>
    <row r="3190" spans="1:11" x14ac:dyDescent="0.2">
      <c r="A3190" t="s">
        <v>3229</v>
      </c>
      <c r="B3190">
        <v>2024</v>
      </c>
      <c r="C3190" t="s">
        <v>33</v>
      </c>
      <c r="D3190">
        <v>36</v>
      </c>
      <c r="E3190" t="s">
        <v>38</v>
      </c>
      <c r="F3190" t="s">
        <v>39</v>
      </c>
      <c r="G3190" t="s">
        <v>15</v>
      </c>
      <c r="H3190">
        <v>-2.712235896922381</v>
      </c>
      <c r="I3190">
        <v>3</v>
      </c>
      <c r="J3190" t="s">
        <v>23</v>
      </c>
      <c r="K3190" s="59" t="s">
        <v>4376</v>
      </c>
    </row>
    <row r="3191" spans="1:11" x14ac:dyDescent="0.2">
      <c r="A3191" t="s">
        <v>3230</v>
      </c>
      <c r="B3191">
        <v>2021</v>
      </c>
      <c r="C3191" t="s">
        <v>33</v>
      </c>
      <c r="D3191">
        <v>181</v>
      </c>
      <c r="E3191" t="s">
        <v>25</v>
      </c>
      <c r="F3191" t="s">
        <v>26</v>
      </c>
      <c r="G3191" t="s">
        <v>15</v>
      </c>
      <c r="H3191">
        <v>0.1004880033394414</v>
      </c>
      <c r="I3191">
        <v>2</v>
      </c>
      <c r="J3191" t="s">
        <v>23</v>
      </c>
      <c r="K3191" s="59" t="s">
        <v>4376</v>
      </c>
    </row>
    <row r="3192" spans="1:11" x14ac:dyDescent="0.2">
      <c r="A3192" t="s">
        <v>3231</v>
      </c>
      <c r="B3192">
        <v>2024</v>
      </c>
      <c r="C3192" t="s">
        <v>12</v>
      </c>
      <c r="D3192">
        <v>115</v>
      </c>
      <c r="E3192" t="s">
        <v>25</v>
      </c>
      <c r="F3192" t="s">
        <v>26</v>
      </c>
      <c r="G3192" t="s">
        <v>15</v>
      </c>
      <c r="H3192">
        <v>-0.1443732067455335</v>
      </c>
      <c r="I3192">
        <v>2</v>
      </c>
      <c r="J3192" t="s">
        <v>23</v>
      </c>
      <c r="K3192" s="59" t="s">
        <v>23</v>
      </c>
    </row>
    <row r="3193" spans="1:11" x14ac:dyDescent="0.2">
      <c r="A3193" t="s">
        <v>3232</v>
      </c>
      <c r="B3193">
        <v>2021</v>
      </c>
      <c r="C3193" t="s">
        <v>33</v>
      </c>
      <c r="D3193">
        <v>367</v>
      </c>
      <c r="E3193" t="s">
        <v>38</v>
      </c>
      <c r="F3193" t="s">
        <v>39</v>
      </c>
      <c r="G3193" t="s">
        <v>15</v>
      </c>
      <c r="H3193">
        <v>0.69029355547504967</v>
      </c>
      <c r="I3193">
        <v>3</v>
      </c>
      <c r="J3193" t="s">
        <v>23</v>
      </c>
      <c r="K3193" s="59" t="s">
        <v>4376</v>
      </c>
    </row>
    <row r="3194" spans="1:11" x14ac:dyDescent="0.2">
      <c r="A3194" t="s">
        <v>3233</v>
      </c>
      <c r="B3194">
        <v>2021</v>
      </c>
      <c r="C3194" t="s">
        <v>12</v>
      </c>
      <c r="D3194">
        <v>367</v>
      </c>
      <c r="E3194" t="s">
        <v>38</v>
      </c>
      <c r="F3194" t="s">
        <v>39</v>
      </c>
      <c r="G3194" t="s">
        <v>15</v>
      </c>
      <c r="H3194">
        <v>0.69029355547504967</v>
      </c>
      <c r="I3194">
        <v>3</v>
      </c>
      <c r="J3194" t="s">
        <v>23</v>
      </c>
      <c r="K3194" s="59" t="s">
        <v>16</v>
      </c>
    </row>
    <row r="3195" spans="1:11" x14ac:dyDescent="0.2">
      <c r="A3195" t="s">
        <v>3234</v>
      </c>
      <c r="B3195">
        <v>2021</v>
      </c>
      <c r="C3195" t="s">
        <v>19</v>
      </c>
      <c r="D3195">
        <v>343</v>
      </c>
      <c r="E3195" t="s">
        <v>38</v>
      </c>
      <c r="F3195" t="s">
        <v>39</v>
      </c>
      <c r="G3195" t="s">
        <v>15</v>
      </c>
      <c r="H3195">
        <v>0.79091725609484598</v>
      </c>
      <c r="I3195">
        <v>3</v>
      </c>
      <c r="J3195" t="s">
        <v>23</v>
      </c>
      <c r="K3195" s="59" t="s">
        <v>17</v>
      </c>
    </row>
    <row r="3196" spans="1:11" x14ac:dyDescent="0.2">
      <c r="A3196" t="s">
        <v>3235</v>
      </c>
      <c r="B3196">
        <v>2024</v>
      </c>
      <c r="C3196" t="s">
        <v>19</v>
      </c>
      <c r="D3196">
        <v>37</v>
      </c>
      <c r="E3196" t="s">
        <v>38</v>
      </c>
      <c r="F3196" t="s">
        <v>39</v>
      </c>
      <c r="G3196" t="s">
        <v>15</v>
      </c>
      <c r="H3196">
        <v>-1.335160172602792</v>
      </c>
      <c r="I3196">
        <v>3</v>
      </c>
      <c r="J3196" t="s">
        <v>23</v>
      </c>
      <c r="K3196" s="59" t="s">
        <v>17</v>
      </c>
    </row>
    <row r="3197" spans="1:11" x14ac:dyDescent="0.2">
      <c r="A3197" t="s">
        <v>3236</v>
      </c>
      <c r="B3197">
        <v>2021</v>
      </c>
      <c r="C3197" t="s">
        <v>19</v>
      </c>
      <c r="D3197">
        <v>400</v>
      </c>
      <c r="E3197" t="s">
        <v>29</v>
      </c>
      <c r="F3197" t="s">
        <v>30</v>
      </c>
      <c r="G3197" t="s">
        <v>15</v>
      </c>
      <c r="H3197">
        <v>0.32951386799180349</v>
      </c>
      <c r="I3197">
        <v>4</v>
      </c>
      <c r="J3197" t="s">
        <v>23</v>
      </c>
      <c r="K3197" s="59" t="s">
        <v>17</v>
      </c>
    </row>
    <row r="3198" spans="1:11" x14ac:dyDescent="0.2">
      <c r="A3198" t="s">
        <v>3237</v>
      </c>
      <c r="B3198">
        <v>2024</v>
      </c>
      <c r="C3198" t="s">
        <v>33</v>
      </c>
      <c r="D3198">
        <v>37</v>
      </c>
      <c r="E3198" t="s">
        <v>38</v>
      </c>
      <c r="F3198" t="s">
        <v>39</v>
      </c>
      <c r="G3198" t="s">
        <v>15</v>
      </c>
      <c r="H3198">
        <v>-2.712235896922381</v>
      </c>
      <c r="I3198">
        <v>3</v>
      </c>
      <c r="J3198" t="s">
        <v>23</v>
      </c>
      <c r="K3198" s="59" t="s">
        <v>4376</v>
      </c>
    </row>
    <row r="3199" spans="1:11" x14ac:dyDescent="0.2">
      <c r="A3199" t="s">
        <v>3238</v>
      </c>
      <c r="B3199">
        <v>2024</v>
      </c>
      <c r="C3199" t="s">
        <v>19</v>
      </c>
      <c r="D3199">
        <v>185</v>
      </c>
      <c r="E3199" t="s">
        <v>29</v>
      </c>
      <c r="F3199" t="s">
        <v>30</v>
      </c>
      <c r="G3199" t="s">
        <v>15</v>
      </c>
      <c r="H3199">
        <v>0.68455088973260669</v>
      </c>
      <c r="I3199">
        <v>4</v>
      </c>
      <c r="J3199" t="s">
        <v>16</v>
      </c>
      <c r="K3199" s="59" t="s">
        <v>16</v>
      </c>
    </row>
    <row r="3200" spans="1:11" x14ac:dyDescent="0.2">
      <c r="A3200" t="s">
        <v>3239</v>
      </c>
      <c r="B3200">
        <v>2023</v>
      </c>
      <c r="C3200" t="s">
        <v>33</v>
      </c>
      <c r="D3200">
        <v>94</v>
      </c>
      <c r="E3200" t="s">
        <v>20</v>
      </c>
      <c r="F3200" t="s">
        <v>21</v>
      </c>
      <c r="G3200" t="s">
        <v>15</v>
      </c>
      <c r="H3200">
        <v>-0.37822941862444209</v>
      </c>
      <c r="I3200">
        <v>3</v>
      </c>
      <c r="J3200" t="s">
        <v>23</v>
      </c>
      <c r="K3200" s="59" t="s">
        <v>17</v>
      </c>
    </row>
    <row r="3201" spans="1:11" x14ac:dyDescent="0.2">
      <c r="A3201" t="s">
        <v>3240</v>
      </c>
      <c r="B3201">
        <v>2024</v>
      </c>
      <c r="C3201" t="s">
        <v>33</v>
      </c>
      <c r="D3201">
        <v>36</v>
      </c>
      <c r="E3201" t="s">
        <v>38</v>
      </c>
      <c r="F3201" t="s">
        <v>39</v>
      </c>
      <c r="G3201" t="s">
        <v>15</v>
      </c>
      <c r="H3201">
        <v>-2.712235896922381</v>
      </c>
      <c r="I3201">
        <v>3</v>
      </c>
      <c r="J3201" t="s">
        <v>23</v>
      </c>
      <c r="K3201" s="59" t="s">
        <v>23</v>
      </c>
    </row>
    <row r="3202" spans="1:11" x14ac:dyDescent="0.2">
      <c r="A3202" t="s">
        <v>3241</v>
      </c>
      <c r="B3202">
        <v>2021</v>
      </c>
      <c r="C3202" t="s">
        <v>33</v>
      </c>
      <c r="D3202">
        <v>367</v>
      </c>
      <c r="E3202" t="s">
        <v>38</v>
      </c>
      <c r="F3202" t="s">
        <v>39</v>
      </c>
      <c r="G3202" t="s">
        <v>15</v>
      </c>
      <c r="H3202">
        <v>0.69029355547504967</v>
      </c>
      <c r="I3202">
        <v>3</v>
      </c>
      <c r="J3202" t="s">
        <v>23</v>
      </c>
      <c r="K3202" s="59" t="s">
        <v>4376</v>
      </c>
    </row>
    <row r="3203" spans="1:11" x14ac:dyDescent="0.2">
      <c r="A3203" t="s">
        <v>3242</v>
      </c>
      <c r="B3203">
        <v>2021</v>
      </c>
      <c r="C3203" t="s">
        <v>33</v>
      </c>
      <c r="D3203">
        <v>382</v>
      </c>
      <c r="E3203" t="s">
        <v>29</v>
      </c>
      <c r="F3203" t="s">
        <v>30</v>
      </c>
      <c r="G3203" t="s">
        <v>15</v>
      </c>
      <c r="H3203">
        <v>-0.1911280323988247</v>
      </c>
      <c r="I3203">
        <v>4</v>
      </c>
      <c r="J3203" t="s">
        <v>17</v>
      </c>
      <c r="K3203" s="59" t="s">
        <v>4376</v>
      </c>
    </row>
    <row r="3204" spans="1:11" x14ac:dyDescent="0.2">
      <c r="A3204" t="s">
        <v>3243</v>
      </c>
      <c r="B3204">
        <v>2021</v>
      </c>
      <c r="C3204" t="s">
        <v>33</v>
      </c>
      <c r="D3204">
        <v>70</v>
      </c>
      <c r="E3204" t="s">
        <v>53</v>
      </c>
      <c r="F3204" t="s">
        <v>54</v>
      </c>
      <c r="G3204" t="s">
        <v>15</v>
      </c>
      <c r="H3204">
        <v>0.51548005419774312</v>
      </c>
      <c r="I3204">
        <v>3</v>
      </c>
      <c r="J3204" t="s">
        <v>16</v>
      </c>
      <c r="K3204" s="59" t="s">
        <v>17</v>
      </c>
    </row>
    <row r="3205" spans="1:11" x14ac:dyDescent="0.2">
      <c r="A3205" t="s">
        <v>3244</v>
      </c>
      <c r="B3205">
        <v>2021</v>
      </c>
      <c r="C3205" t="s">
        <v>33</v>
      </c>
      <c r="D3205">
        <v>440</v>
      </c>
      <c r="E3205" t="s">
        <v>38</v>
      </c>
      <c r="F3205" t="s">
        <v>39</v>
      </c>
      <c r="G3205" t="s">
        <v>15</v>
      </c>
      <c r="H3205">
        <v>0.51117068710679503</v>
      </c>
      <c r="I3205">
        <v>3</v>
      </c>
      <c r="J3205" t="s">
        <v>23</v>
      </c>
      <c r="K3205" s="59" t="s">
        <v>4376</v>
      </c>
    </row>
    <row r="3206" spans="1:11" x14ac:dyDescent="0.2">
      <c r="A3206" t="s">
        <v>3245</v>
      </c>
      <c r="B3206">
        <v>2024</v>
      </c>
      <c r="C3206" t="s">
        <v>19</v>
      </c>
      <c r="D3206">
        <v>36</v>
      </c>
      <c r="E3206" t="s">
        <v>38</v>
      </c>
      <c r="F3206" t="s">
        <v>39</v>
      </c>
      <c r="G3206" t="s">
        <v>15</v>
      </c>
      <c r="H3206">
        <v>-2.712235896922381</v>
      </c>
      <c r="I3206">
        <v>3</v>
      </c>
      <c r="J3206" t="s">
        <v>23</v>
      </c>
      <c r="K3206" s="59" t="s">
        <v>17</v>
      </c>
    </row>
    <row r="3207" spans="1:11" x14ac:dyDescent="0.2">
      <c r="A3207" t="s">
        <v>3246</v>
      </c>
      <c r="B3207">
        <v>2021</v>
      </c>
      <c r="C3207" t="s">
        <v>33</v>
      </c>
      <c r="D3207">
        <v>82</v>
      </c>
      <c r="E3207" t="s">
        <v>20</v>
      </c>
      <c r="F3207" t="s">
        <v>21</v>
      </c>
      <c r="G3207" t="s">
        <v>22</v>
      </c>
      <c r="H3207">
        <v>-0.5789082655762593</v>
      </c>
      <c r="I3207">
        <v>3</v>
      </c>
      <c r="J3207" t="s">
        <v>23</v>
      </c>
      <c r="K3207" s="59" t="s">
        <v>4376</v>
      </c>
    </row>
    <row r="3208" spans="1:11" x14ac:dyDescent="0.2">
      <c r="A3208" t="s">
        <v>3247</v>
      </c>
      <c r="B3208">
        <v>2024</v>
      </c>
      <c r="C3208" t="s">
        <v>33</v>
      </c>
      <c r="D3208">
        <v>36</v>
      </c>
      <c r="E3208" t="s">
        <v>38</v>
      </c>
      <c r="F3208" t="s">
        <v>39</v>
      </c>
      <c r="G3208" t="s">
        <v>15</v>
      </c>
      <c r="H3208">
        <v>-2.712235896922381</v>
      </c>
      <c r="I3208">
        <v>3</v>
      </c>
      <c r="J3208" t="s">
        <v>23</v>
      </c>
      <c r="K3208" s="59" t="s">
        <v>4376</v>
      </c>
    </row>
    <row r="3209" spans="1:11" x14ac:dyDescent="0.2">
      <c r="A3209" t="s">
        <v>3248</v>
      </c>
      <c r="B3209">
        <v>2021</v>
      </c>
      <c r="C3209" t="s">
        <v>33</v>
      </c>
      <c r="D3209">
        <v>367</v>
      </c>
      <c r="E3209" t="s">
        <v>38</v>
      </c>
      <c r="F3209" t="s">
        <v>39</v>
      </c>
      <c r="G3209" t="s">
        <v>15</v>
      </c>
      <c r="H3209">
        <v>0.69029355547504967</v>
      </c>
      <c r="I3209">
        <v>3</v>
      </c>
      <c r="J3209" t="s">
        <v>23</v>
      </c>
      <c r="K3209" s="59" t="s">
        <v>4376</v>
      </c>
    </row>
    <row r="3210" spans="1:11" x14ac:dyDescent="0.2">
      <c r="A3210" t="s">
        <v>3249</v>
      </c>
      <c r="B3210">
        <v>2021</v>
      </c>
      <c r="C3210" t="s">
        <v>19</v>
      </c>
      <c r="D3210">
        <v>398</v>
      </c>
      <c r="E3210" t="s">
        <v>29</v>
      </c>
      <c r="F3210" t="s">
        <v>30</v>
      </c>
      <c r="G3210" t="s">
        <v>15</v>
      </c>
      <c r="H3210">
        <v>0.43743819565275671</v>
      </c>
      <c r="I3210">
        <v>4</v>
      </c>
      <c r="J3210" t="s">
        <v>23</v>
      </c>
      <c r="K3210" s="59" t="s">
        <v>23</v>
      </c>
    </row>
    <row r="3211" spans="1:11" x14ac:dyDescent="0.2">
      <c r="A3211" t="s">
        <v>3250</v>
      </c>
      <c r="B3211">
        <v>2024</v>
      </c>
      <c r="C3211" t="s">
        <v>19</v>
      </c>
      <c r="D3211">
        <v>36</v>
      </c>
      <c r="E3211" t="s">
        <v>38</v>
      </c>
      <c r="F3211" t="s">
        <v>39</v>
      </c>
      <c r="G3211" t="s">
        <v>15</v>
      </c>
      <c r="H3211">
        <v>-2.712235896922381</v>
      </c>
      <c r="I3211">
        <v>3</v>
      </c>
      <c r="J3211" t="s">
        <v>23</v>
      </c>
      <c r="K3211" s="59" t="s">
        <v>16</v>
      </c>
    </row>
    <row r="3212" spans="1:11" x14ac:dyDescent="0.2">
      <c r="A3212" t="s">
        <v>3251</v>
      </c>
      <c r="B3212">
        <v>2018</v>
      </c>
      <c r="C3212" t="s">
        <v>19</v>
      </c>
      <c r="D3212">
        <v>107</v>
      </c>
      <c r="E3212" t="s">
        <v>20</v>
      </c>
      <c r="F3212" t="s">
        <v>21</v>
      </c>
      <c r="G3212" t="s">
        <v>15</v>
      </c>
      <c r="H3212">
        <v>-0.88837094293017504</v>
      </c>
      <c r="I3212">
        <v>3</v>
      </c>
      <c r="J3212" t="s">
        <v>23</v>
      </c>
      <c r="K3212" s="59" t="s">
        <v>17</v>
      </c>
    </row>
    <row r="3213" spans="1:11" x14ac:dyDescent="0.2">
      <c r="A3213" t="s">
        <v>3252</v>
      </c>
      <c r="B3213">
        <v>2022</v>
      </c>
      <c r="C3213" t="s">
        <v>33</v>
      </c>
      <c r="D3213">
        <v>352</v>
      </c>
      <c r="E3213" t="s">
        <v>53</v>
      </c>
      <c r="F3213" t="s">
        <v>54</v>
      </c>
      <c r="G3213" t="s">
        <v>15</v>
      </c>
      <c r="H3213">
        <v>0.46280219742872031</v>
      </c>
      <c r="I3213">
        <v>3</v>
      </c>
      <c r="J3213" t="s">
        <v>16</v>
      </c>
      <c r="K3213" s="59" t="s">
        <v>4376</v>
      </c>
    </row>
    <row r="3214" spans="1:11" x14ac:dyDescent="0.2">
      <c r="A3214" t="s">
        <v>3253</v>
      </c>
      <c r="B3214">
        <v>2021</v>
      </c>
      <c r="C3214" t="s">
        <v>33</v>
      </c>
      <c r="D3214">
        <v>71</v>
      </c>
      <c r="E3214" t="s">
        <v>53</v>
      </c>
      <c r="F3214" t="s">
        <v>54</v>
      </c>
      <c r="G3214" t="s">
        <v>15</v>
      </c>
      <c r="H3214">
        <v>0.51548005419774312</v>
      </c>
      <c r="I3214">
        <v>3</v>
      </c>
      <c r="J3214" t="s">
        <v>16</v>
      </c>
      <c r="K3214" s="59" t="s">
        <v>4376</v>
      </c>
    </row>
    <row r="3215" spans="1:11" x14ac:dyDescent="0.2">
      <c r="A3215" t="s">
        <v>3254</v>
      </c>
      <c r="B3215">
        <v>2021</v>
      </c>
      <c r="C3215" t="s">
        <v>33</v>
      </c>
      <c r="D3215">
        <v>398</v>
      </c>
      <c r="E3215" t="s">
        <v>29</v>
      </c>
      <c r="F3215" t="s">
        <v>30</v>
      </c>
      <c r="G3215" t="s">
        <v>15</v>
      </c>
      <c r="H3215">
        <v>0.43743819565275671</v>
      </c>
      <c r="I3215">
        <v>4</v>
      </c>
      <c r="J3215" t="s">
        <v>23</v>
      </c>
      <c r="K3215" s="59" t="s">
        <v>4376</v>
      </c>
    </row>
    <row r="3216" spans="1:11" x14ac:dyDescent="0.2">
      <c r="A3216" t="s">
        <v>3255</v>
      </c>
      <c r="B3216">
        <v>2018</v>
      </c>
      <c r="C3216" t="s">
        <v>19</v>
      </c>
      <c r="D3216">
        <v>361</v>
      </c>
      <c r="E3216" t="s">
        <v>20</v>
      </c>
      <c r="F3216" t="s">
        <v>21</v>
      </c>
      <c r="G3216" t="s">
        <v>48</v>
      </c>
      <c r="H3216">
        <v>1.339619197451553</v>
      </c>
      <c r="I3216">
        <v>3</v>
      </c>
      <c r="J3216" t="s">
        <v>23</v>
      </c>
      <c r="K3216" s="59" t="s">
        <v>23</v>
      </c>
    </row>
    <row r="3217" spans="1:11" x14ac:dyDescent="0.2">
      <c r="A3217" t="s">
        <v>3256</v>
      </c>
      <c r="B3217">
        <v>2021</v>
      </c>
      <c r="C3217" t="s">
        <v>33</v>
      </c>
      <c r="D3217">
        <v>369</v>
      </c>
      <c r="E3217" t="s">
        <v>38</v>
      </c>
      <c r="F3217" t="s">
        <v>39</v>
      </c>
      <c r="G3217" t="s">
        <v>15</v>
      </c>
      <c r="H3217">
        <v>0.82162173106042469</v>
      </c>
      <c r="I3217">
        <v>3</v>
      </c>
      <c r="J3217" t="s">
        <v>23</v>
      </c>
      <c r="K3217" s="59" t="s">
        <v>4376</v>
      </c>
    </row>
    <row r="3218" spans="1:11" x14ac:dyDescent="0.2">
      <c r="A3218" t="s">
        <v>3257</v>
      </c>
      <c r="B3218">
        <v>2021</v>
      </c>
      <c r="C3218" t="s">
        <v>19</v>
      </c>
      <c r="D3218">
        <v>71</v>
      </c>
      <c r="E3218" t="s">
        <v>53</v>
      </c>
      <c r="F3218" t="s">
        <v>54</v>
      </c>
      <c r="G3218" t="s">
        <v>15</v>
      </c>
      <c r="H3218">
        <v>0.52550401677886149</v>
      </c>
      <c r="I3218">
        <v>3</v>
      </c>
      <c r="J3218" t="s">
        <v>16</v>
      </c>
      <c r="K3218" s="59" t="s">
        <v>23</v>
      </c>
    </row>
    <row r="3219" spans="1:11" x14ac:dyDescent="0.2">
      <c r="A3219" t="s">
        <v>3258</v>
      </c>
      <c r="B3219">
        <v>2021</v>
      </c>
      <c r="C3219" t="s">
        <v>33</v>
      </c>
      <c r="D3219">
        <v>70</v>
      </c>
      <c r="E3219" t="s">
        <v>53</v>
      </c>
      <c r="F3219" t="s">
        <v>54</v>
      </c>
      <c r="G3219" t="s">
        <v>15</v>
      </c>
      <c r="H3219">
        <v>0.51548005419774312</v>
      </c>
      <c r="I3219">
        <v>3</v>
      </c>
      <c r="J3219" t="s">
        <v>16</v>
      </c>
      <c r="K3219" s="59" t="s">
        <v>4376</v>
      </c>
    </row>
    <row r="3220" spans="1:11" x14ac:dyDescent="0.2">
      <c r="A3220" t="s">
        <v>3259</v>
      </c>
      <c r="B3220">
        <v>2024</v>
      </c>
      <c r="C3220" t="s">
        <v>12</v>
      </c>
      <c r="D3220">
        <v>37</v>
      </c>
      <c r="E3220" t="s">
        <v>38</v>
      </c>
      <c r="F3220" t="s">
        <v>39</v>
      </c>
      <c r="G3220" t="s">
        <v>15</v>
      </c>
      <c r="H3220">
        <v>-2.6063069950516442</v>
      </c>
      <c r="I3220">
        <v>3</v>
      </c>
      <c r="J3220" t="s">
        <v>23</v>
      </c>
      <c r="K3220" s="59" t="s">
        <v>23</v>
      </c>
    </row>
    <row r="3221" spans="1:11" x14ac:dyDescent="0.2">
      <c r="A3221" t="s">
        <v>3260</v>
      </c>
      <c r="B3221">
        <v>2024</v>
      </c>
      <c r="C3221" t="s">
        <v>19</v>
      </c>
      <c r="D3221">
        <v>36</v>
      </c>
      <c r="E3221" t="s">
        <v>38</v>
      </c>
      <c r="F3221" t="s">
        <v>39</v>
      </c>
      <c r="G3221" t="s">
        <v>15</v>
      </c>
      <c r="H3221">
        <v>-2.712235896922381</v>
      </c>
      <c r="I3221">
        <v>3</v>
      </c>
      <c r="J3221" t="s">
        <v>23</v>
      </c>
      <c r="K3221" s="59" t="s">
        <v>23</v>
      </c>
    </row>
    <row r="3222" spans="1:11" x14ac:dyDescent="0.2">
      <c r="A3222" t="s">
        <v>3261</v>
      </c>
      <c r="B3222">
        <v>2021</v>
      </c>
      <c r="C3222" t="s">
        <v>19</v>
      </c>
      <c r="D3222">
        <v>400</v>
      </c>
      <c r="E3222" t="s">
        <v>38</v>
      </c>
      <c r="F3222" t="s">
        <v>39</v>
      </c>
      <c r="G3222" t="s">
        <v>15</v>
      </c>
      <c r="H3222">
        <v>0.20729434749458239</v>
      </c>
      <c r="I3222">
        <v>3</v>
      </c>
      <c r="J3222" t="s">
        <v>23</v>
      </c>
      <c r="K3222" s="59" t="s">
        <v>17</v>
      </c>
    </row>
    <row r="3223" spans="1:11" x14ac:dyDescent="0.2">
      <c r="A3223" t="s">
        <v>3262</v>
      </c>
      <c r="B3223">
        <v>2021</v>
      </c>
      <c r="C3223" t="s">
        <v>12</v>
      </c>
      <c r="D3223">
        <v>400</v>
      </c>
      <c r="E3223" t="s">
        <v>38</v>
      </c>
      <c r="F3223" t="s">
        <v>39</v>
      </c>
      <c r="G3223" t="s">
        <v>15</v>
      </c>
      <c r="H3223">
        <v>0.20983846740501599</v>
      </c>
      <c r="I3223">
        <v>3</v>
      </c>
      <c r="J3223" t="s">
        <v>23</v>
      </c>
      <c r="K3223" s="59" t="s">
        <v>16</v>
      </c>
    </row>
    <row r="3224" spans="1:11" x14ac:dyDescent="0.2">
      <c r="A3224" t="s">
        <v>3263</v>
      </c>
      <c r="B3224">
        <v>2021</v>
      </c>
      <c r="C3224" t="s">
        <v>33</v>
      </c>
      <c r="D3224">
        <v>368</v>
      </c>
      <c r="E3224" t="s">
        <v>38</v>
      </c>
      <c r="F3224" t="s">
        <v>39</v>
      </c>
      <c r="G3224" t="s">
        <v>15</v>
      </c>
      <c r="H3224">
        <v>0.82056553450909742</v>
      </c>
      <c r="I3224">
        <v>3</v>
      </c>
      <c r="J3224" t="s">
        <v>23</v>
      </c>
      <c r="K3224" s="59" t="s">
        <v>4376</v>
      </c>
    </row>
    <row r="3225" spans="1:11" x14ac:dyDescent="0.2">
      <c r="A3225" t="s">
        <v>3264</v>
      </c>
      <c r="B3225">
        <v>2021</v>
      </c>
      <c r="C3225" t="s">
        <v>33</v>
      </c>
      <c r="D3225">
        <v>440</v>
      </c>
      <c r="E3225" t="s">
        <v>38</v>
      </c>
      <c r="F3225" t="s">
        <v>39</v>
      </c>
      <c r="G3225" t="s">
        <v>15</v>
      </c>
      <c r="H3225">
        <v>0.51117068710679503</v>
      </c>
      <c r="I3225">
        <v>3</v>
      </c>
      <c r="J3225" t="s">
        <v>23</v>
      </c>
      <c r="K3225" s="59" t="s">
        <v>17</v>
      </c>
    </row>
    <row r="3226" spans="1:11" x14ac:dyDescent="0.2">
      <c r="A3226" t="s">
        <v>3265</v>
      </c>
      <c r="B3226">
        <v>2021</v>
      </c>
      <c r="C3226" t="s">
        <v>19</v>
      </c>
      <c r="D3226">
        <v>71</v>
      </c>
      <c r="E3226" t="s">
        <v>53</v>
      </c>
      <c r="F3226" t="s">
        <v>54</v>
      </c>
      <c r="G3226" t="s">
        <v>15</v>
      </c>
      <c r="H3226">
        <v>0.52550401677886149</v>
      </c>
      <c r="I3226">
        <v>3</v>
      </c>
      <c r="J3226" t="s">
        <v>16</v>
      </c>
      <c r="K3226" s="59" t="s">
        <v>23</v>
      </c>
    </row>
    <row r="3227" spans="1:11" x14ac:dyDescent="0.2">
      <c r="A3227" t="s">
        <v>3266</v>
      </c>
      <c r="B3227">
        <v>2021</v>
      </c>
      <c r="C3227" t="s">
        <v>19</v>
      </c>
      <c r="D3227">
        <v>71</v>
      </c>
      <c r="E3227" t="s">
        <v>25</v>
      </c>
      <c r="F3227" t="s">
        <v>26</v>
      </c>
      <c r="G3227" t="s">
        <v>15</v>
      </c>
      <c r="H3227">
        <v>0.52550401677886149</v>
      </c>
      <c r="I3227">
        <v>2</v>
      </c>
      <c r="J3227" t="s">
        <v>16</v>
      </c>
      <c r="K3227" s="59" t="s">
        <v>17</v>
      </c>
    </row>
    <row r="3228" spans="1:11" x14ac:dyDescent="0.2">
      <c r="A3228" t="s">
        <v>3267</v>
      </c>
      <c r="B3228">
        <v>2024</v>
      </c>
      <c r="C3228" t="s">
        <v>33</v>
      </c>
      <c r="D3228">
        <v>36</v>
      </c>
      <c r="E3228" t="s">
        <v>38</v>
      </c>
      <c r="F3228" t="s">
        <v>39</v>
      </c>
      <c r="G3228" t="s">
        <v>15</v>
      </c>
      <c r="H3228">
        <v>-2.712235896922381</v>
      </c>
      <c r="I3228">
        <v>3</v>
      </c>
      <c r="J3228" t="s">
        <v>23</v>
      </c>
      <c r="K3228" s="59" t="s">
        <v>4376</v>
      </c>
    </row>
    <row r="3229" spans="1:11" x14ac:dyDescent="0.2">
      <c r="A3229" t="s">
        <v>3268</v>
      </c>
      <c r="B3229">
        <v>2024</v>
      </c>
      <c r="C3229" t="s">
        <v>33</v>
      </c>
      <c r="D3229">
        <v>37</v>
      </c>
      <c r="E3229" t="s">
        <v>38</v>
      </c>
      <c r="F3229" t="s">
        <v>39</v>
      </c>
      <c r="G3229" t="s">
        <v>15</v>
      </c>
      <c r="H3229">
        <v>-2.6063069950516442</v>
      </c>
      <c r="I3229">
        <v>3</v>
      </c>
      <c r="J3229" t="s">
        <v>23</v>
      </c>
      <c r="K3229" s="59" t="s">
        <v>4376</v>
      </c>
    </row>
    <row r="3230" spans="1:11" x14ac:dyDescent="0.2">
      <c r="A3230" t="s">
        <v>3269</v>
      </c>
      <c r="B3230">
        <v>2024</v>
      </c>
      <c r="C3230" t="s">
        <v>19</v>
      </c>
      <c r="D3230">
        <v>69</v>
      </c>
      <c r="E3230" t="s">
        <v>25</v>
      </c>
      <c r="F3230" t="s">
        <v>26</v>
      </c>
      <c r="G3230" t="s">
        <v>48</v>
      </c>
      <c r="H3230">
        <v>1.207133472294913</v>
      </c>
      <c r="I3230">
        <v>2</v>
      </c>
      <c r="J3230" t="s">
        <v>16</v>
      </c>
      <c r="K3230" s="59" t="s">
        <v>4376</v>
      </c>
    </row>
    <row r="3231" spans="1:11" x14ac:dyDescent="0.2">
      <c r="A3231" t="s">
        <v>3270</v>
      </c>
      <c r="B3231">
        <v>2024</v>
      </c>
      <c r="C3231" t="s">
        <v>33</v>
      </c>
      <c r="D3231">
        <v>36</v>
      </c>
      <c r="E3231" t="s">
        <v>38</v>
      </c>
      <c r="F3231" t="s">
        <v>39</v>
      </c>
      <c r="G3231" t="s">
        <v>15</v>
      </c>
      <c r="H3231">
        <v>-2.712235896922381</v>
      </c>
      <c r="I3231">
        <v>3</v>
      </c>
      <c r="J3231" t="s">
        <v>23</v>
      </c>
      <c r="K3231" s="59" t="s">
        <v>4376</v>
      </c>
    </row>
    <row r="3232" spans="1:11" x14ac:dyDescent="0.2">
      <c r="A3232" t="s">
        <v>3271</v>
      </c>
      <c r="B3232">
        <v>2024</v>
      </c>
      <c r="C3232" t="s">
        <v>33</v>
      </c>
      <c r="D3232">
        <v>36</v>
      </c>
      <c r="E3232" t="s">
        <v>38</v>
      </c>
      <c r="F3232" t="s">
        <v>39</v>
      </c>
      <c r="G3232" t="s">
        <v>15</v>
      </c>
      <c r="H3232">
        <v>-2.712235896922381</v>
      </c>
      <c r="I3232">
        <v>3</v>
      </c>
      <c r="J3232" t="s">
        <v>23</v>
      </c>
      <c r="K3232" s="59" t="s">
        <v>4376</v>
      </c>
    </row>
    <row r="3233" spans="1:11" x14ac:dyDescent="0.2">
      <c r="A3233" t="s">
        <v>3272</v>
      </c>
      <c r="B3233">
        <v>2021</v>
      </c>
      <c r="C3233" t="s">
        <v>19</v>
      </c>
      <c r="D3233">
        <v>70</v>
      </c>
      <c r="E3233" t="s">
        <v>53</v>
      </c>
      <c r="F3233" t="s">
        <v>54</v>
      </c>
      <c r="G3233" t="s">
        <v>15</v>
      </c>
      <c r="H3233">
        <v>0.51548005419774312</v>
      </c>
      <c r="I3233">
        <v>3</v>
      </c>
      <c r="J3233" t="s">
        <v>16</v>
      </c>
      <c r="K3233" s="59" t="s">
        <v>16</v>
      </c>
    </row>
    <row r="3234" spans="1:11" x14ac:dyDescent="0.2">
      <c r="A3234" t="s">
        <v>3273</v>
      </c>
      <c r="B3234">
        <v>2021</v>
      </c>
      <c r="C3234" t="s">
        <v>33</v>
      </c>
      <c r="D3234">
        <v>368</v>
      </c>
      <c r="E3234" t="s">
        <v>38</v>
      </c>
      <c r="F3234" t="s">
        <v>39</v>
      </c>
      <c r="G3234" t="s">
        <v>15</v>
      </c>
      <c r="H3234">
        <v>0.69029355547504967</v>
      </c>
      <c r="I3234">
        <v>3</v>
      </c>
      <c r="J3234" t="s">
        <v>23</v>
      </c>
      <c r="K3234" s="59" t="s">
        <v>4376</v>
      </c>
    </row>
    <row r="3235" spans="1:11" x14ac:dyDescent="0.2">
      <c r="A3235" t="s">
        <v>3274</v>
      </c>
      <c r="B3235">
        <v>2021</v>
      </c>
      <c r="C3235" t="s">
        <v>33</v>
      </c>
      <c r="D3235">
        <v>382</v>
      </c>
      <c r="E3235" t="s">
        <v>29</v>
      </c>
      <c r="F3235" t="s">
        <v>30</v>
      </c>
      <c r="G3235" t="s">
        <v>15</v>
      </c>
      <c r="H3235">
        <v>-0.1911280323988247</v>
      </c>
      <c r="I3235">
        <v>4</v>
      </c>
      <c r="J3235" t="s">
        <v>17</v>
      </c>
      <c r="K3235" s="59" t="s">
        <v>4376</v>
      </c>
    </row>
    <row r="3236" spans="1:11" x14ac:dyDescent="0.2">
      <c r="A3236" t="s">
        <v>3275</v>
      </c>
      <c r="B3236">
        <v>2021</v>
      </c>
      <c r="C3236" t="s">
        <v>33</v>
      </c>
      <c r="D3236">
        <v>82</v>
      </c>
      <c r="E3236" t="s">
        <v>25</v>
      </c>
      <c r="F3236" t="s">
        <v>26</v>
      </c>
      <c r="G3236" t="s">
        <v>48</v>
      </c>
      <c r="H3236">
        <v>0.21488806236648381</v>
      </c>
      <c r="I3236">
        <v>2</v>
      </c>
      <c r="J3236" t="s">
        <v>23</v>
      </c>
      <c r="K3236" s="59" t="s">
        <v>17</v>
      </c>
    </row>
    <row r="3237" spans="1:11" x14ac:dyDescent="0.2">
      <c r="A3237" t="s">
        <v>3276</v>
      </c>
      <c r="B3237">
        <v>2023</v>
      </c>
      <c r="C3237" t="s">
        <v>19</v>
      </c>
      <c r="D3237">
        <v>70</v>
      </c>
      <c r="E3237" t="s">
        <v>25</v>
      </c>
      <c r="F3237" t="s">
        <v>26</v>
      </c>
      <c r="G3237" t="s">
        <v>15</v>
      </c>
      <c r="H3237">
        <v>1.879025364160734</v>
      </c>
      <c r="I3237">
        <v>2</v>
      </c>
      <c r="J3237" t="s">
        <v>23</v>
      </c>
      <c r="K3237" s="59" t="s">
        <v>16</v>
      </c>
    </row>
    <row r="3238" spans="1:11" x14ac:dyDescent="0.2">
      <c r="A3238" t="s">
        <v>3277</v>
      </c>
      <c r="B3238">
        <v>2021</v>
      </c>
      <c r="C3238" t="s">
        <v>19</v>
      </c>
      <c r="D3238">
        <v>398</v>
      </c>
      <c r="E3238" t="s">
        <v>29</v>
      </c>
      <c r="F3238" t="s">
        <v>30</v>
      </c>
      <c r="G3238" t="s">
        <v>15</v>
      </c>
      <c r="H3238">
        <v>0.43743819565275671</v>
      </c>
      <c r="I3238">
        <v>4</v>
      </c>
      <c r="J3238" t="s">
        <v>23</v>
      </c>
      <c r="K3238" s="59" t="s">
        <v>23</v>
      </c>
    </row>
    <row r="3239" spans="1:11" x14ac:dyDescent="0.2">
      <c r="A3239" t="s">
        <v>3278</v>
      </c>
      <c r="B3239">
        <v>2021</v>
      </c>
      <c r="C3239" t="s">
        <v>33</v>
      </c>
      <c r="D3239">
        <v>369</v>
      </c>
      <c r="E3239" t="s">
        <v>38</v>
      </c>
      <c r="F3239" t="s">
        <v>39</v>
      </c>
      <c r="G3239" t="s">
        <v>15</v>
      </c>
      <c r="H3239">
        <v>0.69311781731559541</v>
      </c>
      <c r="I3239">
        <v>3</v>
      </c>
      <c r="J3239" t="s">
        <v>23</v>
      </c>
      <c r="K3239" s="59" t="s">
        <v>4376</v>
      </c>
    </row>
    <row r="3240" spans="1:11" x14ac:dyDescent="0.2">
      <c r="A3240" t="s">
        <v>3279</v>
      </c>
      <c r="B3240">
        <v>2021</v>
      </c>
      <c r="C3240" t="s">
        <v>19</v>
      </c>
      <c r="D3240">
        <v>399</v>
      </c>
      <c r="E3240" t="s">
        <v>29</v>
      </c>
      <c r="F3240" t="s">
        <v>30</v>
      </c>
      <c r="G3240" t="s">
        <v>15</v>
      </c>
      <c r="H3240">
        <v>0.20729434749458239</v>
      </c>
      <c r="I3240">
        <v>4</v>
      </c>
      <c r="J3240" t="s">
        <v>23</v>
      </c>
      <c r="K3240" s="59" t="s">
        <v>23</v>
      </c>
    </row>
    <row r="3241" spans="1:11" x14ac:dyDescent="0.2">
      <c r="A3241" t="s">
        <v>3280</v>
      </c>
      <c r="B3241">
        <v>2022</v>
      </c>
      <c r="C3241" t="s">
        <v>19</v>
      </c>
      <c r="D3241">
        <v>108</v>
      </c>
      <c r="E3241" t="s">
        <v>13</v>
      </c>
      <c r="F3241" t="s">
        <v>14</v>
      </c>
      <c r="G3241" t="s">
        <v>15</v>
      </c>
      <c r="H3241">
        <v>-1.841264925985205</v>
      </c>
      <c r="I3241">
        <v>4</v>
      </c>
      <c r="J3241" t="s">
        <v>23</v>
      </c>
      <c r="K3241" s="59" t="s">
        <v>16</v>
      </c>
    </row>
    <row r="3242" spans="1:11" x14ac:dyDescent="0.2">
      <c r="A3242" t="s">
        <v>3281</v>
      </c>
      <c r="B3242">
        <v>2021</v>
      </c>
      <c r="C3242" t="s">
        <v>19</v>
      </c>
      <c r="D3242">
        <v>315</v>
      </c>
      <c r="E3242" t="s">
        <v>29</v>
      </c>
      <c r="F3242" t="s">
        <v>30</v>
      </c>
      <c r="G3242" t="s">
        <v>15</v>
      </c>
      <c r="H3242">
        <v>0.71130963643007428</v>
      </c>
      <c r="I3242">
        <v>4</v>
      </c>
      <c r="J3242" t="s">
        <v>16</v>
      </c>
      <c r="K3242" s="59" t="s">
        <v>23</v>
      </c>
    </row>
    <row r="3243" spans="1:11" x14ac:dyDescent="0.2">
      <c r="A3243" t="s">
        <v>3282</v>
      </c>
      <c r="B3243">
        <v>2024</v>
      </c>
      <c r="C3243" t="s">
        <v>33</v>
      </c>
      <c r="D3243">
        <v>37</v>
      </c>
      <c r="E3243" t="s">
        <v>38</v>
      </c>
      <c r="F3243" t="s">
        <v>39</v>
      </c>
      <c r="G3243" t="s">
        <v>15</v>
      </c>
      <c r="H3243">
        <v>-2.6063069950516442</v>
      </c>
      <c r="I3243">
        <v>3</v>
      </c>
      <c r="J3243" t="s">
        <v>23</v>
      </c>
      <c r="K3243" s="59" t="s">
        <v>4376</v>
      </c>
    </row>
    <row r="3244" spans="1:11" x14ac:dyDescent="0.2">
      <c r="A3244" t="s">
        <v>3283</v>
      </c>
      <c r="B3244">
        <v>2022</v>
      </c>
      <c r="C3244" t="s">
        <v>19</v>
      </c>
      <c r="D3244">
        <v>154</v>
      </c>
      <c r="E3244" t="s">
        <v>25</v>
      </c>
      <c r="F3244" t="s">
        <v>26</v>
      </c>
      <c r="G3244" t="s">
        <v>15</v>
      </c>
      <c r="H3244">
        <v>0.56723643242270139</v>
      </c>
      <c r="I3244">
        <v>2</v>
      </c>
      <c r="J3244" t="s">
        <v>23</v>
      </c>
      <c r="K3244" s="59" t="s">
        <v>4376</v>
      </c>
    </row>
    <row r="3245" spans="1:11" x14ac:dyDescent="0.2">
      <c r="A3245" t="s">
        <v>3284</v>
      </c>
      <c r="B3245">
        <v>2024</v>
      </c>
      <c r="C3245" t="s">
        <v>33</v>
      </c>
      <c r="D3245">
        <v>37</v>
      </c>
      <c r="E3245" t="s">
        <v>38</v>
      </c>
      <c r="F3245" t="s">
        <v>39</v>
      </c>
      <c r="G3245" t="s">
        <v>15</v>
      </c>
      <c r="H3245">
        <v>-2.712235896922381</v>
      </c>
      <c r="I3245">
        <v>3</v>
      </c>
      <c r="J3245" t="s">
        <v>23</v>
      </c>
      <c r="K3245" s="59" t="s">
        <v>17</v>
      </c>
    </row>
    <row r="3246" spans="1:11" x14ac:dyDescent="0.2">
      <c r="A3246" t="s">
        <v>3285</v>
      </c>
      <c r="B3246">
        <v>2021</v>
      </c>
      <c r="C3246" t="s">
        <v>33</v>
      </c>
      <c r="D3246">
        <v>368</v>
      </c>
      <c r="E3246" t="s">
        <v>38</v>
      </c>
      <c r="F3246" t="s">
        <v>39</v>
      </c>
      <c r="G3246" t="s">
        <v>15</v>
      </c>
      <c r="H3246">
        <v>0.69029355547504967</v>
      </c>
      <c r="I3246">
        <v>3</v>
      </c>
      <c r="J3246" t="s">
        <v>23</v>
      </c>
      <c r="K3246" s="59" t="s">
        <v>4376</v>
      </c>
    </row>
    <row r="3247" spans="1:11" x14ac:dyDescent="0.2">
      <c r="A3247" t="s">
        <v>3286</v>
      </c>
      <c r="B3247">
        <v>2021</v>
      </c>
      <c r="C3247" t="s">
        <v>19</v>
      </c>
      <c r="D3247">
        <v>70</v>
      </c>
      <c r="E3247" t="s">
        <v>53</v>
      </c>
      <c r="F3247" t="s">
        <v>54</v>
      </c>
      <c r="G3247" t="s">
        <v>15</v>
      </c>
      <c r="H3247">
        <v>0.51548005419774312</v>
      </c>
      <c r="I3247">
        <v>3</v>
      </c>
      <c r="J3247" t="s">
        <v>16</v>
      </c>
      <c r="K3247" s="59" t="s">
        <v>16</v>
      </c>
    </row>
    <row r="3248" spans="1:11" x14ac:dyDescent="0.2">
      <c r="A3248" t="s">
        <v>3287</v>
      </c>
      <c r="B3248">
        <v>2023</v>
      </c>
      <c r="C3248" t="s">
        <v>33</v>
      </c>
      <c r="D3248">
        <v>70</v>
      </c>
      <c r="E3248" t="s">
        <v>20</v>
      </c>
      <c r="F3248" t="s">
        <v>21</v>
      </c>
      <c r="G3248" t="s">
        <v>15</v>
      </c>
      <c r="H3248">
        <v>-0.13665031143673101</v>
      </c>
      <c r="I3248">
        <v>3</v>
      </c>
      <c r="J3248" t="s">
        <v>23</v>
      </c>
      <c r="K3248" s="59" t="s">
        <v>4376</v>
      </c>
    </row>
    <row r="3249" spans="1:11" x14ac:dyDescent="0.2">
      <c r="A3249" t="s">
        <v>3288</v>
      </c>
      <c r="B3249">
        <v>2021</v>
      </c>
      <c r="C3249" t="s">
        <v>33</v>
      </c>
      <c r="D3249">
        <v>181</v>
      </c>
      <c r="E3249" t="s">
        <v>25</v>
      </c>
      <c r="F3249" t="s">
        <v>26</v>
      </c>
      <c r="G3249" t="s">
        <v>15</v>
      </c>
      <c r="H3249">
        <v>0.37714937057830922</v>
      </c>
      <c r="I3249">
        <v>2</v>
      </c>
      <c r="J3249" t="s">
        <v>23</v>
      </c>
      <c r="K3249" s="59" t="s">
        <v>23</v>
      </c>
    </row>
    <row r="3250" spans="1:11" x14ac:dyDescent="0.2">
      <c r="A3250" t="s">
        <v>3289</v>
      </c>
      <c r="B3250">
        <v>2021</v>
      </c>
      <c r="C3250" t="s">
        <v>33</v>
      </c>
      <c r="D3250">
        <v>368</v>
      </c>
      <c r="E3250" t="s">
        <v>38</v>
      </c>
      <c r="F3250" t="s">
        <v>39</v>
      </c>
      <c r="G3250" t="s">
        <v>15</v>
      </c>
      <c r="H3250">
        <v>0.69029355547504967</v>
      </c>
      <c r="I3250">
        <v>3</v>
      </c>
      <c r="J3250" t="s">
        <v>23</v>
      </c>
      <c r="K3250" s="59" t="s">
        <v>4376</v>
      </c>
    </row>
    <row r="3251" spans="1:11" x14ac:dyDescent="0.2">
      <c r="A3251" t="s">
        <v>3290</v>
      </c>
      <c r="B3251">
        <v>2024</v>
      </c>
      <c r="C3251" t="s">
        <v>33</v>
      </c>
      <c r="D3251">
        <v>37</v>
      </c>
      <c r="E3251" t="s">
        <v>38</v>
      </c>
      <c r="F3251" t="s">
        <v>39</v>
      </c>
      <c r="G3251" t="s">
        <v>15</v>
      </c>
      <c r="H3251">
        <v>-2.712235896922381</v>
      </c>
      <c r="I3251">
        <v>3</v>
      </c>
      <c r="J3251" t="s">
        <v>23</v>
      </c>
      <c r="K3251" s="59" t="s">
        <v>4376</v>
      </c>
    </row>
    <row r="3252" spans="1:11" x14ac:dyDescent="0.2">
      <c r="A3252" t="s">
        <v>3291</v>
      </c>
      <c r="B3252">
        <v>2021</v>
      </c>
      <c r="C3252" t="s">
        <v>19</v>
      </c>
      <c r="D3252">
        <v>302</v>
      </c>
      <c r="E3252" t="s">
        <v>38</v>
      </c>
      <c r="F3252" t="s">
        <v>39</v>
      </c>
      <c r="G3252" t="s">
        <v>15</v>
      </c>
      <c r="H3252">
        <v>0.30266361786015239</v>
      </c>
      <c r="I3252">
        <v>3</v>
      </c>
      <c r="J3252" t="s">
        <v>23</v>
      </c>
      <c r="K3252" s="59" t="s">
        <v>17</v>
      </c>
    </row>
    <row r="3253" spans="1:11" x14ac:dyDescent="0.2">
      <c r="A3253" t="s">
        <v>3292</v>
      </c>
      <c r="B3253">
        <v>2024</v>
      </c>
      <c r="C3253" t="s">
        <v>19</v>
      </c>
      <c r="D3253">
        <v>37</v>
      </c>
      <c r="E3253" t="s">
        <v>38</v>
      </c>
      <c r="F3253" t="s">
        <v>39</v>
      </c>
      <c r="G3253" t="s">
        <v>15</v>
      </c>
      <c r="H3253">
        <v>-2.712235896922381</v>
      </c>
      <c r="I3253">
        <v>3</v>
      </c>
      <c r="J3253" t="s">
        <v>23</v>
      </c>
      <c r="K3253" s="59" t="s">
        <v>23</v>
      </c>
    </row>
    <row r="3254" spans="1:11" x14ac:dyDescent="0.2">
      <c r="A3254" t="s">
        <v>3293</v>
      </c>
      <c r="B3254">
        <v>2023</v>
      </c>
      <c r="C3254" t="s">
        <v>33</v>
      </c>
      <c r="D3254">
        <v>199</v>
      </c>
      <c r="E3254" t="s">
        <v>25</v>
      </c>
      <c r="F3254" t="s">
        <v>26</v>
      </c>
      <c r="G3254" t="s">
        <v>41</v>
      </c>
      <c r="H3254">
        <v>-0.21809175287501251</v>
      </c>
      <c r="I3254">
        <v>2</v>
      </c>
      <c r="J3254" t="s">
        <v>16</v>
      </c>
      <c r="K3254" s="59" t="s">
        <v>16</v>
      </c>
    </row>
    <row r="3255" spans="1:11" x14ac:dyDescent="0.2">
      <c r="A3255" t="s">
        <v>3294</v>
      </c>
      <c r="B3255">
        <v>2024</v>
      </c>
      <c r="C3255" t="s">
        <v>33</v>
      </c>
      <c r="D3255">
        <v>37</v>
      </c>
      <c r="E3255" t="s">
        <v>38</v>
      </c>
      <c r="F3255" t="s">
        <v>39</v>
      </c>
      <c r="G3255" t="s">
        <v>15</v>
      </c>
      <c r="H3255">
        <v>-2.712235896922381</v>
      </c>
      <c r="I3255">
        <v>3</v>
      </c>
      <c r="J3255" t="s">
        <v>23</v>
      </c>
      <c r="K3255" s="59" t="s">
        <v>4376</v>
      </c>
    </row>
    <row r="3256" spans="1:11" x14ac:dyDescent="0.2">
      <c r="A3256" t="s">
        <v>3295</v>
      </c>
      <c r="B3256">
        <v>2023</v>
      </c>
      <c r="C3256" t="s">
        <v>12</v>
      </c>
      <c r="D3256">
        <v>90</v>
      </c>
      <c r="E3256" t="s">
        <v>20</v>
      </c>
      <c r="F3256" t="s">
        <v>21</v>
      </c>
      <c r="G3256" t="s">
        <v>167</v>
      </c>
      <c r="H3256">
        <v>-0.20950605874748271</v>
      </c>
      <c r="I3256">
        <v>3</v>
      </c>
      <c r="J3256" t="s">
        <v>17</v>
      </c>
      <c r="K3256" s="59" t="s">
        <v>4376</v>
      </c>
    </row>
    <row r="3257" spans="1:11" x14ac:dyDescent="0.2">
      <c r="A3257" t="s">
        <v>3296</v>
      </c>
      <c r="B3257">
        <v>2021</v>
      </c>
      <c r="C3257" t="s">
        <v>12</v>
      </c>
      <c r="D3257">
        <v>411</v>
      </c>
      <c r="E3257" t="s">
        <v>29</v>
      </c>
      <c r="F3257" t="s">
        <v>30</v>
      </c>
      <c r="G3257" t="s">
        <v>15</v>
      </c>
      <c r="H3257">
        <v>0.34487221106710803</v>
      </c>
      <c r="I3257">
        <v>4</v>
      </c>
      <c r="J3257" t="s">
        <v>16</v>
      </c>
      <c r="K3257" s="59" t="s">
        <v>17</v>
      </c>
    </row>
    <row r="3258" spans="1:11" x14ac:dyDescent="0.2">
      <c r="A3258" t="s">
        <v>3297</v>
      </c>
      <c r="B3258">
        <v>2024</v>
      </c>
      <c r="C3258" t="s">
        <v>33</v>
      </c>
      <c r="D3258">
        <v>36</v>
      </c>
      <c r="E3258" t="s">
        <v>38</v>
      </c>
      <c r="F3258" t="s">
        <v>39</v>
      </c>
      <c r="G3258" t="s">
        <v>15</v>
      </c>
      <c r="H3258">
        <v>-2.712235896922381</v>
      </c>
      <c r="I3258">
        <v>3</v>
      </c>
      <c r="J3258" t="s">
        <v>23</v>
      </c>
      <c r="K3258" s="59" t="s">
        <v>4376</v>
      </c>
    </row>
    <row r="3259" spans="1:11" x14ac:dyDescent="0.2">
      <c r="A3259" t="s">
        <v>3298</v>
      </c>
      <c r="B3259">
        <v>2024</v>
      </c>
      <c r="C3259" t="s">
        <v>33</v>
      </c>
      <c r="D3259">
        <v>37</v>
      </c>
      <c r="E3259" t="s">
        <v>38</v>
      </c>
      <c r="F3259" t="s">
        <v>39</v>
      </c>
      <c r="G3259" t="s">
        <v>15</v>
      </c>
      <c r="H3259">
        <v>-2.712235896922381</v>
      </c>
      <c r="I3259">
        <v>3</v>
      </c>
      <c r="J3259" t="s">
        <v>23</v>
      </c>
      <c r="K3259" s="59" t="s">
        <v>4376</v>
      </c>
    </row>
    <row r="3260" spans="1:11" x14ac:dyDescent="0.2">
      <c r="A3260" t="s">
        <v>3299</v>
      </c>
      <c r="B3260">
        <v>2021</v>
      </c>
      <c r="C3260" t="s">
        <v>19</v>
      </c>
      <c r="D3260">
        <v>282</v>
      </c>
      <c r="E3260" t="s">
        <v>25</v>
      </c>
      <c r="F3260" t="s">
        <v>26</v>
      </c>
      <c r="G3260" t="s">
        <v>15</v>
      </c>
      <c r="H3260">
        <v>0.79916937438381885</v>
      </c>
      <c r="I3260">
        <v>2</v>
      </c>
      <c r="J3260" t="s">
        <v>23</v>
      </c>
      <c r="K3260" s="59" t="s">
        <v>17</v>
      </c>
    </row>
    <row r="3261" spans="1:11" x14ac:dyDescent="0.2">
      <c r="A3261" t="s">
        <v>3300</v>
      </c>
      <c r="B3261">
        <v>2021</v>
      </c>
      <c r="C3261" t="s">
        <v>19</v>
      </c>
      <c r="D3261">
        <v>71</v>
      </c>
      <c r="E3261" t="s">
        <v>53</v>
      </c>
      <c r="F3261" t="s">
        <v>54</v>
      </c>
      <c r="G3261" t="s">
        <v>15</v>
      </c>
      <c r="H3261">
        <v>0.51548005419774312</v>
      </c>
      <c r="I3261">
        <v>3</v>
      </c>
      <c r="J3261" t="s">
        <v>16</v>
      </c>
      <c r="K3261" s="59" t="s">
        <v>17</v>
      </c>
    </row>
    <row r="3262" spans="1:11" x14ac:dyDescent="0.2">
      <c r="A3262" t="s">
        <v>3301</v>
      </c>
      <c r="B3262">
        <v>2024</v>
      </c>
      <c r="C3262" t="s">
        <v>33</v>
      </c>
      <c r="D3262">
        <v>36</v>
      </c>
      <c r="E3262" t="s">
        <v>38</v>
      </c>
      <c r="F3262" t="s">
        <v>39</v>
      </c>
      <c r="G3262" t="s">
        <v>15</v>
      </c>
      <c r="H3262">
        <v>-2.712235896922381</v>
      </c>
      <c r="I3262">
        <v>3</v>
      </c>
      <c r="J3262" t="s">
        <v>23</v>
      </c>
      <c r="K3262" s="59" t="s">
        <v>4376</v>
      </c>
    </row>
    <row r="3263" spans="1:11" x14ac:dyDescent="0.2">
      <c r="A3263" t="s">
        <v>3302</v>
      </c>
      <c r="B3263">
        <v>2018</v>
      </c>
      <c r="C3263" t="s">
        <v>19</v>
      </c>
      <c r="D3263">
        <v>479</v>
      </c>
      <c r="E3263" t="s">
        <v>13</v>
      </c>
      <c r="F3263" t="s">
        <v>14</v>
      </c>
      <c r="G3263" t="s">
        <v>22</v>
      </c>
      <c r="H3263">
        <v>-0.18562648578685931</v>
      </c>
      <c r="I3263">
        <v>4</v>
      </c>
      <c r="J3263" t="s">
        <v>17</v>
      </c>
      <c r="K3263" s="59" t="s">
        <v>23</v>
      </c>
    </row>
    <row r="3264" spans="1:11" x14ac:dyDescent="0.2">
      <c r="A3264" t="s">
        <v>3303</v>
      </c>
      <c r="B3264">
        <v>2024</v>
      </c>
      <c r="C3264" t="s">
        <v>19</v>
      </c>
      <c r="D3264">
        <v>36</v>
      </c>
      <c r="E3264" t="s">
        <v>38</v>
      </c>
      <c r="F3264" t="s">
        <v>39</v>
      </c>
      <c r="G3264" t="s">
        <v>15</v>
      </c>
      <c r="H3264">
        <v>-2.712235896922381</v>
      </c>
      <c r="I3264">
        <v>3</v>
      </c>
      <c r="J3264" t="s">
        <v>23</v>
      </c>
      <c r="K3264" s="59" t="s">
        <v>16</v>
      </c>
    </row>
    <row r="3265" spans="1:11" x14ac:dyDescent="0.2">
      <c r="A3265" t="s">
        <v>3304</v>
      </c>
      <c r="B3265">
        <v>2023</v>
      </c>
      <c r="C3265" t="s">
        <v>33</v>
      </c>
      <c r="D3265">
        <v>143</v>
      </c>
      <c r="E3265" t="s">
        <v>13</v>
      </c>
      <c r="F3265" t="s">
        <v>14</v>
      </c>
      <c r="G3265" t="s">
        <v>48</v>
      </c>
      <c r="H3265">
        <v>-0.80854220330255278</v>
      </c>
      <c r="I3265">
        <v>4</v>
      </c>
      <c r="J3265" t="s">
        <v>16</v>
      </c>
      <c r="K3265" s="59" t="s">
        <v>17</v>
      </c>
    </row>
    <row r="3266" spans="1:11" x14ac:dyDescent="0.2">
      <c r="A3266" t="s">
        <v>3305</v>
      </c>
      <c r="B3266">
        <v>2021</v>
      </c>
      <c r="C3266" t="s">
        <v>12</v>
      </c>
      <c r="D3266">
        <v>38</v>
      </c>
      <c r="E3266" t="s">
        <v>13</v>
      </c>
      <c r="F3266" t="s">
        <v>14</v>
      </c>
      <c r="G3266" t="s">
        <v>34</v>
      </c>
      <c r="H3266">
        <v>1.207133472294913</v>
      </c>
      <c r="I3266">
        <v>4</v>
      </c>
      <c r="J3266" t="s">
        <v>17</v>
      </c>
      <c r="K3266" s="59" t="s">
        <v>17</v>
      </c>
    </row>
    <row r="3267" spans="1:11" x14ac:dyDescent="0.2">
      <c r="A3267" t="s">
        <v>3306</v>
      </c>
      <c r="B3267">
        <v>2021</v>
      </c>
      <c r="C3267" t="s">
        <v>19</v>
      </c>
      <c r="D3267">
        <v>400</v>
      </c>
      <c r="E3267" t="s">
        <v>29</v>
      </c>
      <c r="F3267" t="s">
        <v>30</v>
      </c>
      <c r="G3267" t="s">
        <v>15</v>
      </c>
      <c r="H3267">
        <v>0.20983846740501599</v>
      </c>
      <c r="I3267">
        <v>4</v>
      </c>
      <c r="J3267" t="s">
        <v>23</v>
      </c>
      <c r="K3267" s="59" t="s">
        <v>17</v>
      </c>
    </row>
    <row r="3268" spans="1:11" x14ac:dyDescent="0.2">
      <c r="A3268" t="s">
        <v>3307</v>
      </c>
      <c r="B3268">
        <v>2021</v>
      </c>
      <c r="C3268" t="s">
        <v>33</v>
      </c>
      <c r="D3268">
        <v>382</v>
      </c>
      <c r="E3268" t="s">
        <v>29</v>
      </c>
      <c r="F3268" t="s">
        <v>30</v>
      </c>
      <c r="G3268" t="s">
        <v>15</v>
      </c>
      <c r="H3268">
        <v>-0.1911280323988247</v>
      </c>
      <c r="I3268">
        <v>4</v>
      </c>
      <c r="J3268" t="s">
        <v>17</v>
      </c>
      <c r="K3268" s="59" t="s">
        <v>4376</v>
      </c>
    </row>
    <row r="3269" spans="1:11" x14ac:dyDescent="0.2">
      <c r="A3269" t="s">
        <v>3308</v>
      </c>
      <c r="B3269">
        <v>2022</v>
      </c>
      <c r="C3269" t="s">
        <v>33</v>
      </c>
      <c r="D3269">
        <v>72</v>
      </c>
      <c r="E3269" t="s">
        <v>20</v>
      </c>
      <c r="F3269" t="s">
        <v>21</v>
      </c>
      <c r="G3269" t="s">
        <v>15</v>
      </c>
      <c r="H3269">
        <v>-1.519384349769292</v>
      </c>
      <c r="I3269">
        <v>3</v>
      </c>
      <c r="J3269" t="s">
        <v>17</v>
      </c>
      <c r="K3269" s="59" t="s">
        <v>23</v>
      </c>
    </row>
    <row r="3270" spans="1:11" x14ac:dyDescent="0.2">
      <c r="A3270" t="s">
        <v>3309</v>
      </c>
      <c r="B3270">
        <v>2024</v>
      </c>
      <c r="C3270" t="s">
        <v>33</v>
      </c>
      <c r="D3270">
        <v>36</v>
      </c>
      <c r="E3270" t="s">
        <v>38</v>
      </c>
      <c r="F3270" t="s">
        <v>39</v>
      </c>
      <c r="G3270" t="s">
        <v>15</v>
      </c>
      <c r="H3270">
        <v>-2.712235896922381</v>
      </c>
      <c r="I3270">
        <v>3</v>
      </c>
      <c r="J3270" t="s">
        <v>23</v>
      </c>
      <c r="K3270" s="59" t="s">
        <v>4376</v>
      </c>
    </row>
    <row r="3271" spans="1:11" x14ac:dyDescent="0.2">
      <c r="A3271" t="s">
        <v>3310</v>
      </c>
      <c r="B3271">
        <v>2021</v>
      </c>
      <c r="C3271" t="s">
        <v>19</v>
      </c>
      <c r="D3271">
        <v>65</v>
      </c>
      <c r="E3271" t="s">
        <v>25</v>
      </c>
      <c r="F3271" t="s">
        <v>26</v>
      </c>
      <c r="G3271" t="s">
        <v>15</v>
      </c>
      <c r="H3271">
        <v>0.46058692577733279</v>
      </c>
      <c r="I3271">
        <v>2</v>
      </c>
      <c r="J3271" t="s">
        <v>16</v>
      </c>
      <c r="K3271" s="59" t="s">
        <v>23</v>
      </c>
    </row>
    <row r="3272" spans="1:11" x14ac:dyDescent="0.2">
      <c r="A3272" t="s">
        <v>3311</v>
      </c>
      <c r="B3272">
        <v>2022</v>
      </c>
      <c r="C3272" t="s">
        <v>19</v>
      </c>
      <c r="D3272">
        <v>121</v>
      </c>
      <c r="E3272" t="s">
        <v>13</v>
      </c>
      <c r="F3272" t="s">
        <v>14</v>
      </c>
      <c r="G3272" t="s">
        <v>57</v>
      </c>
      <c r="H3272">
        <v>-1.631030553690024</v>
      </c>
      <c r="I3272">
        <v>4</v>
      </c>
      <c r="J3272" t="s">
        <v>17</v>
      </c>
      <c r="K3272" s="59" t="s">
        <v>17</v>
      </c>
    </row>
    <row r="3273" spans="1:11" x14ac:dyDescent="0.2">
      <c r="A3273" t="s">
        <v>3312</v>
      </c>
      <c r="B3273">
        <v>2024</v>
      </c>
      <c r="C3273" t="s">
        <v>33</v>
      </c>
      <c r="D3273">
        <v>37</v>
      </c>
      <c r="E3273" t="s">
        <v>38</v>
      </c>
      <c r="F3273" t="s">
        <v>39</v>
      </c>
      <c r="G3273" t="s">
        <v>15</v>
      </c>
      <c r="H3273">
        <v>-1.335160172602792</v>
      </c>
      <c r="I3273">
        <v>3</v>
      </c>
      <c r="J3273" t="s">
        <v>23</v>
      </c>
      <c r="K3273" s="59" t="s">
        <v>4376</v>
      </c>
    </row>
    <row r="3274" spans="1:11" x14ac:dyDescent="0.2">
      <c r="A3274" t="s">
        <v>3313</v>
      </c>
      <c r="B3274">
        <v>2024</v>
      </c>
      <c r="C3274" t="s">
        <v>33</v>
      </c>
      <c r="D3274">
        <v>36</v>
      </c>
      <c r="E3274" t="s">
        <v>38</v>
      </c>
      <c r="F3274" t="s">
        <v>39</v>
      </c>
      <c r="G3274" t="s">
        <v>15</v>
      </c>
      <c r="H3274">
        <v>-2.712235896922381</v>
      </c>
      <c r="I3274">
        <v>3</v>
      </c>
      <c r="J3274" t="s">
        <v>23</v>
      </c>
      <c r="K3274" s="59" t="s">
        <v>4376</v>
      </c>
    </row>
    <row r="3275" spans="1:11" x14ac:dyDescent="0.2">
      <c r="A3275" t="s">
        <v>3314</v>
      </c>
      <c r="B3275">
        <v>2021</v>
      </c>
      <c r="C3275" t="s">
        <v>12</v>
      </c>
      <c r="D3275">
        <v>197</v>
      </c>
      <c r="E3275" t="s">
        <v>20</v>
      </c>
      <c r="F3275" t="s">
        <v>21</v>
      </c>
      <c r="G3275" t="s">
        <v>15</v>
      </c>
      <c r="H3275">
        <v>-0.77616187116444069</v>
      </c>
      <c r="I3275">
        <v>3</v>
      </c>
      <c r="J3275" t="s">
        <v>23</v>
      </c>
      <c r="K3275" s="59" t="s">
        <v>16</v>
      </c>
    </row>
    <row r="3276" spans="1:11" x14ac:dyDescent="0.2">
      <c r="A3276" t="s">
        <v>3315</v>
      </c>
      <c r="B3276">
        <v>2024</v>
      </c>
      <c r="C3276" t="s">
        <v>12</v>
      </c>
      <c r="D3276">
        <v>36</v>
      </c>
      <c r="E3276" t="s">
        <v>38</v>
      </c>
      <c r="F3276" t="s">
        <v>39</v>
      </c>
      <c r="G3276" t="s">
        <v>15</v>
      </c>
      <c r="H3276">
        <v>-2.712235896922381</v>
      </c>
      <c r="I3276">
        <v>3</v>
      </c>
      <c r="J3276" t="s">
        <v>23</v>
      </c>
      <c r="K3276" s="59" t="s">
        <v>17</v>
      </c>
    </row>
    <row r="3277" spans="1:11" x14ac:dyDescent="0.2">
      <c r="A3277" t="s">
        <v>3316</v>
      </c>
      <c r="B3277">
        <v>2024</v>
      </c>
      <c r="C3277" t="s">
        <v>19</v>
      </c>
      <c r="D3277">
        <v>36</v>
      </c>
      <c r="E3277" t="s">
        <v>38</v>
      </c>
      <c r="F3277" t="s">
        <v>39</v>
      </c>
      <c r="G3277" t="s">
        <v>15</v>
      </c>
      <c r="H3277">
        <v>-2.712235896922381</v>
      </c>
      <c r="I3277">
        <v>3</v>
      </c>
      <c r="J3277" t="s">
        <v>23</v>
      </c>
      <c r="K3277" s="59" t="s">
        <v>23</v>
      </c>
    </row>
    <row r="3278" spans="1:11" x14ac:dyDescent="0.2">
      <c r="A3278" t="s">
        <v>3317</v>
      </c>
      <c r="B3278">
        <v>2021</v>
      </c>
      <c r="C3278" t="s">
        <v>19</v>
      </c>
      <c r="D3278">
        <v>71</v>
      </c>
      <c r="E3278" t="s">
        <v>25</v>
      </c>
      <c r="F3278" t="s">
        <v>26</v>
      </c>
      <c r="G3278" t="s">
        <v>15</v>
      </c>
      <c r="H3278">
        <v>0.52550401677886149</v>
      </c>
      <c r="I3278">
        <v>2</v>
      </c>
      <c r="J3278" t="s">
        <v>16</v>
      </c>
      <c r="K3278" s="59" t="s">
        <v>16</v>
      </c>
    </row>
    <row r="3279" spans="1:11" x14ac:dyDescent="0.2">
      <c r="A3279" t="s">
        <v>3318</v>
      </c>
      <c r="B3279">
        <v>2024</v>
      </c>
      <c r="C3279" t="s">
        <v>33</v>
      </c>
      <c r="D3279">
        <v>36</v>
      </c>
      <c r="E3279" t="s">
        <v>38</v>
      </c>
      <c r="F3279" t="s">
        <v>39</v>
      </c>
      <c r="G3279" t="s">
        <v>15</v>
      </c>
      <c r="H3279">
        <v>-2.712235896922381</v>
      </c>
      <c r="I3279">
        <v>3</v>
      </c>
      <c r="J3279" t="s">
        <v>23</v>
      </c>
      <c r="K3279" s="59" t="s">
        <v>4376</v>
      </c>
    </row>
    <row r="3280" spans="1:11" x14ac:dyDescent="0.2">
      <c r="A3280" t="s">
        <v>3319</v>
      </c>
      <c r="B3280">
        <v>2022</v>
      </c>
      <c r="C3280" t="s">
        <v>12</v>
      </c>
      <c r="D3280">
        <v>91</v>
      </c>
      <c r="E3280" t="s">
        <v>25</v>
      </c>
      <c r="F3280" t="s">
        <v>26</v>
      </c>
      <c r="G3280" t="s">
        <v>15</v>
      </c>
      <c r="H3280">
        <v>6.0000973987411929E-2</v>
      </c>
      <c r="I3280">
        <v>2</v>
      </c>
      <c r="J3280" t="s">
        <v>23</v>
      </c>
      <c r="K3280" s="59" t="s">
        <v>17</v>
      </c>
    </row>
    <row r="3281" spans="1:11" x14ac:dyDescent="0.2">
      <c r="A3281" t="s">
        <v>3320</v>
      </c>
      <c r="B3281">
        <v>2022</v>
      </c>
      <c r="C3281" t="s">
        <v>19</v>
      </c>
      <c r="D3281">
        <v>93</v>
      </c>
      <c r="E3281" t="s">
        <v>25</v>
      </c>
      <c r="F3281" t="s">
        <v>26</v>
      </c>
      <c r="G3281" t="s">
        <v>22</v>
      </c>
      <c r="H3281">
        <v>-0.37822941862444209</v>
      </c>
      <c r="I3281">
        <v>2</v>
      </c>
      <c r="J3281" t="s">
        <v>23</v>
      </c>
      <c r="K3281" s="59" t="s">
        <v>17</v>
      </c>
    </row>
    <row r="3282" spans="1:11" x14ac:dyDescent="0.2">
      <c r="A3282" t="s">
        <v>3321</v>
      </c>
      <c r="B3282">
        <v>2021</v>
      </c>
      <c r="C3282" t="s">
        <v>19</v>
      </c>
      <c r="D3282">
        <v>71</v>
      </c>
      <c r="E3282" t="s">
        <v>53</v>
      </c>
      <c r="F3282" t="s">
        <v>54</v>
      </c>
      <c r="G3282" t="s">
        <v>15</v>
      </c>
      <c r="H3282">
        <v>0.52550401677886149</v>
      </c>
      <c r="I3282">
        <v>3</v>
      </c>
      <c r="J3282" t="s">
        <v>16</v>
      </c>
      <c r="K3282" s="59" t="s">
        <v>17</v>
      </c>
    </row>
    <row r="3283" spans="1:11" x14ac:dyDescent="0.2">
      <c r="A3283" t="s">
        <v>3322</v>
      </c>
      <c r="B3283">
        <v>2024</v>
      </c>
      <c r="C3283" t="s">
        <v>33</v>
      </c>
      <c r="D3283">
        <v>156</v>
      </c>
      <c r="E3283" t="s">
        <v>20</v>
      </c>
      <c r="F3283" t="s">
        <v>21</v>
      </c>
      <c r="G3283" t="s">
        <v>41</v>
      </c>
      <c r="H3283">
        <v>0.29682832847670237</v>
      </c>
      <c r="I3283">
        <v>3</v>
      </c>
      <c r="J3283" t="s">
        <v>16</v>
      </c>
      <c r="K3283" s="59" t="s">
        <v>4376</v>
      </c>
    </row>
    <row r="3284" spans="1:11" x14ac:dyDescent="0.2">
      <c r="A3284" t="s">
        <v>3323</v>
      </c>
      <c r="B3284">
        <v>2021</v>
      </c>
      <c r="C3284" t="s">
        <v>12</v>
      </c>
      <c r="D3284">
        <v>411</v>
      </c>
      <c r="E3284" t="s">
        <v>29</v>
      </c>
      <c r="F3284" t="s">
        <v>30</v>
      </c>
      <c r="G3284" t="s">
        <v>15</v>
      </c>
      <c r="H3284">
        <v>0.34487221106710803</v>
      </c>
      <c r="I3284">
        <v>4</v>
      </c>
      <c r="J3284" t="s">
        <v>16</v>
      </c>
      <c r="K3284" s="59" t="s">
        <v>17</v>
      </c>
    </row>
    <row r="3285" spans="1:11" x14ac:dyDescent="0.2">
      <c r="A3285" t="s">
        <v>3324</v>
      </c>
      <c r="B3285">
        <v>2024</v>
      </c>
      <c r="C3285" t="s">
        <v>19</v>
      </c>
      <c r="D3285">
        <v>259</v>
      </c>
      <c r="E3285" t="s">
        <v>20</v>
      </c>
      <c r="F3285" t="s">
        <v>21</v>
      </c>
      <c r="G3285" t="s">
        <v>41</v>
      </c>
      <c r="H3285">
        <v>1.0241278986349609</v>
      </c>
      <c r="I3285">
        <v>3</v>
      </c>
      <c r="J3285" t="s">
        <v>16</v>
      </c>
      <c r="K3285" s="59" t="s">
        <v>17</v>
      </c>
    </row>
    <row r="3286" spans="1:11" x14ac:dyDescent="0.2">
      <c r="A3286" t="s">
        <v>3325</v>
      </c>
      <c r="B3286">
        <v>2023</v>
      </c>
      <c r="C3286" t="s">
        <v>33</v>
      </c>
      <c r="D3286">
        <v>383</v>
      </c>
      <c r="E3286" t="s">
        <v>29</v>
      </c>
      <c r="F3286" t="s">
        <v>30</v>
      </c>
      <c r="G3286" t="s">
        <v>15</v>
      </c>
      <c r="H3286">
        <v>0.21436445001295959</v>
      </c>
      <c r="I3286">
        <v>4</v>
      </c>
      <c r="J3286" t="s">
        <v>16</v>
      </c>
      <c r="K3286" s="59" t="s">
        <v>4376</v>
      </c>
    </row>
    <row r="3287" spans="1:11" x14ac:dyDescent="0.2">
      <c r="A3287" t="s">
        <v>3326</v>
      </c>
      <c r="B3287">
        <v>2024</v>
      </c>
      <c r="C3287" t="s">
        <v>33</v>
      </c>
      <c r="D3287">
        <v>36</v>
      </c>
      <c r="E3287" t="s">
        <v>38</v>
      </c>
      <c r="F3287" t="s">
        <v>39</v>
      </c>
      <c r="G3287" t="s">
        <v>15</v>
      </c>
      <c r="H3287">
        <v>-2.712235896922381</v>
      </c>
      <c r="I3287">
        <v>3</v>
      </c>
      <c r="J3287" t="s">
        <v>23</v>
      </c>
      <c r="K3287" s="59" t="s">
        <v>4376</v>
      </c>
    </row>
    <row r="3288" spans="1:11" x14ac:dyDescent="0.2">
      <c r="A3288" t="s">
        <v>3327</v>
      </c>
      <c r="B3288">
        <v>2024</v>
      </c>
      <c r="C3288" t="s">
        <v>33</v>
      </c>
      <c r="D3288">
        <v>36</v>
      </c>
      <c r="E3288" t="s">
        <v>38</v>
      </c>
      <c r="F3288" t="s">
        <v>39</v>
      </c>
      <c r="G3288" t="s">
        <v>15</v>
      </c>
      <c r="H3288">
        <v>-2.712235896922381</v>
      </c>
      <c r="I3288">
        <v>3</v>
      </c>
      <c r="J3288" t="s">
        <v>23</v>
      </c>
      <c r="K3288" s="59" t="s">
        <v>4376</v>
      </c>
    </row>
    <row r="3289" spans="1:11" x14ac:dyDescent="0.2">
      <c r="A3289" t="s">
        <v>3328</v>
      </c>
      <c r="B3289">
        <v>2022</v>
      </c>
      <c r="C3289" t="s">
        <v>19</v>
      </c>
      <c r="D3289">
        <v>55</v>
      </c>
      <c r="E3289" t="s">
        <v>20</v>
      </c>
      <c r="F3289" t="s">
        <v>21</v>
      </c>
      <c r="G3289" t="s">
        <v>15</v>
      </c>
      <c r="H3289">
        <v>1.207133472294913</v>
      </c>
      <c r="I3289">
        <v>3</v>
      </c>
      <c r="J3289" t="s">
        <v>23</v>
      </c>
      <c r="K3289" s="59" t="s">
        <v>23</v>
      </c>
    </row>
    <row r="3290" spans="1:11" x14ac:dyDescent="0.2">
      <c r="A3290" t="s">
        <v>3329</v>
      </c>
      <c r="B3290">
        <v>2021</v>
      </c>
      <c r="C3290" t="s">
        <v>12</v>
      </c>
      <c r="D3290">
        <v>382</v>
      </c>
      <c r="E3290" t="s">
        <v>29</v>
      </c>
      <c r="F3290" t="s">
        <v>30</v>
      </c>
      <c r="G3290" t="s">
        <v>15</v>
      </c>
      <c r="H3290">
        <v>-0.1911280323988247</v>
      </c>
      <c r="I3290">
        <v>4</v>
      </c>
      <c r="J3290" t="s">
        <v>23</v>
      </c>
      <c r="K3290" s="59" t="s">
        <v>16</v>
      </c>
    </row>
    <row r="3291" spans="1:11" x14ac:dyDescent="0.2">
      <c r="A3291" t="s">
        <v>3330</v>
      </c>
      <c r="B3291">
        <v>2025</v>
      </c>
      <c r="C3291" t="s">
        <v>19</v>
      </c>
      <c r="D3291">
        <v>65</v>
      </c>
      <c r="E3291" t="s">
        <v>25</v>
      </c>
      <c r="F3291" t="s">
        <v>26</v>
      </c>
      <c r="G3291" t="s">
        <v>15</v>
      </c>
      <c r="H3291">
        <v>0.46058692577733279</v>
      </c>
      <c r="I3291">
        <v>2</v>
      </c>
      <c r="J3291" t="s">
        <v>23</v>
      </c>
      <c r="K3291" s="59" t="s">
        <v>16</v>
      </c>
    </row>
    <row r="3292" spans="1:11" x14ac:dyDescent="0.2">
      <c r="A3292" t="s">
        <v>3331</v>
      </c>
      <c r="B3292">
        <v>2021</v>
      </c>
      <c r="C3292" t="s">
        <v>12</v>
      </c>
      <c r="D3292">
        <v>399</v>
      </c>
      <c r="E3292" t="s">
        <v>29</v>
      </c>
      <c r="F3292" t="s">
        <v>30</v>
      </c>
      <c r="G3292" t="s">
        <v>15</v>
      </c>
      <c r="H3292">
        <v>0.20729434749458239</v>
      </c>
      <c r="I3292">
        <v>4</v>
      </c>
      <c r="J3292" t="s">
        <v>23</v>
      </c>
      <c r="K3292" s="59" t="s">
        <v>23</v>
      </c>
    </row>
    <row r="3293" spans="1:11" x14ac:dyDescent="0.2">
      <c r="A3293" t="s">
        <v>3332</v>
      </c>
      <c r="B3293">
        <v>2024</v>
      </c>
      <c r="C3293" t="s">
        <v>33</v>
      </c>
      <c r="D3293">
        <v>37</v>
      </c>
      <c r="E3293" t="s">
        <v>38</v>
      </c>
      <c r="F3293" t="s">
        <v>39</v>
      </c>
      <c r="G3293" t="s">
        <v>15</v>
      </c>
      <c r="H3293">
        <v>-2.712235896922381</v>
      </c>
      <c r="I3293">
        <v>3</v>
      </c>
      <c r="J3293" t="s">
        <v>23</v>
      </c>
      <c r="K3293" s="59" t="s">
        <v>16</v>
      </c>
    </row>
    <row r="3294" spans="1:11" x14ac:dyDescent="0.2">
      <c r="A3294" t="s">
        <v>3333</v>
      </c>
      <c r="B3294">
        <v>2021</v>
      </c>
      <c r="C3294" t="s">
        <v>33</v>
      </c>
      <c r="D3294">
        <v>177</v>
      </c>
      <c r="E3294" t="s">
        <v>29</v>
      </c>
      <c r="F3294" t="s">
        <v>30</v>
      </c>
      <c r="G3294" t="s">
        <v>15</v>
      </c>
      <c r="H3294">
        <v>1.4821769368013891</v>
      </c>
      <c r="I3294">
        <v>4</v>
      </c>
      <c r="J3294" t="s">
        <v>23</v>
      </c>
      <c r="K3294" s="59" t="s">
        <v>17</v>
      </c>
    </row>
    <row r="3295" spans="1:11" x14ac:dyDescent="0.2">
      <c r="A3295" t="s">
        <v>3334</v>
      </c>
      <c r="B3295">
        <v>2024</v>
      </c>
      <c r="C3295" t="s">
        <v>33</v>
      </c>
      <c r="D3295">
        <v>196</v>
      </c>
      <c r="E3295" t="s">
        <v>25</v>
      </c>
      <c r="F3295" t="s">
        <v>26</v>
      </c>
      <c r="G3295" t="s">
        <v>15</v>
      </c>
      <c r="H3295">
        <v>0.2221610653711947</v>
      </c>
      <c r="I3295">
        <v>2</v>
      </c>
      <c r="J3295" t="s">
        <v>17</v>
      </c>
      <c r="K3295" s="59" t="s">
        <v>4376</v>
      </c>
    </row>
    <row r="3296" spans="1:11" x14ac:dyDescent="0.2">
      <c r="A3296" t="s">
        <v>3335</v>
      </c>
      <c r="B3296">
        <v>2022</v>
      </c>
      <c r="C3296" t="s">
        <v>33</v>
      </c>
      <c r="D3296">
        <v>98</v>
      </c>
      <c r="E3296" t="s">
        <v>20</v>
      </c>
      <c r="F3296" t="s">
        <v>21</v>
      </c>
      <c r="G3296" t="s">
        <v>48</v>
      </c>
      <c r="H3296">
        <v>-0.24747783999191811</v>
      </c>
      <c r="I3296">
        <v>3</v>
      </c>
      <c r="J3296" t="s">
        <v>23</v>
      </c>
      <c r="K3296" s="59" t="s">
        <v>4376</v>
      </c>
    </row>
    <row r="3297" spans="1:11" x14ac:dyDescent="0.2">
      <c r="A3297" t="s">
        <v>3336</v>
      </c>
      <c r="B3297">
        <v>2021</v>
      </c>
      <c r="C3297" t="s">
        <v>19</v>
      </c>
      <c r="D3297">
        <v>70</v>
      </c>
      <c r="E3297" t="s">
        <v>53</v>
      </c>
      <c r="F3297" t="s">
        <v>54</v>
      </c>
      <c r="G3297" t="s">
        <v>15</v>
      </c>
      <c r="H3297">
        <v>0.51548005419774312</v>
      </c>
      <c r="I3297">
        <v>3</v>
      </c>
      <c r="J3297" t="s">
        <v>16</v>
      </c>
      <c r="K3297" s="59" t="s">
        <v>17</v>
      </c>
    </row>
    <row r="3298" spans="1:11" x14ac:dyDescent="0.2">
      <c r="A3298" t="s">
        <v>3337</v>
      </c>
      <c r="B3298">
        <v>2024</v>
      </c>
      <c r="C3298" t="s">
        <v>33</v>
      </c>
      <c r="D3298">
        <v>38</v>
      </c>
      <c r="E3298" t="s">
        <v>38</v>
      </c>
      <c r="F3298" t="s">
        <v>39</v>
      </c>
      <c r="G3298" t="s">
        <v>15</v>
      </c>
      <c r="H3298">
        <v>-2.505953298542523</v>
      </c>
      <c r="I3298">
        <v>3</v>
      </c>
      <c r="J3298" t="s">
        <v>23</v>
      </c>
      <c r="K3298" s="59" t="s">
        <v>17</v>
      </c>
    </row>
    <row r="3299" spans="1:11" x14ac:dyDescent="0.2">
      <c r="A3299" t="s">
        <v>3338</v>
      </c>
      <c r="B3299">
        <v>2024</v>
      </c>
      <c r="C3299" t="s">
        <v>33</v>
      </c>
      <c r="D3299">
        <v>36</v>
      </c>
      <c r="E3299" t="s">
        <v>38</v>
      </c>
      <c r="F3299" t="s">
        <v>39</v>
      </c>
      <c r="G3299" t="s">
        <v>15</v>
      </c>
      <c r="H3299">
        <v>-2.712235896922381</v>
      </c>
      <c r="I3299">
        <v>3</v>
      </c>
      <c r="J3299" t="s">
        <v>23</v>
      </c>
      <c r="K3299" s="59" t="s">
        <v>16</v>
      </c>
    </row>
    <row r="3300" spans="1:11" x14ac:dyDescent="0.2">
      <c r="A3300" t="s">
        <v>3339</v>
      </c>
      <c r="B3300">
        <v>2021</v>
      </c>
      <c r="C3300" t="s">
        <v>19</v>
      </c>
      <c r="D3300">
        <v>108</v>
      </c>
      <c r="E3300" t="s">
        <v>20</v>
      </c>
      <c r="F3300" t="s">
        <v>21</v>
      </c>
      <c r="G3300" t="s">
        <v>15</v>
      </c>
      <c r="H3300">
        <v>-0.56767529867140909</v>
      </c>
      <c r="I3300">
        <v>3</v>
      </c>
      <c r="J3300" t="s">
        <v>23</v>
      </c>
      <c r="K3300" s="59" t="s">
        <v>4376</v>
      </c>
    </row>
    <row r="3301" spans="1:11" x14ac:dyDescent="0.2">
      <c r="A3301" t="s">
        <v>3340</v>
      </c>
      <c r="B3301">
        <v>2021</v>
      </c>
      <c r="C3301" t="s">
        <v>19</v>
      </c>
      <c r="D3301">
        <v>343</v>
      </c>
      <c r="E3301" t="s">
        <v>38</v>
      </c>
      <c r="F3301" t="s">
        <v>39</v>
      </c>
      <c r="G3301" t="s">
        <v>15</v>
      </c>
      <c r="H3301">
        <v>0.79091725609484598</v>
      </c>
      <c r="I3301">
        <v>3</v>
      </c>
      <c r="J3301" t="s">
        <v>23</v>
      </c>
      <c r="K3301" s="59" t="s">
        <v>23</v>
      </c>
    </row>
    <row r="3302" spans="1:11" x14ac:dyDescent="0.2">
      <c r="A3302" t="s">
        <v>3341</v>
      </c>
      <c r="B3302">
        <v>2022</v>
      </c>
      <c r="C3302" t="s">
        <v>33</v>
      </c>
      <c r="D3302">
        <v>352</v>
      </c>
      <c r="E3302" t="s">
        <v>53</v>
      </c>
      <c r="F3302" t="s">
        <v>54</v>
      </c>
      <c r="G3302" t="s">
        <v>36</v>
      </c>
      <c r="H3302">
        <v>5.4377775466296963E-2</v>
      </c>
      <c r="I3302">
        <v>3</v>
      </c>
      <c r="J3302" t="s">
        <v>16</v>
      </c>
      <c r="K3302" s="59" t="s">
        <v>17</v>
      </c>
    </row>
    <row r="3303" spans="1:11" x14ac:dyDescent="0.2">
      <c r="A3303" t="s">
        <v>3342</v>
      </c>
      <c r="B3303">
        <v>2021</v>
      </c>
      <c r="C3303" t="s">
        <v>33</v>
      </c>
      <c r="D3303">
        <v>382</v>
      </c>
      <c r="E3303" t="s">
        <v>29</v>
      </c>
      <c r="F3303" t="s">
        <v>30</v>
      </c>
      <c r="G3303" t="s">
        <v>15</v>
      </c>
      <c r="H3303">
        <v>-0.1911280323988247</v>
      </c>
      <c r="I3303">
        <v>4</v>
      </c>
      <c r="J3303" t="s">
        <v>17</v>
      </c>
      <c r="K3303" s="59" t="s">
        <v>17</v>
      </c>
    </row>
    <row r="3304" spans="1:11" x14ac:dyDescent="0.2">
      <c r="A3304" t="s">
        <v>3343</v>
      </c>
      <c r="B3304">
        <v>2024</v>
      </c>
      <c r="C3304" t="s">
        <v>33</v>
      </c>
      <c r="D3304">
        <v>37</v>
      </c>
      <c r="E3304" t="s">
        <v>38</v>
      </c>
      <c r="F3304" t="s">
        <v>39</v>
      </c>
      <c r="G3304" t="s">
        <v>15</v>
      </c>
      <c r="H3304">
        <v>-2.712235896922381</v>
      </c>
      <c r="I3304">
        <v>3</v>
      </c>
      <c r="J3304" t="s">
        <v>23</v>
      </c>
      <c r="K3304" s="59" t="s">
        <v>17</v>
      </c>
    </row>
    <row r="3305" spans="1:11" x14ac:dyDescent="0.2">
      <c r="A3305" t="s">
        <v>3344</v>
      </c>
      <c r="B3305">
        <v>2021</v>
      </c>
      <c r="C3305" t="s">
        <v>12</v>
      </c>
      <c r="D3305">
        <v>301</v>
      </c>
      <c r="E3305" t="s">
        <v>29</v>
      </c>
      <c r="F3305" t="s">
        <v>30</v>
      </c>
      <c r="G3305" t="s">
        <v>15</v>
      </c>
      <c r="H3305">
        <v>0.79886582966811115</v>
      </c>
      <c r="I3305">
        <v>4</v>
      </c>
      <c r="J3305" t="s">
        <v>16</v>
      </c>
      <c r="K3305" s="59" t="s">
        <v>23</v>
      </c>
    </row>
    <row r="3306" spans="1:11" x14ac:dyDescent="0.2">
      <c r="A3306" t="s">
        <v>3345</v>
      </c>
      <c r="B3306">
        <v>2021</v>
      </c>
      <c r="C3306" t="s">
        <v>33</v>
      </c>
      <c r="D3306">
        <v>312</v>
      </c>
      <c r="E3306" t="s">
        <v>38</v>
      </c>
      <c r="F3306" t="s">
        <v>39</v>
      </c>
      <c r="G3306" t="s">
        <v>15</v>
      </c>
      <c r="H3306">
        <v>0.60221472720671299</v>
      </c>
      <c r="I3306">
        <v>3</v>
      </c>
      <c r="J3306" t="s">
        <v>23</v>
      </c>
      <c r="K3306" s="59" t="s">
        <v>23</v>
      </c>
    </row>
    <row r="3307" spans="1:11" x14ac:dyDescent="0.2">
      <c r="A3307" t="s">
        <v>3346</v>
      </c>
      <c r="B3307">
        <v>2024</v>
      </c>
      <c r="C3307" t="s">
        <v>33</v>
      </c>
      <c r="D3307">
        <v>36</v>
      </c>
      <c r="E3307" t="s">
        <v>38</v>
      </c>
      <c r="F3307" t="s">
        <v>39</v>
      </c>
      <c r="G3307" t="s">
        <v>15</v>
      </c>
      <c r="H3307">
        <v>-2.712235896922381</v>
      </c>
      <c r="I3307">
        <v>3</v>
      </c>
      <c r="J3307" t="s">
        <v>23</v>
      </c>
      <c r="K3307" s="59" t="s">
        <v>17</v>
      </c>
    </row>
    <row r="3308" spans="1:11" x14ac:dyDescent="0.2">
      <c r="A3308" t="s">
        <v>3347</v>
      </c>
      <c r="B3308">
        <v>2021</v>
      </c>
      <c r="C3308" t="s">
        <v>19</v>
      </c>
      <c r="D3308">
        <v>319</v>
      </c>
      <c r="E3308" t="s">
        <v>38</v>
      </c>
      <c r="F3308" t="s">
        <v>39</v>
      </c>
      <c r="G3308" t="s">
        <v>15</v>
      </c>
      <c r="H3308">
        <v>0.6155305486394721</v>
      </c>
      <c r="I3308">
        <v>3</v>
      </c>
      <c r="J3308" t="s">
        <v>16</v>
      </c>
      <c r="K3308" s="59" t="s">
        <v>23</v>
      </c>
    </row>
    <row r="3309" spans="1:11" x14ac:dyDescent="0.2">
      <c r="A3309" t="s">
        <v>3348</v>
      </c>
      <c r="B3309">
        <v>2024</v>
      </c>
      <c r="C3309" t="s">
        <v>19</v>
      </c>
      <c r="D3309">
        <v>36</v>
      </c>
      <c r="E3309" t="s">
        <v>38</v>
      </c>
      <c r="F3309" t="s">
        <v>39</v>
      </c>
      <c r="G3309" t="s">
        <v>15</v>
      </c>
      <c r="H3309">
        <v>-2.712235896922381</v>
      </c>
      <c r="I3309">
        <v>3</v>
      </c>
      <c r="J3309" t="s">
        <v>23</v>
      </c>
      <c r="K3309" s="59" t="s">
        <v>16</v>
      </c>
    </row>
    <row r="3310" spans="1:11" x14ac:dyDescent="0.2">
      <c r="A3310" t="s">
        <v>3349</v>
      </c>
      <c r="B3310">
        <v>2022</v>
      </c>
      <c r="C3310" t="s">
        <v>33</v>
      </c>
      <c r="D3310">
        <v>352</v>
      </c>
      <c r="E3310" t="s">
        <v>53</v>
      </c>
      <c r="F3310" t="s">
        <v>54</v>
      </c>
      <c r="G3310" t="s">
        <v>36</v>
      </c>
      <c r="H3310">
        <v>5.4377775466296963E-2</v>
      </c>
      <c r="I3310">
        <v>3</v>
      </c>
      <c r="J3310" t="s">
        <v>16</v>
      </c>
      <c r="K3310" s="59" t="s">
        <v>23</v>
      </c>
    </row>
    <row r="3311" spans="1:11" x14ac:dyDescent="0.2">
      <c r="A3311" t="s">
        <v>3350</v>
      </c>
      <c r="B3311">
        <v>2022</v>
      </c>
      <c r="C3311" t="s">
        <v>19</v>
      </c>
      <c r="D3311">
        <v>100</v>
      </c>
      <c r="E3311" t="s">
        <v>25</v>
      </c>
      <c r="F3311" t="s">
        <v>26</v>
      </c>
      <c r="G3311" t="s">
        <v>80</v>
      </c>
      <c r="H3311">
        <v>-0.69316682793165418</v>
      </c>
      <c r="I3311">
        <v>2</v>
      </c>
      <c r="J3311" t="s">
        <v>23</v>
      </c>
      <c r="K3311" s="59" t="s">
        <v>4376</v>
      </c>
    </row>
    <row r="3312" spans="1:11" x14ac:dyDescent="0.2">
      <c r="A3312" t="s">
        <v>3351</v>
      </c>
      <c r="B3312">
        <v>2021</v>
      </c>
      <c r="C3312" t="s">
        <v>12</v>
      </c>
      <c r="D3312">
        <v>300</v>
      </c>
      <c r="E3312" t="s">
        <v>38</v>
      </c>
      <c r="F3312" t="s">
        <v>39</v>
      </c>
      <c r="G3312" t="s">
        <v>15</v>
      </c>
      <c r="H3312">
        <v>8.7313652518543006E-2</v>
      </c>
      <c r="I3312">
        <v>3</v>
      </c>
      <c r="J3312" t="s">
        <v>23</v>
      </c>
      <c r="K3312" s="59" t="s">
        <v>4376</v>
      </c>
    </row>
    <row r="3313" spans="1:11" x14ac:dyDescent="0.2">
      <c r="A3313" t="s">
        <v>3352</v>
      </c>
      <c r="B3313">
        <v>2024</v>
      </c>
      <c r="C3313" t="s">
        <v>33</v>
      </c>
      <c r="D3313">
        <v>37</v>
      </c>
      <c r="E3313" t="s">
        <v>38</v>
      </c>
      <c r="F3313" t="s">
        <v>39</v>
      </c>
      <c r="G3313" t="s">
        <v>15</v>
      </c>
      <c r="H3313">
        <v>-2.712235896922381</v>
      </c>
      <c r="I3313">
        <v>3</v>
      </c>
      <c r="J3313" t="s">
        <v>23</v>
      </c>
      <c r="K3313" s="59" t="s">
        <v>17</v>
      </c>
    </row>
    <row r="3314" spans="1:11" x14ac:dyDescent="0.2">
      <c r="A3314" t="s">
        <v>3353</v>
      </c>
      <c r="B3314">
        <v>2021</v>
      </c>
      <c r="C3314" t="s">
        <v>33</v>
      </c>
      <c r="D3314">
        <v>104</v>
      </c>
      <c r="E3314" t="s">
        <v>13</v>
      </c>
      <c r="F3314" t="s">
        <v>14</v>
      </c>
      <c r="G3314" t="s">
        <v>41</v>
      </c>
      <c r="H3314">
        <v>-1.506276091009368</v>
      </c>
      <c r="I3314">
        <v>4</v>
      </c>
      <c r="J3314" t="s">
        <v>23</v>
      </c>
      <c r="K3314" s="59" t="s">
        <v>17</v>
      </c>
    </row>
    <row r="3315" spans="1:11" x14ac:dyDescent="0.2">
      <c r="A3315" t="s">
        <v>3354</v>
      </c>
      <c r="B3315">
        <v>2021</v>
      </c>
      <c r="C3315" t="s">
        <v>12</v>
      </c>
      <c r="D3315">
        <v>312</v>
      </c>
      <c r="E3315" t="s">
        <v>38</v>
      </c>
      <c r="F3315" t="s">
        <v>39</v>
      </c>
      <c r="G3315" t="s">
        <v>15</v>
      </c>
      <c r="H3315">
        <v>0.60221472720671299</v>
      </c>
      <c r="I3315">
        <v>3</v>
      </c>
      <c r="J3315" t="s">
        <v>23</v>
      </c>
      <c r="K3315" s="59" t="s">
        <v>16</v>
      </c>
    </row>
    <row r="3316" spans="1:11" x14ac:dyDescent="0.2">
      <c r="A3316" t="s">
        <v>3355</v>
      </c>
      <c r="B3316">
        <v>2021</v>
      </c>
      <c r="C3316" t="s">
        <v>19</v>
      </c>
      <c r="D3316">
        <v>382</v>
      </c>
      <c r="E3316" t="s">
        <v>29</v>
      </c>
      <c r="F3316" t="s">
        <v>30</v>
      </c>
      <c r="G3316" t="s">
        <v>15</v>
      </c>
      <c r="H3316">
        <v>-0.1911280323988247</v>
      </c>
      <c r="I3316">
        <v>4</v>
      </c>
      <c r="J3316" t="s">
        <v>17</v>
      </c>
      <c r="K3316" s="59" t="s">
        <v>17</v>
      </c>
    </row>
    <row r="3317" spans="1:11" x14ac:dyDescent="0.2">
      <c r="A3317" t="s">
        <v>3356</v>
      </c>
      <c r="B3317">
        <v>2024</v>
      </c>
      <c r="C3317" t="s">
        <v>33</v>
      </c>
      <c r="D3317">
        <v>36</v>
      </c>
      <c r="E3317" t="s">
        <v>38</v>
      </c>
      <c r="F3317" t="s">
        <v>39</v>
      </c>
      <c r="G3317" t="s">
        <v>15</v>
      </c>
      <c r="H3317">
        <v>-2.712235896922381</v>
      </c>
      <c r="I3317">
        <v>3</v>
      </c>
      <c r="J3317" t="s">
        <v>23</v>
      </c>
      <c r="K3317" s="59" t="s">
        <v>16</v>
      </c>
    </row>
    <row r="3318" spans="1:11" x14ac:dyDescent="0.2">
      <c r="A3318" t="s">
        <v>3357</v>
      </c>
      <c r="B3318">
        <v>2024</v>
      </c>
      <c r="C3318" t="s">
        <v>19</v>
      </c>
      <c r="D3318">
        <v>305</v>
      </c>
      <c r="E3318" t="s">
        <v>38</v>
      </c>
      <c r="F3318" t="s">
        <v>39</v>
      </c>
      <c r="G3318" t="s">
        <v>36</v>
      </c>
      <c r="H3318">
        <v>-1.028563139723403</v>
      </c>
      <c r="I3318">
        <v>3</v>
      </c>
      <c r="J3318" t="s">
        <v>17</v>
      </c>
      <c r="K3318" s="59" t="s">
        <v>4376</v>
      </c>
    </row>
    <row r="3319" spans="1:11" x14ac:dyDescent="0.2">
      <c r="A3319" t="s">
        <v>3358</v>
      </c>
      <c r="B3319">
        <v>2021</v>
      </c>
      <c r="C3319" t="s">
        <v>33</v>
      </c>
      <c r="D3319">
        <v>311</v>
      </c>
      <c r="E3319" t="s">
        <v>38</v>
      </c>
      <c r="F3319" t="s">
        <v>39</v>
      </c>
      <c r="G3319" t="s">
        <v>15</v>
      </c>
      <c r="H3319">
        <v>0.60221472720671299</v>
      </c>
      <c r="I3319">
        <v>3</v>
      </c>
      <c r="J3319" t="s">
        <v>23</v>
      </c>
      <c r="K3319" s="59" t="s">
        <v>17</v>
      </c>
    </row>
    <row r="3320" spans="1:11" x14ac:dyDescent="0.2">
      <c r="A3320" t="s">
        <v>3359</v>
      </c>
      <c r="B3320">
        <v>2021</v>
      </c>
      <c r="C3320" t="s">
        <v>12</v>
      </c>
      <c r="D3320">
        <v>245</v>
      </c>
      <c r="E3320" t="s">
        <v>25</v>
      </c>
      <c r="F3320" t="s">
        <v>26</v>
      </c>
      <c r="G3320" t="s">
        <v>15</v>
      </c>
      <c r="H3320">
        <v>0.6067194412658804</v>
      </c>
      <c r="I3320">
        <v>2</v>
      </c>
      <c r="J3320" t="s">
        <v>23</v>
      </c>
      <c r="K3320" s="59" t="s">
        <v>17</v>
      </c>
    </row>
    <row r="3321" spans="1:11" x14ac:dyDescent="0.2">
      <c r="A3321" t="s">
        <v>3360</v>
      </c>
      <c r="B3321">
        <v>2021</v>
      </c>
      <c r="C3321" t="s">
        <v>33</v>
      </c>
      <c r="D3321">
        <v>382</v>
      </c>
      <c r="E3321" t="s">
        <v>29</v>
      </c>
      <c r="F3321" t="s">
        <v>30</v>
      </c>
      <c r="G3321" t="s">
        <v>15</v>
      </c>
      <c r="H3321">
        <v>-0.1911280323988247</v>
      </c>
      <c r="I3321">
        <v>4</v>
      </c>
      <c r="J3321" t="s">
        <v>17</v>
      </c>
      <c r="K3321" s="59" t="s">
        <v>17</v>
      </c>
    </row>
    <row r="3322" spans="1:11" x14ac:dyDescent="0.2">
      <c r="A3322" t="s">
        <v>3361</v>
      </c>
      <c r="B3322">
        <v>2022</v>
      </c>
      <c r="C3322" t="s">
        <v>33</v>
      </c>
      <c r="D3322">
        <v>44</v>
      </c>
      <c r="E3322" t="s">
        <v>20</v>
      </c>
      <c r="F3322" t="s">
        <v>21</v>
      </c>
      <c r="G3322" t="s">
        <v>15</v>
      </c>
      <c r="H3322">
        <v>-0.98042152447753039</v>
      </c>
      <c r="I3322">
        <v>3</v>
      </c>
      <c r="J3322" t="s">
        <v>23</v>
      </c>
      <c r="K3322" s="59" t="s">
        <v>4376</v>
      </c>
    </row>
    <row r="3323" spans="1:11" x14ac:dyDescent="0.2">
      <c r="A3323" t="s">
        <v>3362</v>
      </c>
      <c r="B3323">
        <v>2024</v>
      </c>
      <c r="C3323" t="s">
        <v>33</v>
      </c>
      <c r="D3323">
        <v>81</v>
      </c>
      <c r="E3323" t="s">
        <v>25</v>
      </c>
      <c r="F3323" t="s">
        <v>26</v>
      </c>
      <c r="G3323" t="s">
        <v>22</v>
      </c>
      <c r="H3323">
        <v>0.60415356933840592</v>
      </c>
      <c r="I3323">
        <v>2</v>
      </c>
      <c r="J3323" t="s">
        <v>16</v>
      </c>
      <c r="K3323" s="59" t="s">
        <v>17</v>
      </c>
    </row>
    <row r="3324" spans="1:11" x14ac:dyDescent="0.2">
      <c r="A3324" t="s">
        <v>3363</v>
      </c>
      <c r="B3324">
        <v>2024</v>
      </c>
      <c r="C3324" t="s">
        <v>19</v>
      </c>
      <c r="D3324">
        <v>36</v>
      </c>
      <c r="E3324" t="s">
        <v>38</v>
      </c>
      <c r="F3324" t="s">
        <v>39</v>
      </c>
      <c r="G3324" t="s">
        <v>15</v>
      </c>
      <c r="H3324">
        <v>-2.712235896922381</v>
      </c>
      <c r="I3324">
        <v>3</v>
      </c>
      <c r="J3324" t="s">
        <v>23</v>
      </c>
      <c r="K3324" s="59" t="s">
        <v>17</v>
      </c>
    </row>
    <row r="3325" spans="1:11" x14ac:dyDescent="0.2">
      <c r="A3325" t="s">
        <v>3364</v>
      </c>
      <c r="B3325">
        <v>2023</v>
      </c>
      <c r="C3325" t="s">
        <v>19</v>
      </c>
      <c r="D3325">
        <v>108</v>
      </c>
      <c r="E3325" t="s">
        <v>20</v>
      </c>
      <c r="F3325" t="s">
        <v>21</v>
      </c>
      <c r="G3325" t="s">
        <v>41</v>
      </c>
      <c r="H3325">
        <v>-0.61936875801994262</v>
      </c>
      <c r="I3325">
        <v>3</v>
      </c>
      <c r="J3325" t="s">
        <v>23</v>
      </c>
      <c r="K3325" s="59" t="s">
        <v>23</v>
      </c>
    </row>
    <row r="3326" spans="1:11" x14ac:dyDescent="0.2">
      <c r="A3326" t="s">
        <v>3365</v>
      </c>
      <c r="B3326">
        <v>2021</v>
      </c>
      <c r="C3326" t="s">
        <v>33</v>
      </c>
      <c r="D3326">
        <v>311</v>
      </c>
      <c r="E3326" t="s">
        <v>38</v>
      </c>
      <c r="F3326" t="s">
        <v>39</v>
      </c>
      <c r="G3326" t="s">
        <v>15</v>
      </c>
      <c r="H3326">
        <v>0.60221472720671299</v>
      </c>
      <c r="I3326">
        <v>3</v>
      </c>
      <c r="J3326" t="s">
        <v>23</v>
      </c>
      <c r="K3326" s="59" t="s">
        <v>16</v>
      </c>
    </row>
    <row r="3327" spans="1:11" x14ac:dyDescent="0.2">
      <c r="A3327" t="s">
        <v>3366</v>
      </c>
      <c r="B3327">
        <v>2022</v>
      </c>
      <c r="C3327" t="s">
        <v>33</v>
      </c>
      <c r="D3327">
        <v>352</v>
      </c>
      <c r="E3327" t="s">
        <v>53</v>
      </c>
      <c r="F3327" t="s">
        <v>54</v>
      </c>
      <c r="G3327" t="s">
        <v>36</v>
      </c>
      <c r="H3327">
        <v>5.4377775466296963E-2</v>
      </c>
      <c r="I3327">
        <v>3</v>
      </c>
      <c r="J3327" t="s">
        <v>16</v>
      </c>
      <c r="K3327" s="59" t="s">
        <v>16</v>
      </c>
    </row>
    <row r="3328" spans="1:11" x14ac:dyDescent="0.2">
      <c r="A3328" t="s">
        <v>3367</v>
      </c>
      <c r="B3328">
        <v>2021</v>
      </c>
      <c r="C3328" t="s">
        <v>12</v>
      </c>
      <c r="D3328">
        <v>313</v>
      </c>
      <c r="E3328" t="s">
        <v>38</v>
      </c>
      <c r="F3328" t="s">
        <v>39</v>
      </c>
      <c r="G3328" t="s">
        <v>15</v>
      </c>
      <c r="H3328">
        <v>0.60608002270248429</v>
      </c>
      <c r="I3328">
        <v>3</v>
      </c>
      <c r="J3328" t="s">
        <v>23</v>
      </c>
      <c r="K3328" s="59" t="s">
        <v>16</v>
      </c>
    </row>
    <row r="3329" spans="1:11" x14ac:dyDescent="0.2">
      <c r="A3329" t="s">
        <v>3368</v>
      </c>
      <c r="B3329">
        <v>2021</v>
      </c>
      <c r="C3329" t="s">
        <v>19</v>
      </c>
      <c r="D3329">
        <v>294</v>
      </c>
      <c r="E3329" t="s">
        <v>38</v>
      </c>
      <c r="F3329" t="s">
        <v>39</v>
      </c>
      <c r="G3329" t="s">
        <v>15</v>
      </c>
      <c r="H3329">
        <v>8.3491741870841948E-2</v>
      </c>
      <c r="I3329">
        <v>3</v>
      </c>
      <c r="J3329" t="s">
        <v>23</v>
      </c>
      <c r="K3329" s="59" t="s">
        <v>17</v>
      </c>
    </row>
    <row r="3330" spans="1:11" x14ac:dyDescent="0.2">
      <c r="A3330" t="s">
        <v>3369</v>
      </c>
      <c r="B3330">
        <v>2022</v>
      </c>
      <c r="C3330" t="s">
        <v>33</v>
      </c>
      <c r="D3330">
        <v>352</v>
      </c>
      <c r="E3330" t="s">
        <v>53</v>
      </c>
      <c r="F3330" t="s">
        <v>54</v>
      </c>
      <c r="G3330" t="s">
        <v>15</v>
      </c>
      <c r="H3330">
        <v>0.46280219742872031</v>
      </c>
      <c r="I3330">
        <v>3</v>
      </c>
      <c r="J3330" t="s">
        <v>16</v>
      </c>
      <c r="K3330" s="59" t="s">
        <v>4376</v>
      </c>
    </row>
    <row r="3331" spans="1:11" x14ac:dyDescent="0.2">
      <c r="A3331" t="s">
        <v>3370</v>
      </c>
      <c r="B3331">
        <v>2024</v>
      </c>
      <c r="C3331" t="s">
        <v>19</v>
      </c>
      <c r="D3331">
        <v>76</v>
      </c>
      <c r="E3331" t="s">
        <v>38</v>
      </c>
      <c r="F3331" t="s">
        <v>39</v>
      </c>
      <c r="G3331" t="s">
        <v>15</v>
      </c>
      <c r="H3331">
        <v>-4.7064725854621493E-2</v>
      </c>
      <c r="I3331">
        <v>3</v>
      </c>
      <c r="J3331" t="s">
        <v>23</v>
      </c>
      <c r="K3331" s="59" t="s">
        <v>17</v>
      </c>
    </row>
    <row r="3332" spans="1:11" x14ac:dyDescent="0.2">
      <c r="A3332" t="s">
        <v>3371</v>
      </c>
      <c r="B3332">
        <v>2024</v>
      </c>
      <c r="C3332" t="s">
        <v>33</v>
      </c>
      <c r="D3332">
        <v>75</v>
      </c>
      <c r="E3332" t="s">
        <v>38</v>
      </c>
      <c r="F3332" t="s">
        <v>39</v>
      </c>
      <c r="G3332" t="s">
        <v>15</v>
      </c>
      <c r="H3332">
        <v>-6.4013350153939511E-2</v>
      </c>
      <c r="I3332">
        <v>3</v>
      </c>
      <c r="J3332" t="s">
        <v>23</v>
      </c>
      <c r="K3332" s="59" t="s">
        <v>4376</v>
      </c>
    </row>
    <row r="3333" spans="1:11" x14ac:dyDescent="0.2">
      <c r="A3333" t="s">
        <v>3372</v>
      </c>
      <c r="B3333">
        <v>2021</v>
      </c>
      <c r="C3333" t="s">
        <v>19</v>
      </c>
      <c r="D3333">
        <v>313</v>
      </c>
      <c r="E3333" t="s">
        <v>38</v>
      </c>
      <c r="F3333" t="s">
        <v>39</v>
      </c>
      <c r="G3333" t="s">
        <v>15</v>
      </c>
      <c r="H3333">
        <v>0.60608002270248429</v>
      </c>
      <c r="I3333">
        <v>3</v>
      </c>
      <c r="J3333" t="s">
        <v>23</v>
      </c>
      <c r="K3333" s="59" t="s">
        <v>17</v>
      </c>
    </row>
    <row r="3334" spans="1:11" x14ac:dyDescent="0.2">
      <c r="A3334" t="s">
        <v>3373</v>
      </c>
      <c r="B3334">
        <v>2021</v>
      </c>
      <c r="C3334" t="s">
        <v>12</v>
      </c>
      <c r="D3334">
        <v>238</v>
      </c>
      <c r="E3334" t="s">
        <v>13</v>
      </c>
      <c r="F3334" t="s">
        <v>14</v>
      </c>
      <c r="G3334" t="s">
        <v>15</v>
      </c>
      <c r="H3334">
        <v>0.38200307877548229</v>
      </c>
      <c r="I3334">
        <v>4</v>
      </c>
      <c r="J3334" t="s">
        <v>23</v>
      </c>
      <c r="K3334" s="59" t="s">
        <v>16</v>
      </c>
    </row>
    <row r="3335" spans="1:11" x14ac:dyDescent="0.2">
      <c r="A3335" t="s">
        <v>3374</v>
      </c>
      <c r="B3335">
        <v>2024</v>
      </c>
      <c r="C3335" t="s">
        <v>33</v>
      </c>
      <c r="D3335">
        <v>74</v>
      </c>
      <c r="E3335" t="s">
        <v>38</v>
      </c>
      <c r="F3335" t="s">
        <v>39</v>
      </c>
      <c r="G3335" t="s">
        <v>15</v>
      </c>
      <c r="H3335">
        <v>-6.4013350153939511E-2</v>
      </c>
      <c r="I3335">
        <v>3</v>
      </c>
      <c r="J3335" t="s">
        <v>23</v>
      </c>
      <c r="K3335" s="59" t="s">
        <v>4376</v>
      </c>
    </row>
    <row r="3336" spans="1:11" x14ac:dyDescent="0.2">
      <c r="A3336" t="s">
        <v>3375</v>
      </c>
      <c r="B3336">
        <v>2023</v>
      </c>
      <c r="C3336" t="s">
        <v>19</v>
      </c>
      <c r="D3336">
        <v>89</v>
      </c>
      <c r="E3336" t="s">
        <v>20</v>
      </c>
      <c r="F3336" t="s">
        <v>21</v>
      </c>
      <c r="G3336" t="s">
        <v>15</v>
      </c>
      <c r="H3336">
        <v>-0.3962449060212529</v>
      </c>
      <c r="I3336">
        <v>3</v>
      </c>
      <c r="J3336" t="s">
        <v>16</v>
      </c>
      <c r="K3336" s="59" t="s">
        <v>16</v>
      </c>
    </row>
    <row r="3337" spans="1:11" x14ac:dyDescent="0.2">
      <c r="A3337" t="s">
        <v>3376</v>
      </c>
      <c r="B3337">
        <v>2024</v>
      </c>
      <c r="C3337" t="s">
        <v>33</v>
      </c>
      <c r="D3337">
        <v>74</v>
      </c>
      <c r="E3337" t="s">
        <v>38</v>
      </c>
      <c r="F3337" t="s">
        <v>39</v>
      </c>
      <c r="G3337" t="s">
        <v>15</v>
      </c>
      <c r="H3337">
        <v>-6.4013350153939511E-2</v>
      </c>
      <c r="I3337">
        <v>3</v>
      </c>
      <c r="J3337" t="s">
        <v>23</v>
      </c>
      <c r="K3337" s="59" t="s">
        <v>4376</v>
      </c>
    </row>
    <row r="3338" spans="1:11" x14ac:dyDescent="0.2">
      <c r="A3338" t="s">
        <v>3377</v>
      </c>
      <c r="B3338">
        <v>2024</v>
      </c>
      <c r="C3338" t="s">
        <v>19</v>
      </c>
      <c r="D3338">
        <v>74</v>
      </c>
      <c r="E3338" t="s">
        <v>38</v>
      </c>
      <c r="F3338" t="s">
        <v>39</v>
      </c>
      <c r="G3338" t="s">
        <v>15</v>
      </c>
      <c r="H3338">
        <v>-6.4013350153939511E-2</v>
      </c>
      <c r="I3338">
        <v>3</v>
      </c>
      <c r="J3338" t="s">
        <v>23</v>
      </c>
      <c r="K3338" s="59" t="s">
        <v>23</v>
      </c>
    </row>
    <row r="3339" spans="1:11" x14ac:dyDescent="0.2">
      <c r="A3339" t="s">
        <v>3378</v>
      </c>
      <c r="B3339">
        <v>2021</v>
      </c>
      <c r="C3339" t="s">
        <v>33</v>
      </c>
      <c r="D3339">
        <v>304</v>
      </c>
      <c r="E3339" t="s">
        <v>29</v>
      </c>
      <c r="F3339" t="s">
        <v>30</v>
      </c>
      <c r="G3339" t="s">
        <v>15</v>
      </c>
      <c r="H3339">
        <v>0.51773299692770136</v>
      </c>
      <c r="I3339">
        <v>4</v>
      </c>
      <c r="J3339" t="s">
        <v>23</v>
      </c>
      <c r="K3339" s="59" t="s">
        <v>16</v>
      </c>
    </row>
    <row r="3340" spans="1:11" x14ac:dyDescent="0.2">
      <c r="A3340" t="s">
        <v>3379</v>
      </c>
      <c r="B3340">
        <v>2021</v>
      </c>
      <c r="C3340" t="s">
        <v>33</v>
      </c>
      <c r="D3340">
        <v>304</v>
      </c>
      <c r="E3340" t="s">
        <v>29</v>
      </c>
      <c r="F3340" t="s">
        <v>30</v>
      </c>
      <c r="G3340" t="s">
        <v>15</v>
      </c>
      <c r="H3340">
        <v>0.51773299692770136</v>
      </c>
      <c r="I3340">
        <v>4</v>
      </c>
      <c r="J3340" t="s">
        <v>23</v>
      </c>
      <c r="K3340" s="59" t="s">
        <v>4376</v>
      </c>
    </row>
    <row r="3341" spans="1:11" x14ac:dyDescent="0.2">
      <c r="A3341" t="s">
        <v>3380</v>
      </c>
      <c r="B3341">
        <v>2022</v>
      </c>
      <c r="C3341" t="s">
        <v>33</v>
      </c>
      <c r="D3341">
        <v>352</v>
      </c>
      <c r="E3341" t="s">
        <v>53</v>
      </c>
      <c r="F3341" t="s">
        <v>54</v>
      </c>
      <c r="G3341" t="s">
        <v>15</v>
      </c>
      <c r="H3341">
        <v>0.46280219742872031</v>
      </c>
      <c r="I3341">
        <v>3</v>
      </c>
      <c r="J3341" t="s">
        <v>16</v>
      </c>
      <c r="K3341" s="59" t="s">
        <v>4376</v>
      </c>
    </row>
    <row r="3342" spans="1:11" x14ac:dyDescent="0.2">
      <c r="A3342" t="s">
        <v>3381</v>
      </c>
      <c r="B3342">
        <v>2021</v>
      </c>
      <c r="C3342" t="s">
        <v>33</v>
      </c>
      <c r="D3342">
        <v>304</v>
      </c>
      <c r="E3342" t="s">
        <v>29</v>
      </c>
      <c r="F3342" t="s">
        <v>30</v>
      </c>
      <c r="G3342" t="s">
        <v>15</v>
      </c>
      <c r="H3342">
        <v>0.51773299692770136</v>
      </c>
      <c r="I3342">
        <v>4</v>
      </c>
      <c r="J3342" t="s">
        <v>23</v>
      </c>
      <c r="K3342" s="59" t="s">
        <v>4376</v>
      </c>
    </row>
    <row r="3343" spans="1:11" x14ac:dyDescent="0.2">
      <c r="A3343" t="s">
        <v>3382</v>
      </c>
      <c r="B3343">
        <v>2024</v>
      </c>
      <c r="C3343" t="s">
        <v>19</v>
      </c>
      <c r="D3343">
        <v>76</v>
      </c>
      <c r="E3343" t="s">
        <v>38</v>
      </c>
      <c r="F3343" t="s">
        <v>39</v>
      </c>
      <c r="G3343" t="s">
        <v>15</v>
      </c>
      <c r="H3343">
        <v>-3.056211798423274E-2</v>
      </c>
      <c r="I3343">
        <v>3</v>
      </c>
      <c r="J3343" t="s">
        <v>23</v>
      </c>
      <c r="K3343" s="59" t="s">
        <v>23</v>
      </c>
    </row>
    <row r="3344" spans="1:11" x14ac:dyDescent="0.2">
      <c r="A3344" t="s">
        <v>3383</v>
      </c>
      <c r="B3344">
        <v>2021</v>
      </c>
      <c r="C3344" t="s">
        <v>19</v>
      </c>
      <c r="D3344">
        <v>311</v>
      </c>
      <c r="E3344" t="s">
        <v>38</v>
      </c>
      <c r="F3344" t="s">
        <v>39</v>
      </c>
      <c r="G3344" t="s">
        <v>15</v>
      </c>
      <c r="H3344">
        <v>0.60221472720671299</v>
      </c>
      <c r="I3344">
        <v>3</v>
      </c>
      <c r="J3344" t="s">
        <v>23</v>
      </c>
      <c r="K3344" s="59" t="s">
        <v>17</v>
      </c>
    </row>
    <row r="3345" spans="1:11" x14ac:dyDescent="0.2">
      <c r="A3345" t="s">
        <v>3384</v>
      </c>
      <c r="B3345">
        <v>2022</v>
      </c>
      <c r="C3345" t="s">
        <v>33</v>
      </c>
      <c r="D3345">
        <v>1307</v>
      </c>
      <c r="E3345" t="s">
        <v>20</v>
      </c>
      <c r="F3345" t="s">
        <v>21</v>
      </c>
      <c r="G3345" t="s">
        <v>41</v>
      </c>
      <c r="H3345">
        <v>-0.51799435817138673</v>
      </c>
      <c r="I3345">
        <v>3</v>
      </c>
      <c r="J3345" t="s">
        <v>23</v>
      </c>
      <c r="K3345" s="59" t="s">
        <v>23</v>
      </c>
    </row>
    <row r="3346" spans="1:11" x14ac:dyDescent="0.2">
      <c r="A3346" t="s">
        <v>3385</v>
      </c>
      <c r="B3346">
        <v>2024</v>
      </c>
      <c r="C3346" t="s">
        <v>33</v>
      </c>
      <c r="D3346">
        <v>74</v>
      </c>
      <c r="E3346" t="s">
        <v>38</v>
      </c>
      <c r="F3346" t="s">
        <v>39</v>
      </c>
      <c r="G3346" t="s">
        <v>15</v>
      </c>
      <c r="H3346">
        <v>-6.4013350153939511E-2</v>
      </c>
      <c r="I3346">
        <v>3</v>
      </c>
      <c r="J3346" t="s">
        <v>23</v>
      </c>
      <c r="K3346" s="59" t="s">
        <v>4376</v>
      </c>
    </row>
    <row r="3347" spans="1:11" x14ac:dyDescent="0.2">
      <c r="A3347" t="s">
        <v>3386</v>
      </c>
      <c r="B3347">
        <v>2024</v>
      </c>
      <c r="C3347" t="s">
        <v>33</v>
      </c>
      <c r="D3347">
        <v>74</v>
      </c>
      <c r="E3347" t="s">
        <v>38</v>
      </c>
      <c r="F3347" t="s">
        <v>39</v>
      </c>
      <c r="G3347" t="s">
        <v>15</v>
      </c>
      <c r="H3347">
        <v>-6.4013350153939511E-2</v>
      </c>
      <c r="I3347">
        <v>3</v>
      </c>
      <c r="J3347" t="s">
        <v>23</v>
      </c>
      <c r="K3347" s="59" t="s">
        <v>4376</v>
      </c>
    </row>
    <row r="3348" spans="1:11" x14ac:dyDescent="0.2">
      <c r="A3348" t="s">
        <v>3387</v>
      </c>
      <c r="B3348">
        <v>2024</v>
      </c>
      <c r="C3348" t="s">
        <v>33</v>
      </c>
      <c r="D3348">
        <v>75</v>
      </c>
      <c r="E3348" t="s">
        <v>38</v>
      </c>
      <c r="F3348" t="s">
        <v>39</v>
      </c>
      <c r="G3348" t="s">
        <v>15</v>
      </c>
      <c r="H3348">
        <v>-6.4013350153939511E-2</v>
      </c>
      <c r="I3348">
        <v>3</v>
      </c>
      <c r="J3348" t="s">
        <v>23</v>
      </c>
      <c r="K3348" s="59" t="s">
        <v>4376</v>
      </c>
    </row>
    <row r="3349" spans="1:11" x14ac:dyDescent="0.2">
      <c r="A3349" t="s">
        <v>3388</v>
      </c>
      <c r="B3349">
        <v>2024</v>
      </c>
      <c r="C3349" t="s">
        <v>33</v>
      </c>
      <c r="D3349">
        <v>74</v>
      </c>
      <c r="E3349" t="s">
        <v>38</v>
      </c>
      <c r="F3349" t="s">
        <v>39</v>
      </c>
      <c r="G3349" t="s">
        <v>15</v>
      </c>
      <c r="H3349">
        <v>-6.4013350153939511E-2</v>
      </c>
      <c r="I3349">
        <v>3</v>
      </c>
      <c r="J3349" t="s">
        <v>23</v>
      </c>
      <c r="K3349" s="59" t="s">
        <v>4376</v>
      </c>
    </row>
    <row r="3350" spans="1:11" x14ac:dyDescent="0.2">
      <c r="A3350" t="s">
        <v>3389</v>
      </c>
      <c r="B3350">
        <v>2021</v>
      </c>
      <c r="C3350" t="s">
        <v>33</v>
      </c>
      <c r="D3350">
        <v>311</v>
      </c>
      <c r="E3350" t="s">
        <v>38</v>
      </c>
      <c r="F3350" t="s">
        <v>39</v>
      </c>
      <c r="G3350" t="s">
        <v>15</v>
      </c>
      <c r="H3350">
        <v>0.60221472720671299</v>
      </c>
      <c r="I3350">
        <v>3</v>
      </c>
      <c r="J3350" t="s">
        <v>23</v>
      </c>
      <c r="K3350" s="59" t="s">
        <v>23</v>
      </c>
    </row>
    <row r="3351" spans="1:11" x14ac:dyDescent="0.2">
      <c r="A3351" t="s">
        <v>3390</v>
      </c>
      <c r="B3351">
        <v>2021</v>
      </c>
      <c r="C3351" t="s">
        <v>33</v>
      </c>
      <c r="D3351">
        <v>305</v>
      </c>
      <c r="E3351" t="s">
        <v>38</v>
      </c>
      <c r="F3351" t="s">
        <v>39</v>
      </c>
      <c r="G3351" t="s">
        <v>15</v>
      </c>
      <c r="H3351">
        <v>0.3672686074626354</v>
      </c>
      <c r="I3351">
        <v>3</v>
      </c>
      <c r="J3351" t="s">
        <v>23</v>
      </c>
      <c r="K3351" s="59" t="s">
        <v>4376</v>
      </c>
    </row>
    <row r="3352" spans="1:11" x14ac:dyDescent="0.2">
      <c r="A3352" t="s">
        <v>3391</v>
      </c>
      <c r="B3352">
        <v>2022</v>
      </c>
      <c r="C3352" t="s">
        <v>33</v>
      </c>
      <c r="D3352">
        <v>352</v>
      </c>
      <c r="E3352" t="s">
        <v>53</v>
      </c>
      <c r="F3352" t="s">
        <v>54</v>
      </c>
      <c r="G3352" t="s">
        <v>15</v>
      </c>
      <c r="H3352">
        <v>0.46280219742872031</v>
      </c>
      <c r="I3352">
        <v>3</v>
      </c>
      <c r="J3352" t="s">
        <v>16</v>
      </c>
      <c r="K3352" s="59" t="s">
        <v>4376</v>
      </c>
    </row>
    <row r="3353" spans="1:11" x14ac:dyDescent="0.2">
      <c r="A3353" t="s">
        <v>3392</v>
      </c>
      <c r="B3353">
        <v>2021</v>
      </c>
      <c r="C3353" t="s">
        <v>12</v>
      </c>
      <c r="D3353">
        <v>260</v>
      </c>
      <c r="E3353" t="s">
        <v>38</v>
      </c>
      <c r="F3353" t="s">
        <v>39</v>
      </c>
      <c r="G3353" t="s">
        <v>15</v>
      </c>
      <c r="H3353">
        <v>0.93786382097464049</v>
      </c>
      <c r="I3353">
        <v>3</v>
      </c>
      <c r="J3353" t="s">
        <v>23</v>
      </c>
      <c r="K3353" s="59" t="s">
        <v>23</v>
      </c>
    </row>
    <row r="3354" spans="1:11" x14ac:dyDescent="0.2">
      <c r="A3354" t="s">
        <v>3393</v>
      </c>
      <c r="B3354">
        <v>2021</v>
      </c>
      <c r="C3354" t="s">
        <v>33</v>
      </c>
      <c r="D3354">
        <v>382</v>
      </c>
      <c r="E3354" t="s">
        <v>29</v>
      </c>
      <c r="F3354" t="s">
        <v>30</v>
      </c>
      <c r="G3354" t="s">
        <v>15</v>
      </c>
      <c r="H3354">
        <v>-0.1911280323988247</v>
      </c>
      <c r="I3354">
        <v>4</v>
      </c>
      <c r="J3354" t="s">
        <v>23</v>
      </c>
      <c r="K3354" s="59" t="s">
        <v>17</v>
      </c>
    </row>
    <row r="3355" spans="1:11" x14ac:dyDescent="0.2">
      <c r="A3355" t="s">
        <v>3394</v>
      </c>
      <c r="B3355">
        <v>2021</v>
      </c>
      <c r="C3355" t="s">
        <v>12</v>
      </c>
      <c r="D3355">
        <v>311</v>
      </c>
      <c r="E3355" t="s">
        <v>38</v>
      </c>
      <c r="F3355" t="s">
        <v>39</v>
      </c>
      <c r="G3355" t="s">
        <v>15</v>
      </c>
      <c r="H3355">
        <v>0.60221472720671299</v>
      </c>
      <c r="I3355">
        <v>3</v>
      </c>
      <c r="J3355" t="s">
        <v>23</v>
      </c>
      <c r="K3355" s="59" t="s">
        <v>17</v>
      </c>
    </row>
    <row r="3356" spans="1:11" x14ac:dyDescent="0.2">
      <c r="A3356" t="s">
        <v>3395</v>
      </c>
      <c r="B3356">
        <v>2024</v>
      </c>
      <c r="C3356" t="s">
        <v>19</v>
      </c>
      <c r="D3356">
        <v>74</v>
      </c>
      <c r="E3356" t="s">
        <v>38</v>
      </c>
      <c r="F3356" t="s">
        <v>39</v>
      </c>
      <c r="G3356" t="s">
        <v>15</v>
      </c>
      <c r="H3356">
        <v>-6.4013350153939511E-2</v>
      </c>
      <c r="I3356">
        <v>3</v>
      </c>
      <c r="J3356" t="s">
        <v>23</v>
      </c>
      <c r="K3356" s="59" t="s">
        <v>16</v>
      </c>
    </row>
    <row r="3357" spans="1:11" x14ac:dyDescent="0.2">
      <c r="A3357" t="s">
        <v>3396</v>
      </c>
      <c r="B3357">
        <v>2024</v>
      </c>
      <c r="C3357" t="s">
        <v>33</v>
      </c>
      <c r="D3357">
        <v>74</v>
      </c>
      <c r="E3357" t="s">
        <v>38</v>
      </c>
      <c r="F3357" t="s">
        <v>39</v>
      </c>
      <c r="G3357" t="s">
        <v>15</v>
      </c>
      <c r="H3357">
        <v>-6.4013350153939511E-2</v>
      </c>
      <c r="I3357">
        <v>3</v>
      </c>
      <c r="J3357" t="s">
        <v>23</v>
      </c>
      <c r="K3357" s="59" t="s">
        <v>23</v>
      </c>
    </row>
    <row r="3358" spans="1:11" x14ac:dyDescent="0.2">
      <c r="A3358" t="s">
        <v>3397</v>
      </c>
      <c r="B3358">
        <v>2022</v>
      </c>
      <c r="C3358" t="s">
        <v>33</v>
      </c>
      <c r="D3358">
        <v>352</v>
      </c>
      <c r="E3358" t="s">
        <v>53</v>
      </c>
      <c r="F3358" t="s">
        <v>54</v>
      </c>
      <c r="G3358" t="s">
        <v>15</v>
      </c>
      <c r="H3358">
        <v>0.46280219742872031</v>
      </c>
      <c r="I3358">
        <v>3</v>
      </c>
      <c r="J3358" t="s">
        <v>16</v>
      </c>
      <c r="K3358" s="59" t="s">
        <v>4376</v>
      </c>
    </row>
    <row r="3359" spans="1:11" x14ac:dyDescent="0.2">
      <c r="A3359" t="s">
        <v>3398</v>
      </c>
      <c r="B3359">
        <v>2021</v>
      </c>
      <c r="C3359" t="s">
        <v>33</v>
      </c>
      <c r="D3359">
        <v>313</v>
      </c>
      <c r="E3359" t="s">
        <v>38</v>
      </c>
      <c r="F3359" t="s">
        <v>39</v>
      </c>
      <c r="G3359" t="s">
        <v>15</v>
      </c>
      <c r="H3359">
        <v>0.60608002270248429</v>
      </c>
      <c r="I3359">
        <v>3</v>
      </c>
      <c r="J3359" t="s">
        <v>23</v>
      </c>
      <c r="K3359" s="59" t="s">
        <v>4376</v>
      </c>
    </row>
    <row r="3360" spans="1:11" x14ac:dyDescent="0.2">
      <c r="A3360" t="s">
        <v>3399</v>
      </c>
      <c r="B3360">
        <v>2021</v>
      </c>
      <c r="C3360" t="s">
        <v>33</v>
      </c>
      <c r="D3360">
        <v>121</v>
      </c>
      <c r="E3360" t="s">
        <v>25</v>
      </c>
      <c r="F3360" t="s">
        <v>26</v>
      </c>
      <c r="G3360" t="s">
        <v>80</v>
      </c>
      <c r="H3360">
        <v>0.35970225732901118</v>
      </c>
      <c r="I3360">
        <v>2</v>
      </c>
      <c r="J3360" t="s">
        <v>23</v>
      </c>
      <c r="K3360" s="59" t="s">
        <v>23</v>
      </c>
    </row>
    <row r="3361" spans="1:11" x14ac:dyDescent="0.2">
      <c r="A3361" t="s">
        <v>3400</v>
      </c>
      <c r="B3361">
        <v>2024</v>
      </c>
      <c r="C3361" t="s">
        <v>33</v>
      </c>
      <c r="D3361">
        <v>74</v>
      </c>
      <c r="E3361" t="s">
        <v>38</v>
      </c>
      <c r="F3361" t="s">
        <v>39</v>
      </c>
      <c r="G3361" t="s">
        <v>15</v>
      </c>
      <c r="H3361">
        <v>-6.4013350153939511E-2</v>
      </c>
      <c r="I3361">
        <v>3</v>
      </c>
      <c r="J3361" t="s">
        <v>23</v>
      </c>
      <c r="K3361" s="59" t="s">
        <v>4376</v>
      </c>
    </row>
    <row r="3362" spans="1:11" x14ac:dyDescent="0.2">
      <c r="A3362" t="s">
        <v>3401</v>
      </c>
      <c r="B3362">
        <v>2021</v>
      </c>
      <c r="C3362" t="s">
        <v>33</v>
      </c>
      <c r="D3362">
        <v>149</v>
      </c>
      <c r="E3362" t="s">
        <v>25</v>
      </c>
      <c r="F3362" t="s">
        <v>26</v>
      </c>
      <c r="G3362" t="s">
        <v>80</v>
      </c>
      <c r="H3362">
        <v>-1.2089161388664329</v>
      </c>
      <c r="I3362">
        <v>2</v>
      </c>
      <c r="J3362" t="s">
        <v>23</v>
      </c>
      <c r="K3362" s="59" t="s">
        <v>17</v>
      </c>
    </row>
    <row r="3363" spans="1:11" x14ac:dyDescent="0.2">
      <c r="A3363" t="s">
        <v>3402</v>
      </c>
      <c r="B3363">
        <v>2024</v>
      </c>
      <c r="C3363" t="s">
        <v>33</v>
      </c>
      <c r="D3363">
        <v>74</v>
      </c>
      <c r="E3363" t="s">
        <v>38</v>
      </c>
      <c r="F3363" t="s">
        <v>39</v>
      </c>
      <c r="G3363" t="s">
        <v>15</v>
      </c>
      <c r="H3363">
        <v>-6.4013350153939511E-2</v>
      </c>
      <c r="I3363">
        <v>3</v>
      </c>
      <c r="J3363" t="s">
        <v>23</v>
      </c>
      <c r="K3363" s="59" t="s">
        <v>17</v>
      </c>
    </row>
    <row r="3364" spans="1:11" x14ac:dyDescent="0.2">
      <c r="A3364" t="s">
        <v>3403</v>
      </c>
      <c r="B3364">
        <v>2024</v>
      </c>
      <c r="C3364" t="s">
        <v>33</v>
      </c>
      <c r="D3364">
        <v>74</v>
      </c>
      <c r="E3364" t="s">
        <v>38</v>
      </c>
      <c r="F3364" t="s">
        <v>39</v>
      </c>
      <c r="G3364" t="s">
        <v>15</v>
      </c>
      <c r="H3364">
        <v>-6.4013350153939511E-2</v>
      </c>
      <c r="I3364">
        <v>3</v>
      </c>
      <c r="J3364" t="s">
        <v>23</v>
      </c>
      <c r="K3364" s="59" t="s">
        <v>4376</v>
      </c>
    </row>
    <row r="3365" spans="1:11" x14ac:dyDescent="0.2">
      <c r="A3365" t="s">
        <v>3404</v>
      </c>
      <c r="B3365">
        <v>2021</v>
      </c>
      <c r="C3365" t="s">
        <v>33</v>
      </c>
      <c r="D3365">
        <v>304</v>
      </c>
      <c r="E3365" t="s">
        <v>29</v>
      </c>
      <c r="F3365" t="s">
        <v>30</v>
      </c>
      <c r="G3365" t="s">
        <v>15</v>
      </c>
      <c r="H3365">
        <v>0.51773299692770136</v>
      </c>
      <c r="I3365">
        <v>4</v>
      </c>
      <c r="J3365" t="s">
        <v>23</v>
      </c>
      <c r="K3365" s="59" t="s">
        <v>4376</v>
      </c>
    </row>
    <row r="3366" spans="1:11" x14ac:dyDescent="0.2">
      <c r="A3366" t="s">
        <v>3405</v>
      </c>
      <c r="B3366">
        <v>2021</v>
      </c>
      <c r="C3366" t="s">
        <v>12</v>
      </c>
      <c r="D3366">
        <v>285</v>
      </c>
      <c r="E3366" t="s">
        <v>38</v>
      </c>
      <c r="F3366" t="s">
        <v>39</v>
      </c>
      <c r="G3366" t="s">
        <v>15</v>
      </c>
      <c r="H3366">
        <v>1.370440529345633</v>
      </c>
      <c r="I3366">
        <v>3</v>
      </c>
      <c r="J3366" t="s">
        <v>23</v>
      </c>
      <c r="K3366" s="59" t="s">
        <v>17</v>
      </c>
    </row>
    <row r="3367" spans="1:11" x14ac:dyDescent="0.2">
      <c r="A3367" t="s">
        <v>3406</v>
      </c>
      <c r="B3367">
        <v>2022</v>
      </c>
      <c r="C3367" t="s">
        <v>19</v>
      </c>
      <c r="D3367">
        <v>252</v>
      </c>
      <c r="E3367" t="s">
        <v>20</v>
      </c>
      <c r="F3367" t="s">
        <v>21</v>
      </c>
      <c r="G3367" t="s">
        <v>80</v>
      </c>
      <c r="H3367">
        <v>-0.31618417727942022</v>
      </c>
      <c r="I3367">
        <v>3</v>
      </c>
      <c r="J3367" t="s">
        <v>23</v>
      </c>
      <c r="K3367" s="59" t="s">
        <v>17</v>
      </c>
    </row>
    <row r="3368" spans="1:11" x14ac:dyDescent="0.2">
      <c r="A3368" t="s">
        <v>3407</v>
      </c>
      <c r="B3368">
        <v>2024</v>
      </c>
      <c r="C3368" t="s">
        <v>33</v>
      </c>
      <c r="D3368">
        <v>74</v>
      </c>
      <c r="E3368" t="s">
        <v>38</v>
      </c>
      <c r="F3368" t="s">
        <v>39</v>
      </c>
      <c r="G3368" t="s">
        <v>15</v>
      </c>
      <c r="H3368">
        <v>-6.4013350153939511E-2</v>
      </c>
      <c r="I3368">
        <v>3</v>
      </c>
      <c r="J3368" t="s">
        <v>23</v>
      </c>
      <c r="K3368" s="59" t="s">
        <v>17</v>
      </c>
    </row>
    <row r="3369" spans="1:11" x14ac:dyDescent="0.2">
      <c r="A3369" t="s">
        <v>3408</v>
      </c>
      <c r="B3369">
        <v>2021</v>
      </c>
      <c r="C3369" t="s">
        <v>33</v>
      </c>
      <c r="D3369">
        <v>382</v>
      </c>
      <c r="E3369" t="s">
        <v>29</v>
      </c>
      <c r="F3369" t="s">
        <v>30</v>
      </c>
      <c r="G3369" t="s">
        <v>15</v>
      </c>
      <c r="H3369">
        <v>-0.1911280323988247</v>
      </c>
      <c r="I3369">
        <v>4</v>
      </c>
      <c r="J3369" t="s">
        <v>17</v>
      </c>
      <c r="K3369" s="59" t="s">
        <v>4376</v>
      </c>
    </row>
    <row r="3370" spans="1:11" x14ac:dyDescent="0.2">
      <c r="A3370" t="s">
        <v>3409</v>
      </c>
      <c r="B3370">
        <v>2022</v>
      </c>
      <c r="C3370" t="s">
        <v>33</v>
      </c>
      <c r="D3370">
        <v>352</v>
      </c>
      <c r="E3370" t="s">
        <v>53</v>
      </c>
      <c r="F3370" t="s">
        <v>54</v>
      </c>
      <c r="G3370" t="s">
        <v>15</v>
      </c>
      <c r="H3370">
        <v>0.46280219742872031</v>
      </c>
      <c r="I3370">
        <v>3</v>
      </c>
      <c r="J3370" t="s">
        <v>16</v>
      </c>
      <c r="K3370" s="59" t="s">
        <v>4376</v>
      </c>
    </row>
    <row r="3371" spans="1:11" x14ac:dyDescent="0.2">
      <c r="A3371" t="s">
        <v>3410</v>
      </c>
      <c r="B3371">
        <v>2021</v>
      </c>
      <c r="C3371" t="s">
        <v>33</v>
      </c>
      <c r="D3371">
        <v>311</v>
      </c>
      <c r="E3371" t="s">
        <v>38</v>
      </c>
      <c r="F3371" t="s">
        <v>39</v>
      </c>
      <c r="G3371" t="s">
        <v>15</v>
      </c>
      <c r="H3371">
        <v>0.60221472720671299</v>
      </c>
      <c r="I3371">
        <v>3</v>
      </c>
      <c r="J3371" t="s">
        <v>23</v>
      </c>
      <c r="K3371" s="59" t="s">
        <v>4376</v>
      </c>
    </row>
    <row r="3372" spans="1:11" x14ac:dyDescent="0.2">
      <c r="A3372" t="s">
        <v>3411</v>
      </c>
      <c r="B3372">
        <v>2024</v>
      </c>
      <c r="C3372" t="s">
        <v>33</v>
      </c>
      <c r="D3372">
        <v>74</v>
      </c>
      <c r="E3372" t="s">
        <v>38</v>
      </c>
      <c r="F3372" t="s">
        <v>39</v>
      </c>
      <c r="G3372" t="s">
        <v>15</v>
      </c>
      <c r="H3372">
        <v>-6.4013350153939511E-2</v>
      </c>
      <c r="I3372">
        <v>3</v>
      </c>
      <c r="J3372" t="s">
        <v>23</v>
      </c>
      <c r="K3372" s="59" t="s">
        <v>4376</v>
      </c>
    </row>
    <row r="3373" spans="1:11" x14ac:dyDescent="0.2">
      <c r="A3373" t="s">
        <v>3412</v>
      </c>
      <c r="B3373">
        <v>2024</v>
      </c>
      <c r="C3373" t="s">
        <v>33</v>
      </c>
      <c r="D3373">
        <v>76</v>
      </c>
      <c r="E3373" t="s">
        <v>38</v>
      </c>
      <c r="F3373" t="s">
        <v>39</v>
      </c>
      <c r="G3373" t="s">
        <v>15</v>
      </c>
      <c r="H3373">
        <v>-3.056211798423274E-2</v>
      </c>
      <c r="I3373">
        <v>3</v>
      </c>
      <c r="J3373" t="s">
        <v>23</v>
      </c>
      <c r="K3373" s="59" t="s">
        <v>4376</v>
      </c>
    </row>
    <row r="3374" spans="1:11" x14ac:dyDescent="0.2">
      <c r="A3374" t="s">
        <v>3413</v>
      </c>
      <c r="B3374">
        <v>2024</v>
      </c>
      <c r="C3374" t="s">
        <v>33</v>
      </c>
      <c r="D3374">
        <v>74</v>
      </c>
      <c r="E3374" t="s">
        <v>38</v>
      </c>
      <c r="F3374" t="s">
        <v>39</v>
      </c>
      <c r="G3374" t="s">
        <v>15</v>
      </c>
      <c r="H3374">
        <v>-6.4013350153939511E-2</v>
      </c>
      <c r="I3374">
        <v>3</v>
      </c>
      <c r="J3374" t="s">
        <v>23</v>
      </c>
      <c r="K3374" s="59" t="s">
        <v>4376</v>
      </c>
    </row>
    <row r="3375" spans="1:11" x14ac:dyDescent="0.2">
      <c r="A3375" t="s">
        <v>3414</v>
      </c>
      <c r="B3375">
        <v>2024</v>
      </c>
      <c r="C3375" t="s">
        <v>33</v>
      </c>
      <c r="D3375">
        <v>77</v>
      </c>
      <c r="E3375" t="s">
        <v>38</v>
      </c>
      <c r="F3375" t="s">
        <v>39</v>
      </c>
      <c r="G3375" t="s">
        <v>15</v>
      </c>
      <c r="H3375">
        <v>-1.4488149279308931E-2</v>
      </c>
      <c r="I3375">
        <v>3</v>
      </c>
      <c r="J3375" t="s">
        <v>23</v>
      </c>
      <c r="K3375" s="59" t="s">
        <v>4376</v>
      </c>
    </row>
    <row r="3376" spans="1:11" x14ac:dyDescent="0.2">
      <c r="A3376" t="s">
        <v>3415</v>
      </c>
      <c r="B3376">
        <v>2023</v>
      </c>
      <c r="C3376" t="s">
        <v>33</v>
      </c>
      <c r="D3376">
        <v>37</v>
      </c>
      <c r="E3376" t="s">
        <v>13</v>
      </c>
      <c r="F3376" t="s">
        <v>14</v>
      </c>
      <c r="G3376" t="s">
        <v>15</v>
      </c>
      <c r="H3376">
        <v>-6.4013350153939511E-2</v>
      </c>
      <c r="I3376">
        <v>4</v>
      </c>
      <c r="J3376" t="s">
        <v>17</v>
      </c>
      <c r="K3376" s="59" t="s">
        <v>4376</v>
      </c>
    </row>
    <row r="3377" spans="1:11" x14ac:dyDescent="0.2">
      <c r="A3377" t="s">
        <v>3416</v>
      </c>
      <c r="B3377">
        <v>2021</v>
      </c>
      <c r="C3377" t="s">
        <v>12</v>
      </c>
      <c r="D3377">
        <v>312</v>
      </c>
      <c r="E3377" t="s">
        <v>38</v>
      </c>
      <c r="F3377" t="s">
        <v>39</v>
      </c>
      <c r="G3377" t="s">
        <v>15</v>
      </c>
      <c r="H3377">
        <v>0.75489854507753262</v>
      </c>
      <c r="I3377">
        <v>3</v>
      </c>
      <c r="J3377" t="s">
        <v>23</v>
      </c>
      <c r="K3377" s="59" t="s">
        <v>17</v>
      </c>
    </row>
    <row r="3378" spans="1:11" x14ac:dyDescent="0.2">
      <c r="A3378" t="s">
        <v>3417</v>
      </c>
      <c r="B3378">
        <v>2024</v>
      </c>
      <c r="C3378" t="s">
        <v>33</v>
      </c>
      <c r="D3378">
        <v>74</v>
      </c>
      <c r="E3378" t="s">
        <v>38</v>
      </c>
      <c r="F3378" t="s">
        <v>39</v>
      </c>
      <c r="G3378" t="s">
        <v>15</v>
      </c>
      <c r="H3378">
        <v>-6.4013350153939511E-2</v>
      </c>
      <c r="I3378">
        <v>3</v>
      </c>
      <c r="J3378" t="s">
        <v>23</v>
      </c>
      <c r="K3378" s="59" t="s">
        <v>4376</v>
      </c>
    </row>
    <row r="3379" spans="1:11" x14ac:dyDescent="0.2">
      <c r="A3379" t="s">
        <v>3418</v>
      </c>
      <c r="B3379">
        <v>2023</v>
      </c>
      <c r="C3379" t="s">
        <v>33</v>
      </c>
      <c r="D3379">
        <v>170</v>
      </c>
      <c r="E3379" t="s">
        <v>20</v>
      </c>
      <c r="F3379" t="s">
        <v>21</v>
      </c>
      <c r="G3379" t="s">
        <v>41</v>
      </c>
      <c r="H3379">
        <v>-0.32350781982545063</v>
      </c>
      <c r="I3379">
        <v>3</v>
      </c>
      <c r="J3379" t="s">
        <v>16</v>
      </c>
      <c r="K3379" s="59" t="s">
        <v>23</v>
      </c>
    </row>
    <row r="3380" spans="1:11" x14ac:dyDescent="0.2">
      <c r="A3380" t="s">
        <v>3419</v>
      </c>
      <c r="B3380">
        <v>2024</v>
      </c>
      <c r="C3380" t="s">
        <v>33</v>
      </c>
      <c r="D3380">
        <v>74</v>
      </c>
      <c r="E3380" t="s">
        <v>38</v>
      </c>
      <c r="F3380" t="s">
        <v>39</v>
      </c>
      <c r="G3380" t="s">
        <v>15</v>
      </c>
      <c r="H3380">
        <v>-6.4013350153939511E-2</v>
      </c>
      <c r="I3380">
        <v>3</v>
      </c>
      <c r="J3380" t="s">
        <v>23</v>
      </c>
      <c r="K3380" s="59" t="s">
        <v>4376</v>
      </c>
    </row>
    <row r="3381" spans="1:11" x14ac:dyDescent="0.2">
      <c r="A3381" t="s">
        <v>3420</v>
      </c>
      <c r="B3381">
        <v>2021</v>
      </c>
      <c r="C3381" t="s">
        <v>19</v>
      </c>
      <c r="D3381">
        <v>43</v>
      </c>
      <c r="E3381" t="s">
        <v>20</v>
      </c>
      <c r="F3381" t="s">
        <v>21</v>
      </c>
      <c r="G3381" t="s">
        <v>15</v>
      </c>
      <c r="H3381">
        <v>2.3829442830601009</v>
      </c>
      <c r="I3381">
        <v>3</v>
      </c>
      <c r="J3381" t="s">
        <v>23</v>
      </c>
      <c r="K3381" s="59" t="s">
        <v>23</v>
      </c>
    </row>
    <row r="3382" spans="1:11" x14ac:dyDescent="0.2">
      <c r="A3382" t="s">
        <v>3421</v>
      </c>
      <c r="B3382">
        <v>2022</v>
      </c>
      <c r="C3382" t="s">
        <v>33</v>
      </c>
      <c r="D3382">
        <v>353</v>
      </c>
      <c r="E3382" t="s">
        <v>53</v>
      </c>
      <c r="F3382" t="s">
        <v>54</v>
      </c>
      <c r="G3382" t="s">
        <v>15</v>
      </c>
      <c r="H3382">
        <v>0.46280219742872031</v>
      </c>
      <c r="I3382">
        <v>3</v>
      </c>
      <c r="J3382" t="s">
        <v>16</v>
      </c>
      <c r="K3382" s="59" t="s">
        <v>4376</v>
      </c>
    </row>
    <row r="3383" spans="1:11" x14ac:dyDescent="0.2">
      <c r="A3383" t="s">
        <v>3422</v>
      </c>
      <c r="B3383">
        <v>2024</v>
      </c>
      <c r="C3383" t="s">
        <v>33</v>
      </c>
      <c r="D3383">
        <v>76</v>
      </c>
      <c r="E3383" t="s">
        <v>38</v>
      </c>
      <c r="F3383" t="s">
        <v>39</v>
      </c>
      <c r="G3383" t="s">
        <v>15</v>
      </c>
      <c r="H3383">
        <v>-3.056211798423274E-2</v>
      </c>
      <c r="I3383">
        <v>3</v>
      </c>
      <c r="J3383" t="s">
        <v>23</v>
      </c>
      <c r="K3383" s="59" t="s">
        <v>4376</v>
      </c>
    </row>
    <row r="3384" spans="1:11" x14ac:dyDescent="0.2">
      <c r="A3384" t="s">
        <v>3423</v>
      </c>
      <c r="B3384">
        <v>2024</v>
      </c>
      <c r="C3384" t="s">
        <v>33</v>
      </c>
      <c r="D3384">
        <v>74</v>
      </c>
      <c r="E3384" t="s">
        <v>38</v>
      </c>
      <c r="F3384" t="s">
        <v>39</v>
      </c>
      <c r="G3384" t="s">
        <v>15</v>
      </c>
      <c r="H3384">
        <v>-6.4013350153939511E-2</v>
      </c>
      <c r="I3384">
        <v>3</v>
      </c>
      <c r="J3384" t="s">
        <v>23</v>
      </c>
      <c r="K3384" s="59" t="s">
        <v>4376</v>
      </c>
    </row>
    <row r="3385" spans="1:11" x14ac:dyDescent="0.2">
      <c r="A3385" t="s">
        <v>3424</v>
      </c>
      <c r="B3385">
        <v>2021</v>
      </c>
      <c r="C3385" t="s">
        <v>19</v>
      </c>
      <c r="D3385">
        <v>414</v>
      </c>
      <c r="E3385" t="s">
        <v>25</v>
      </c>
      <c r="F3385" t="s">
        <v>26</v>
      </c>
      <c r="G3385" t="s">
        <v>15</v>
      </c>
      <c r="H3385">
        <v>0.66445155963405644</v>
      </c>
      <c r="I3385">
        <v>2</v>
      </c>
      <c r="J3385" t="s">
        <v>16</v>
      </c>
      <c r="K3385" s="59" t="s">
        <v>16</v>
      </c>
    </row>
    <row r="3386" spans="1:11" x14ac:dyDescent="0.2">
      <c r="A3386" t="s">
        <v>3425</v>
      </c>
      <c r="B3386">
        <v>2024</v>
      </c>
      <c r="C3386" t="s">
        <v>19</v>
      </c>
      <c r="D3386">
        <v>74</v>
      </c>
      <c r="E3386" t="s">
        <v>38</v>
      </c>
      <c r="F3386" t="s">
        <v>39</v>
      </c>
      <c r="G3386" t="s">
        <v>15</v>
      </c>
      <c r="H3386">
        <v>-6.4013350153939511E-2</v>
      </c>
      <c r="I3386">
        <v>3</v>
      </c>
      <c r="J3386" t="s">
        <v>23</v>
      </c>
      <c r="K3386" s="59" t="s">
        <v>23</v>
      </c>
    </row>
    <row r="3387" spans="1:11" x14ac:dyDescent="0.2">
      <c r="A3387" t="s">
        <v>3426</v>
      </c>
      <c r="B3387">
        <v>2021</v>
      </c>
      <c r="C3387" t="s">
        <v>33</v>
      </c>
      <c r="D3387">
        <v>382</v>
      </c>
      <c r="E3387" t="s">
        <v>29</v>
      </c>
      <c r="F3387" t="s">
        <v>30</v>
      </c>
      <c r="G3387" t="s">
        <v>15</v>
      </c>
      <c r="H3387">
        <v>-0.1911280323988247</v>
      </c>
      <c r="I3387">
        <v>4</v>
      </c>
      <c r="J3387" t="s">
        <v>17</v>
      </c>
      <c r="K3387" s="59" t="s">
        <v>4376</v>
      </c>
    </row>
    <row r="3388" spans="1:11" x14ac:dyDescent="0.2">
      <c r="A3388" t="s">
        <v>3427</v>
      </c>
      <c r="B3388">
        <v>2022</v>
      </c>
      <c r="C3388" t="s">
        <v>33</v>
      </c>
      <c r="D3388">
        <v>353</v>
      </c>
      <c r="E3388" t="s">
        <v>53</v>
      </c>
      <c r="F3388" t="s">
        <v>54</v>
      </c>
      <c r="G3388" t="s">
        <v>15</v>
      </c>
      <c r="H3388">
        <v>0.46280219742872031</v>
      </c>
      <c r="I3388">
        <v>3</v>
      </c>
      <c r="J3388" t="s">
        <v>16</v>
      </c>
      <c r="K3388" s="59" t="s">
        <v>17</v>
      </c>
    </row>
    <row r="3389" spans="1:11" x14ac:dyDescent="0.2">
      <c r="A3389" t="s">
        <v>3428</v>
      </c>
      <c r="B3389">
        <v>2021</v>
      </c>
      <c r="C3389" t="s">
        <v>33</v>
      </c>
      <c r="D3389">
        <v>370</v>
      </c>
      <c r="E3389" t="s">
        <v>38</v>
      </c>
      <c r="F3389" t="s">
        <v>39</v>
      </c>
      <c r="G3389" t="s">
        <v>15</v>
      </c>
      <c r="H3389">
        <v>0.69451840493134287</v>
      </c>
      <c r="I3389">
        <v>3</v>
      </c>
      <c r="J3389" t="s">
        <v>23</v>
      </c>
      <c r="K3389" s="59" t="s">
        <v>4376</v>
      </c>
    </row>
    <row r="3390" spans="1:11" x14ac:dyDescent="0.2">
      <c r="A3390" t="s">
        <v>3429</v>
      </c>
      <c r="B3390">
        <v>2022</v>
      </c>
      <c r="C3390" t="s">
        <v>33</v>
      </c>
      <c r="D3390">
        <v>353</v>
      </c>
      <c r="E3390" t="s">
        <v>53</v>
      </c>
      <c r="F3390" t="s">
        <v>54</v>
      </c>
      <c r="G3390" t="s">
        <v>15</v>
      </c>
      <c r="H3390">
        <v>0.46280219742872031</v>
      </c>
      <c r="I3390">
        <v>3</v>
      </c>
      <c r="J3390" t="s">
        <v>16</v>
      </c>
      <c r="K3390" s="59" t="s">
        <v>4376</v>
      </c>
    </row>
    <row r="3391" spans="1:11" x14ac:dyDescent="0.2">
      <c r="A3391" t="s">
        <v>3430</v>
      </c>
      <c r="B3391">
        <v>2024</v>
      </c>
      <c r="C3391" t="s">
        <v>19</v>
      </c>
      <c r="D3391">
        <v>76</v>
      </c>
      <c r="E3391" t="s">
        <v>38</v>
      </c>
      <c r="F3391" t="s">
        <v>39</v>
      </c>
      <c r="G3391" t="s">
        <v>15</v>
      </c>
      <c r="H3391">
        <v>-3.056211798423274E-2</v>
      </c>
      <c r="I3391">
        <v>3</v>
      </c>
      <c r="J3391" t="s">
        <v>23</v>
      </c>
      <c r="K3391" s="59" t="s">
        <v>23</v>
      </c>
    </row>
    <row r="3392" spans="1:11" x14ac:dyDescent="0.2">
      <c r="A3392" t="s">
        <v>3431</v>
      </c>
      <c r="B3392">
        <v>2021</v>
      </c>
      <c r="C3392" t="s">
        <v>33</v>
      </c>
      <c r="D3392">
        <v>312</v>
      </c>
      <c r="E3392" t="s">
        <v>38</v>
      </c>
      <c r="F3392" t="s">
        <v>39</v>
      </c>
      <c r="G3392" t="s">
        <v>15</v>
      </c>
      <c r="H3392">
        <v>0.60221472720671299</v>
      </c>
      <c r="I3392">
        <v>3</v>
      </c>
      <c r="J3392" t="s">
        <v>23</v>
      </c>
      <c r="K3392" s="59" t="s">
        <v>4376</v>
      </c>
    </row>
    <row r="3393" spans="1:11" x14ac:dyDescent="0.2">
      <c r="A3393" t="s">
        <v>3432</v>
      </c>
      <c r="B3393">
        <v>2021</v>
      </c>
      <c r="C3393" t="s">
        <v>19</v>
      </c>
      <c r="D3393">
        <v>71</v>
      </c>
      <c r="E3393" t="s">
        <v>53</v>
      </c>
      <c r="F3393" t="s">
        <v>54</v>
      </c>
      <c r="G3393" t="s">
        <v>15</v>
      </c>
      <c r="H3393">
        <v>0.51548005419774312</v>
      </c>
      <c r="I3393">
        <v>3</v>
      </c>
      <c r="J3393" t="s">
        <v>16</v>
      </c>
      <c r="K3393" s="59" t="s">
        <v>23</v>
      </c>
    </row>
    <row r="3394" spans="1:11" x14ac:dyDescent="0.2">
      <c r="A3394" t="s">
        <v>3433</v>
      </c>
      <c r="B3394">
        <v>2016</v>
      </c>
      <c r="C3394" t="s">
        <v>33</v>
      </c>
      <c r="D3394">
        <v>107</v>
      </c>
      <c r="E3394" t="s">
        <v>53</v>
      </c>
      <c r="F3394" t="s">
        <v>54</v>
      </c>
      <c r="G3394" t="s">
        <v>15</v>
      </c>
      <c r="H3394">
        <v>-2.895383998287675</v>
      </c>
      <c r="I3394">
        <v>3</v>
      </c>
      <c r="J3394" t="s">
        <v>17</v>
      </c>
      <c r="K3394" s="59" t="s">
        <v>17</v>
      </c>
    </row>
    <row r="3395" spans="1:11" x14ac:dyDescent="0.2">
      <c r="A3395" t="s">
        <v>3434</v>
      </c>
      <c r="B3395">
        <v>2021</v>
      </c>
      <c r="C3395" t="s">
        <v>12</v>
      </c>
      <c r="D3395">
        <v>313</v>
      </c>
      <c r="E3395" t="s">
        <v>38</v>
      </c>
      <c r="F3395" t="s">
        <v>39</v>
      </c>
      <c r="G3395" t="s">
        <v>15</v>
      </c>
      <c r="H3395">
        <v>0.60608002270248429</v>
      </c>
      <c r="I3395">
        <v>3</v>
      </c>
      <c r="J3395" t="s">
        <v>23</v>
      </c>
      <c r="K3395" s="59" t="s">
        <v>16</v>
      </c>
    </row>
    <row r="3396" spans="1:11" x14ac:dyDescent="0.2">
      <c r="A3396" t="s">
        <v>3435</v>
      </c>
      <c r="B3396">
        <v>2024</v>
      </c>
      <c r="C3396" t="s">
        <v>12</v>
      </c>
      <c r="D3396">
        <v>74</v>
      </c>
      <c r="E3396" t="s">
        <v>38</v>
      </c>
      <c r="F3396" t="s">
        <v>39</v>
      </c>
      <c r="G3396" t="s">
        <v>15</v>
      </c>
      <c r="H3396">
        <v>-6.4013350153939511E-2</v>
      </c>
      <c r="I3396">
        <v>3</v>
      </c>
      <c r="J3396" t="s">
        <v>23</v>
      </c>
      <c r="K3396" s="59" t="s">
        <v>23</v>
      </c>
    </row>
    <row r="3397" spans="1:11" x14ac:dyDescent="0.2">
      <c r="A3397" t="s">
        <v>3436</v>
      </c>
      <c r="B3397">
        <v>2024</v>
      </c>
      <c r="C3397" t="s">
        <v>33</v>
      </c>
      <c r="D3397">
        <v>74</v>
      </c>
      <c r="E3397" t="s">
        <v>38</v>
      </c>
      <c r="F3397" t="s">
        <v>39</v>
      </c>
      <c r="G3397" t="s">
        <v>15</v>
      </c>
      <c r="H3397">
        <v>-6.4013350153939511E-2</v>
      </c>
      <c r="I3397">
        <v>3</v>
      </c>
      <c r="J3397" t="s">
        <v>23</v>
      </c>
      <c r="K3397" s="59" t="s">
        <v>4376</v>
      </c>
    </row>
    <row r="3398" spans="1:11" x14ac:dyDescent="0.2">
      <c r="A3398" t="s">
        <v>3437</v>
      </c>
      <c r="B3398">
        <v>2021</v>
      </c>
      <c r="C3398" t="s">
        <v>33</v>
      </c>
      <c r="D3398">
        <v>367</v>
      </c>
      <c r="E3398" t="s">
        <v>38</v>
      </c>
      <c r="F3398" t="s">
        <v>39</v>
      </c>
      <c r="G3398" t="s">
        <v>15</v>
      </c>
      <c r="H3398">
        <v>0.69029355547504967</v>
      </c>
      <c r="I3398">
        <v>3</v>
      </c>
      <c r="J3398" t="s">
        <v>23</v>
      </c>
      <c r="K3398" s="59" t="s">
        <v>4376</v>
      </c>
    </row>
    <row r="3399" spans="1:11" x14ac:dyDescent="0.2">
      <c r="A3399" t="s">
        <v>3438</v>
      </c>
      <c r="B3399">
        <v>2024</v>
      </c>
      <c r="C3399" t="s">
        <v>33</v>
      </c>
      <c r="D3399">
        <v>78</v>
      </c>
      <c r="E3399" t="s">
        <v>38</v>
      </c>
      <c r="F3399" t="s">
        <v>39</v>
      </c>
      <c r="G3399" t="s">
        <v>15</v>
      </c>
      <c r="H3399">
        <v>-1.4488149279308931E-2</v>
      </c>
      <c r="I3399">
        <v>3</v>
      </c>
      <c r="J3399" t="s">
        <v>23</v>
      </c>
      <c r="K3399" s="59" t="s">
        <v>4376</v>
      </c>
    </row>
    <row r="3400" spans="1:11" x14ac:dyDescent="0.2">
      <c r="A3400" t="s">
        <v>3439</v>
      </c>
      <c r="B3400">
        <v>2022</v>
      </c>
      <c r="C3400" t="s">
        <v>33</v>
      </c>
      <c r="D3400">
        <v>353</v>
      </c>
      <c r="E3400" t="s">
        <v>53</v>
      </c>
      <c r="F3400" t="s">
        <v>54</v>
      </c>
      <c r="G3400" t="s">
        <v>15</v>
      </c>
      <c r="H3400">
        <v>0.46280219742872031</v>
      </c>
      <c r="I3400">
        <v>3</v>
      </c>
      <c r="J3400" t="s">
        <v>16</v>
      </c>
      <c r="K3400" s="59" t="s">
        <v>4376</v>
      </c>
    </row>
    <row r="3401" spans="1:11" x14ac:dyDescent="0.2">
      <c r="A3401" t="s">
        <v>3440</v>
      </c>
      <c r="B3401">
        <v>2024</v>
      </c>
      <c r="C3401" t="s">
        <v>33</v>
      </c>
      <c r="D3401">
        <v>74</v>
      </c>
      <c r="E3401" t="s">
        <v>38</v>
      </c>
      <c r="F3401" t="s">
        <v>39</v>
      </c>
      <c r="G3401" t="s">
        <v>15</v>
      </c>
      <c r="H3401">
        <v>-6.4013350153939511E-2</v>
      </c>
      <c r="I3401">
        <v>3</v>
      </c>
      <c r="J3401" t="s">
        <v>23</v>
      </c>
      <c r="K3401" s="59" t="s">
        <v>4376</v>
      </c>
    </row>
    <row r="3402" spans="1:11" x14ac:dyDescent="0.2">
      <c r="A3402" t="s">
        <v>3441</v>
      </c>
      <c r="B3402">
        <v>2024</v>
      </c>
      <c r="C3402" t="s">
        <v>33</v>
      </c>
      <c r="D3402">
        <v>74</v>
      </c>
      <c r="E3402" t="s">
        <v>38</v>
      </c>
      <c r="F3402" t="s">
        <v>39</v>
      </c>
      <c r="G3402" t="s">
        <v>15</v>
      </c>
      <c r="H3402">
        <v>-6.4013350153939511E-2</v>
      </c>
      <c r="I3402">
        <v>3</v>
      </c>
      <c r="J3402" t="s">
        <v>23</v>
      </c>
      <c r="K3402" s="59" t="s">
        <v>4376</v>
      </c>
    </row>
    <row r="3403" spans="1:11" x14ac:dyDescent="0.2">
      <c r="A3403" t="s">
        <v>3442</v>
      </c>
      <c r="B3403">
        <v>2024</v>
      </c>
      <c r="C3403" t="s">
        <v>33</v>
      </c>
      <c r="D3403">
        <v>74</v>
      </c>
      <c r="E3403" t="s">
        <v>38</v>
      </c>
      <c r="F3403" t="s">
        <v>39</v>
      </c>
      <c r="G3403" t="s">
        <v>15</v>
      </c>
      <c r="H3403">
        <v>-6.4013350153939511E-2</v>
      </c>
      <c r="I3403">
        <v>3</v>
      </c>
      <c r="J3403" t="s">
        <v>23</v>
      </c>
      <c r="K3403" s="59" t="s">
        <v>4376</v>
      </c>
    </row>
    <row r="3404" spans="1:11" x14ac:dyDescent="0.2">
      <c r="A3404" t="s">
        <v>3443</v>
      </c>
      <c r="B3404">
        <v>2021</v>
      </c>
      <c r="C3404" t="s">
        <v>33</v>
      </c>
      <c r="D3404">
        <v>301</v>
      </c>
      <c r="E3404" t="s">
        <v>38</v>
      </c>
      <c r="F3404" t="s">
        <v>39</v>
      </c>
      <c r="G3404" t="s">
        <v>15</v>
      </c>
      <c r="H3404">
        <v>0.13446396071965319</v>
      </c>
      <c r="I3404">
        <v>3</v>
      </c>
      <c r="J3404" t="s">
        <v>23</v>
      </c>
      <c r="K3404" s="59" t="s">
        <v>23</v>
      </c>
    </row>
    <row r="3405" spans="1:11" x14ac:dyDescent="0.2">
      <c r="A3405" t="s">
        <v>3444</v>
      </c>
      <c r="B3405">
        <v>2023</v>
      </c>
      <c r="C3405" t="s">
        <v>33</v>
      </c>
      <c r="D3405">
        <v>274</v>
      </c>
      <c r="E3405" t="s">
        <v>53</v>
      </c>
      <c r="F3405" t="s">
        <v>54</v>
      </c>
      <c r="G3405" t="s">
        <v>36</v>
      </c>
      <c r="H3405">
        <v>0.15022487834867609</v>
      </c>
      <c r="I3405">
        <v>3</v>
      </c>
      <c r="J3405" t="s">
        <v>16</v>
      </c>
      <c r="K3405" s="59" t="s">
        <v>4376</v>
      </c>
    </row>
    <row r="3406" spans="1:11" x14ac:dyDescent="0.2">
      <c r="A3406" t="s">
        <v>3445</v>
      </c>
      <c r="B3406">
        <v>2021</v>
      </c>
      <c r="C3406" t="s">
        <v>19</v>
      </c>
      <c r="D3406">
        <v>153</v>
      </c>
      <c r="E3406" t="s">
        <v>20</v>
      </c>
      <c r="F3406" t="s">
        <v>21</v>
      </c>
      <c r="G3406" t="s">
        <v>15</v>
      </c>
      <c r="H3406">
        <v>1.207133472294913</v>
      </c>
      <c r="I3406">
        <v>3</v>
      </c>
      <c r="J3406" t="s">
        <v>23</v>
      </c>
      <c r="K3406" s="59" t="s">
        <v>17</v>
      </c>
    </row>
    <row r="3407" spans="1:11" x14ac:dyDescent="0.2">
      <c r="A3407" t="s">
        <v>3446</v>
      </c>
      <c r="B3407">
        <v>2024</v>
      </c>
      <c r="C3407" t="s">
        <v>33</v>
      </c>
      <c r="D3407">
        <v>74</v>
      </c>
      <c r="E3407" t="s">
        <v>38</v>
      </c>
      <c r="F3407" t="s">
        <v>39</v>
      </c>
      <c r="G3407" t="s">
        <v>15</v>
      </c>
      <c r="H3407">
        <v>-6.4013350153939511E-2</v>
      </c>
      <c r="I3407">
        <v>3</v>
      </c>
      <c r="J3407" t="s">
        <v>23</v>
      </c>
      <c r="K3407" s="59" t="s">
        <v>4376</v>
      </c>
    </row>
    <row r="3408" spans="1:11" x14ac:dyDescent="0.2">
      <c r="A3408" t="s">
        <v>3447</v>
      </c>
      <c r="B3408">
        <v>2021</v>
      </c>
      <c r="C3408" t="s">
        <v>19</v>
      </c>
      <c r="D3408">
        <v>440</v>
      </c>
      <c r="E3408" t="s">
        <v>38</v>
      </c>
      <c r="F3408" t="s">
        <v>39</v>
      </c>
      <c r="G3408" t="s">
        <v>15</v>
      </c>
      <c r="H3408">
        <v>0.51117068710679503</v>
      </c>
      <c r="I3408">
        <v>3</v>
      </c>
      <c r="J3408" t="s">
        <v>23</v>
      </c>
      <c r="K3408" s="59" t="s">
        <v>23</v>
      </c>
    </row>
    <row r="3409" spans="1:11" x14ac:dyDescent="0.2">
      <c r="A3409" t="s">
        <v>3448</v>
      </c>
      <c r="B3409">
        <v>2024</v>
      </c>
      <c r="C3409" t="s">
        <v>12</v>
      </c>
      <c r="D3409">
        <v>76</v>
      </c>
      <c r="E3409" t="s">
        <v>38</v>
      </c>
      <c r="F3409" t="s">
        <v>39</v>
      </c>
      <c r="G3409" t="s">
        <v>15</v>
      </c>
      <c r="H3409">
        <v>-3.056211798423274E-2</v>
      </c>
      <c r="I3409">
        <v>3</v>
      </c>
      <c r="J3409" t="s">
        <v>23</v>
      </c>
      <c r="K3409" s="59" t="s">
        <v>17</v>
      </c>
    </row>
    <row r="3410" spans="1:11" x14ac:dyDescent="0.2">
      <c r="A3410" t="s">
        <v>3449</v>
      </c>
      <c r="B3410">
        <v>2021</v>
      </c>
      <c r="C3410" t="s">
        <v>33</v>
      </c>
      <c r="D3410">
        <v>311</v>
      </c>
      <c r="E3410" t="s">
        <v>38</v>
      </c>
      <c r="F3410" t="s">
        <v>39</v>
      </c>
      <c r="G3410" t="s">
        <v>15</v>
      </c>
      <c r="H3410">
        <v>0.60221472720671299</v>
      </c>
      <c r="I3410">
        <v>3</v>
      </c>
      <c r="J3410" t="s">
        <v>23</v>
      </c>
      <c r="K3410" s="59" t="s">
        <v>4376</v>
      </c>
    </row>
    <row r="3411" spans="1:11" x14ac:dyDescent="0.2">
      <c r="A3411" t="s">
        <v>3450</v>
      </c>
      <c r="B3411">
        <v>2024</v>
      </c>
      <c r="C3411" t="s">
        <v>19</v>
      </c>
      <c r="D3411">
        <v>224</v>
      </c>
      <c r="E3411" t="s">
        <v>25</v>
      </c>
      <c r="F3411" t="s">
        <v>26</v>
      </c>
      <c r="G3411" t="s">
        <v>15</v>
      </c>
      <c r="H3411">
        <v>-0.13665031143673101</v>
      </c>
      <c r="I3411">
        <v>2</v>
      </c>
      <c r="J3411" t="s">
        <v>23</v>
      </c>
      <c r="K3411" s="59" t="s">
        <v>17</v>
      </c>
    </row>
    <row r="3412" spans="1:11" x14ac:dyDescent="0.2">
      <c r="A3412" t="s">
        <v>3451</v>
      </c>
      <c r="B3412">
        <v>2022</v>
      </c>
      <c r="C3412" t="s">
        <v>33</v>
      </c>
      <c r="D3412">
        <v>353</v>
      </c>
      <c r="E3412" t="s">
        <v>53</v>
      </c>
      <c r="F3412" t="s">
        <v>54</v>
      </c>
      <c r="G3412" t="s">
        <v>15</v>
      </c>
      <c r="H3412">
        <v>0.46280219742872031</v>
      </c>
      <c r="I3412">
        <v>3</v>
      </c>
      <c r="J3412" t="s">
        <v>16</v>
      </c>
      <c r="K3412" s="59" t="s">
        <v>4376</v>
      </c>
    </row>
    <row r="3413" spans="1:11" x14ac:dyDescent="0.2">
      <c r="A3413" t="s">
        <v>3452</v>
      </c>
      <c r="B3413">
        <v>2024</v>
      </c>
      <c r="C3413" t="s">
        <v>33</v>
      </c>
      <c r="D3413">
        <v>75</v>
      </c>
      <c r="E3413" t="s">
        <v>38</v>
      </c>
      <c r="F3413" t="s">
        <v>39</v>
      </c>
      <c r="G3413" t="s">
        <v>15</v>
      </c>
      <c r="H3413">
        <v>-6.4013350153939511E-2</v>
      </c>
      <c r="I3413">
        <v>3</v>
      </c>
      <c r="J3413" t="s">
        <v>23</v>
      </c>
      <c r="K3413" s="59" t="s">
        <v>4376</v>
      </c>
    </row>
    <row r="3414" spans="1:11" x14ac:dyDescent="0.2">
      <c r="A3414" t="s">
        <v>3453</v>
      </c>
      <c r="B3414">
        <v>2021</v>
      </c>
      <c r="C3414" t="s">
        <v>19</v>
      </c>
      <c r="D3414">
        <v>394</v>
      </c>
      <c r="E3414" t="s">
        <v>29</v>
      </c>
      <c r="F3414" t="s">
        <v>30</v>
      </c>
      <c r="G3414" t="s">
        <v>15</v>
      </c>
      <c r="H3414">
        <v>0.43743819565275671</v>
      </c>
      <c r="I3414">
        <v>4</v>
      </c>
      <c r="J3414" t="s">
        <v>23</v>
      </c>
      <c r="K3414" s="59" t="s">
        <v>23</v>
      </c>
    </row>
    <row r="3415" spans="1:11" x14ac:dyDescent="0.2">
      <c r="A3415" t="s">
        <v>3454</v>
      </c>
      <c r="B3415">
        <v>2021</v>
      </c>
      <c r="C3415" t="s">
        <v>19</v>
      </c>
      <c r="D3415">
        <v>302</v>
      </c>
      <c r="E3415" t="s">
        <v>38</v>
      </c>
      <c r="F3415" t="s">
        <v>39</v>
      </c>
      <c r="G3415" t="s">
        <v>15</v>
      </c>
      <c r="H3415">
        <v>0.1382145534174688</v>
      </c>
      <c r="I3415">
        <v>3</v>
      </c>
      <c r="J3415" t="s">
        <v>23</v>
      </c>
      <c r="K3415" s="59" t="s">
        <v>23</v>
      </c>
    </row>
    <row r="3416" spans="1:11" x14ac:dyDescent="0.2">
      <c r="A3416" t="s">
        <v>3455</v>
      </c>
      <c r="B3416">
        <v>2021</v>
      </c>
      <c r="C3416" t="s">
        <v>19</v>
      </c>
      <c r="D3416">
        <v>105</v>
      </c>
      <c r="E3416" t="s">
        <v>25</v>
      </c>
      <c r="F3416" t="s">
        <v>26</v>
      </c>
      <c r="G3416" t="s">
        <v>15</v>
      </c>
      <c r="H3416">
        <v>0.7272106923907542</v>
      </c>
      <c r="I3416">
        <v>2</v>
      </c>
      <c r="J3416" t="s">
        <v>23</v>
      </c>
      <c r="K3416" s="59" t="s">
        <v>17</v>
      </c>
    </row>
    <row r="3417" spans="1:11" x14ac:dyDescent="0.2">
      <c r="A3417" t="s">
        <v>3456</v>
      </c>
      <c r="B3417">
        <v>2021</v>
      </c>
      <c r="C3417" t="s">
        <v>19</v>
      </c>
      <c r="D3417">
        <v>111</v>
      </c>
      <c r="E3417" t="s">
        <v>20</v>
      </c>
      <c r="F3417" t="s">
        <v>21</v>
      </c>
      <c r="G3417" t="s">
        <v>15</v>
      </c>
      <c r="H3417">
        <v>-3.112171546842514</v>
      </c>
      <c r="I3417">
        <v>3</v>
      </c>
      <c r="J3417" t="s">
        <v>16</v>
      </c>
      <c r="K3417" s="59" t="s">
        <v>17</v>
      </c>
    </row>
    <row r="3418" spans="1:11" x14ac:dyDescent="0.2">
      <c r="A3418" t="s">
        <v>3457</v>
      </c>
      <c r="B3418">
        <v>2023</v>
      </c>
      <c r="C3418" t="s">
        <v>19</v>
      </c>
      <c r="D3418">
        <v>131</v>
      </c>
      <c r="E3418" t="s">
        <v>25</v>
      </c>
      <c r="F3418" t="s">
        <v>26</v>
      </c>
      <c r="G3418" t="s">
        <v>15</v>
      </c>
      <c r="H3418">
        <v>5.0598248591448867E-2</v>
      </c>
      <c r="I3418">
        <v>2</v>
      </c>
      <c r="J3418" t="s">
        <v>17</v>
      </c>
      <c r="K3418" s="59" t="s">
        <v>16</v>
      </c>
    </row>
    <row r="3419" spans="1:11" x14ac:dyDescent="0.2">
      <c r="A3419" t="s">
        <v>3458</v>
      </c>
      <c r="B3419">
        <v>2024</v>
      </c>
      <c r="C3419" t="s">
        <v>33</v>
      </c>
      <c r="D3419">
        <v>74</v>
      </c>
      <c r="E3419" t="s">
        <v>20</v>
      </c>
      <c r="F3419" t="s">
        <v>21</v>
      </c>
      <c r="G3419" t="s">
        <v>15</v>
      </c>
      <c r="H3419">
        <v>-0.69958676137836551</v>
      </c>
      <c r="I3419">
        <v>3</v>
      </c>
      <c r="J3419" t="s">
        <v>23</v>
      </c>
      <c r="K3419" s="59" t="s">
        <v>17</v>
      </c>
    </row>
    <row r="3420" spans="1:11" x14ac:dyDescent="0.2">
      <c r="A3420" t="s">
        <v>3459</v>
      </c>
      <c r="B3420">
        <v>2024</v>
      </c>
      <c r="C3420" t="s">
        <v>19</v>
      </c>
      <c r="D3420">
        <v>74</v>
      </c>
      <c r="E3420" t="s">
        <v>38</v>
      </c>
      <c r="F3420" t="s">
        <v>39</v>
      </c>
      <c r="G3420" t="s">
        <v>15</v>
      </c>
      <c r="H3420">
        <v>-6.4013350153939511E-2</v>
      </c>
      <c r="I3420">
        <v>3</v>
      </c>
      <c r="J3420" t="s">
        <v>23</v>
      </c>
      <c r="K3420" s="59" t="s">
        <v>23</v>
      </c>
    </row>
    <row r="3421" spans="1:11" x14ac:dyDescent="0.2">
      <c r="A3421" t="s">
        <v>3460</v>
      </c>
      <c r="B3421">
        <v>2021</v>
      </c>
      <c r="C3421" t="s">
        <v>12</v>
      </c>
      <c r="D3421">
        <v>308</v>
      </c>
      <c r="E3421" t="s">
        <v>29</v>
      </c>
      <c r="F3421" t="s">
        <v>30</v>
      </c>
      <c r="G3421" t="s">
        <v>15</v>
      </c>
      <c r="H3421">
        <v>0.52878108146884251</v>
      </c>
      <c r="I3421">
        <v>4</v>
      </c>
      <c r="J3421" t="s">
        <v>23</v>
      </c>
      <c r="K3421" s="59" t="s">
        <v>17</v>
      </c>
    </row>
    <row r="3422" spans="1:11" x14ac:dyDescent="0.2">
      <c r="A3422" t="s">
        <v>3461</v>
      </c>
      <c r="B3422">
        <v>2021</v>
      </c>
      <c r="C3422" t="s">
        <v>19</v>
      </c>
      <c r="D3422">
        <v>399</v>
      </c>
      <c r="E3422" t="s">
        <v>38</v>
      </c>
      <c r="F3422" t="s">
        <v>39</v>
      </c>
      <c r="G3422" t="s">
        <v>15</v>
      </c>
      <c r="H3422">
        <v>0.20729434749458239</v>
      </c>
      <c r="I3422">
        <v>3</v>
      </c>
      <c r="J3422" t="s">
        <v>23</v>
      </c>
      <c r="K3422" s="59" t="s">
        <v>17</v>
      </c>
    </row>
    <row r="3423" spans="1:11" x14ac:dyDescent="0.2">
      <c r="A3423" t="s">
        <v>3462</v>
      </c>
      <c r="B3423">
        <v>2021</v>
      </c>
      <c r="C3423" t="s">
        <v>33</v>
      </c>
      <c r="D3423">
        <v>382</v>
      </c>
      <c r="E3423" t="s">
        <v>29</v>
      </c>
      <c r="F3423" t="s">
        <v>30</v>
      </c>
      <c r="G3423" t="s">
        <v>15</v>
      </c>
      <c r="H3423">
        <v>-0.1911280323988247</v>
      </c>
      <c r="I3423">
        <v>4</v>
      </c>
      <c r="J3423" t="s">
        <v>23</v>
      </c>
      <c r="K3423" s="59" t="s">
        <v>16</v>
      </c>
    </row>
    <row r="3424" spans="1:11" x14ac:dyDescent="0.2">
      <c r="A3424" t="s">
        <v>3463</v>
      </c>
      <c r="B3424">
        <v>2024</v>
      </c>
      <c r="C3424" t="s">
        <v>33</v>
      </c>
      <c r="D3424">
        <v>75</v>
      </c>
      <c r="E3424" t="s">
        <v>38</v>
      </c>
      <c r="F3424" t="s">
        <v>39</v>
      </c>
      <c r="G3424" t="s">
        <v>15</v>
      </c>
      <c r="H3424">
        <v>-6.4013350153939511E-2</v>
      </c>
      <c r="I3424">
        <v>3</v>
      </c>
      <c r="J3424" t="s">
        <v>23</v>
      </c>
      <c r="K3424" s="59" t="s">
        <v>17</v>
      </c>
    </row>
    <row r="3425" spans="1:11" x14ac:dyDescent="0.2">
      <c r="A3425" t="s">
        <v>3464</v>
      </c>
      <c r="B3425">
        <v>2024</v>
      </c>
      <c r="C3425" t="s">
        <v>33</v>
      </c>
      <c r="D3425">
        <v>36</v>
      </c>
      <c r="E3425" t="s">
        <v>38</v>
      </c>
      <c r="F3425" t="s">
        <v>39</v>
      </c>
      <c r="G3425" t="s">
        <v>15</v>
      </c>
      <c r="H3425">
        <v>-2.712235896922381</v>
      </c>
      <c r="I3425">
        <v>3</v>
      </c>
      <c r="J3425" t="s">
        <v>23</v>
      </c>
      <c r="K3425" s="59" t="s">
        <v>4376</v>
      </c>
    </row>
    <row r="3426" spans="1:11" x14ac:dyDescent="0.2">
      <c r="A3426" t="s">
        <v>3465</v>
      </c>
      <c r="B3426">
        <v>2021</v>
      </c>
      <c r="C3426" t="s">
        <v>33</v>
      </c>
      <c r="D3426">
        <v>311</v>
      </c>
      <c r="E3426" t="s">
        <v>38</v>
      </c>
      <c r="F3426" t="s">
        <v>39</v>
      </c>
      <c r="G3426" t="s">
        <v>15</v>
      </c>
      <c r="H3426">
        <v>0.60221472720671299</v>
      </c>
      <c r="I3426">
        <v>3</v>
      </c>
      <c r="J3426" t="s">
        <v>23</v>
      </c>
      <c r="K3426" s="59" t="s">
        <v>4376</v>
      </c>
    </row>
    <row r="3427" spans="1:11" x14ac:dyDescent="0.2">
      <c r="A3427" t="s">
        <v>3466</v>
      </c>
      <c r="B3427">
        <v>2023</v>
      </c>
      <c r="C3427" t="s">
        <v>19</v>
      </c>
      <c r="D3427">
        <v>491</v>
      </c>
      <c r="E3427" t="s">
        <v>53</v>
      </c>
      <c r="F3427" t="s">
        <v>54</v>
      </c>
      <c r="G3427" t="s">
        <v>15</v>
      </c>
      <c r="H3427">
        <v>0.36786808274088828</v>
      </c>
      <c r="I3427">
        <v>3</v>
      </c>
      <c r="J3427" t="s">
        <v>16</v>
      </c>
      <c r="K3427" s="59" t="s">
        <v>17</v>
      </c>
    </row>
    <row r="3428" spans="1:11" x14ac:dyDescent="0.2">
      <c r="A3428" t="s">
        <v>3467</v>
      </c>
      <c r="B3428">
        <v>2021</v>
      </c>
      <c r="C3428" t="s">
        <v>19</v>
      </c>
      <c r="D3428">
        <v>304</v>
      </c>
      <c r="E3428" t="s">
        <v>29</v>
      </c>
      <c r="F3428" t="s">
        <v>30</v>
      </c>
      <c r="G3428" t="s">
        <v>15</v>
      </c>
      <c r="H3428">
        <v>0.51773299692770136</v>
      </c>
      <c r="I3428">
        <v>4</v>
      </c>
      <c r="J3428" t="s">
        <v>23</v>
      </c>
      <c r="K3428" s="59" t="s">
        <v>17</v>
      </c>
    </row>
    <row r="3429" spans="1:11" x14ac:dyDescent="0.2">
      <c r="A3429" t="s">
        <v>3468</v>
      </c>
      <c r="B3429">
        <v>2025</v>
      </c>
      <c r="C3429" t="s">
        <v>12</v>
      </c>
      <c r="D3429">
        <v>348</v>
      </c>
      <c r="E3429" t="s">
        <v>25</v>
      </c>
      <c r="F3429" t="s">
        <v>26</v>
      </c>
      <c r="G3429" t="s">
        <v>15</v>
      </c>
      <c r="H3429">
        <v>4.7310699391647192E-3</v>
      </c>
      <c r="I3429">
        <v>2</v>
      </c>
      <c r="J3429" t="s">
        <v>23</v>
      </c>
      <c r="K3429" s="59" t="s">
        <v>16</v>
      </c>
    </row>
    <row r="3430" spans="1:11" x14ac:dyDescent="0.2">
      <c r="A3430" t="s">
        <v>3469</v>
      </c>
      <c r="B3430">
        <v>2024</v>
      </c>
      <c r="C3430" t="s">
        <v>33</v>
      </c>
      <c r="D3430">
        <v>37</v>
      </c>
      <c r="E3430" t="s">
        <v>38</v>
      </c>
      <c r="F3430" t="s">
        <v>39</v>
      </c>
      <c r="G3430" t="s">
        <v>15</v>
      </c>
      <c r="H3430">
        <v>-2.712235896922381</v>
      </c>
      <c r="I3430">
        <v>3</v>
      </c>
      <c r="J3430" t="s">
        <v>23</v>
      </c>
      <c r="K3430" s="59" t="s">
        <v>4376</v>
      </c>
    </row>
    <row r="3431" spans="1:11" x14ac:dyDescent="0.2">
      <c r="A3431" t="s">
        <v>3470</v>
      </c>
      <c r="B3431">
        <v>2024</v>
      </c>
      <c r="C3431" t="s">
        <v>33</v>
      </c>
      <c r="D3431">
        <v>37</v>
      </c>
      <c r="E3431" t="s">
        <v>38</v>
      </c>
      <c r="F3431" t="s">
        <v>39</v>
      </c>
      <c r="G3431" t="s">
        <v>15</v>
      </c>
      <c r="H3431">
        <v>-2.6063069950516442</v>
      </c>
      <c r="I3431">
        <v>3</v>
      </c>
      <c r="J3431" t="s">
        <v>23</v>
      </c>
      <c r="K3431" s="59" t="s">
        <v>4376</v>
      </c>
    </row>
    <row r="3432" spans="1:11" x14ac:dyDescent="0.2">
      <c r="A3432" t="s">
        <v>3471</v>
      </c>
      <c r="B3432">
        <v>2021</v>
      </c>
      <c r="C3432" t="s">
        <v>33</v>
      </c>
      <c r="D3432">
        <v>312</v>
      </c>
      <c r="E3432" t="s">
        <v>38</v>
      </c>
      <c r="F3432" t="s">
        <v>39</v>
      </c>
      <c r="G3432" t="s">
        <v>15</v>
      </c>
      <c r="H3432">
        <v>0.60415356933840592</v>
      </c>
      <c r="I3432">
        <v>3</v>
      </c>
      <c r="J3432" t="s">
        <v>23</v>
      </c>
      <c r="K3432" s="59" t="s">
        <v>4376</v>
      </c>
    </row>
    <row r="3433" spans="1:11" x14ac:dyDescent="0.2">
      <c r="A3433" t="s">
        <v>3472</v>
      </c>
      <c r="B3433">
        <v>2024</v>
      </c>
      <c r="C3433" t="s">
        <v>33</v>
      </c>
      <c r="D3433">
        <v>37</v>
      </c>
      <c r="E3433" t="s">
        <v>38</v>
      </c>
      <c r="F3433" t="s">
        <v>39</v>
      </c>
      <c r="G3433" t="s">
        <v>15</v>
      </c>
      <c r="H3433">
        <v>-2.6063069950516442</v>
      </c>
      <c r="I3433">
        <v>3</v>
      </c>
      <c r="J3433" t="s">
        <v>23</v>
      </c>
      <c r="K3433" s="59" t="s">
        <v>4376</v>
      </c>
    </row>
    <row r="3434" spans="1:11" x14ac:dyDescent="0.2">
      <c r="A3434" t="s">
        <v>3473</v>
      </c>
      <c r="B3434">
        <v>2024</v>
      </c>
      <c r="C3434" t="s">
        <v>33</v>
      </c>
      <c r="D3434">
        <v>36</v>
      </c>
      <c r="E3434" t="s">
        <v>38</v>
      </c>
      <c r="F3434" t="s">
        <v>39</v>
      </c>
      <c r="G3434" t="s">
        <v>15</v>
      </c>
      <c r="H3434">
        <v>-2.712235896922381</v>
      </c>
      <c r="I3434">
        <v>3</v>
      </c>
      <c r="J3434" t="s">
        <v>23</v>
      </c>
      <c r="K3434" s="59" t="s">
        <v>4376</v>
      </c>
    </row>
    <row r="3435" spans="1:11" x14ac:dyDescent="0.2">
      <c r="A3435" t="s">
        <v>3474</v>
      </c>
      <c r="B3435">
        <v>2021</v>
      </c>
      <c r="C3435" t="s">
        <v>33</v>
      </c>
      <c r="D3435">
        <v>367</v>
      </c>
      <c r="E3435" t="s">
        <v>38</v>
      </c>
      <c r="F3435" t="s">
        <v>39</v>
      </c>
      <c r="G3435" t="s">
        <v>15</v>
      </c>
      <c r="H3435">
        <v>0.69029355547504967</v>
      </c>
      <c r="I3435">
        <v>3</v>
      </c>
      <c r="J3435" t="s">
        <v>23</v>
      </c>
      <c r="K3435" s="59" t="s">
        <v>4376</v>
      </c>
    </row>
    <row r="3436" spans="1:11" x14ac:dyDescent="0.2">
      <c r="A3436" t="s">
        <v>3475</v>
      </c>
      <c r="B3436">
        <v>2021</v>
      </c>
      <c r="C3436" t="s">
        <v>33</v>
      </c>
      <c r="D3436">
        <v>441</v>
      </c>
      <c r="E3436" t="s">
        <v>38</v>
      </c>
      <c r="F3436" t="s">
        <v>39</v>
      </c>
      <c r="G3436" t="s">
        <v>15</v>
      </c>
      <c r="H3436">
        <v>0.51117068710679503</v>
      </c>
      <c r="I3436">
        <v>3</v>
      </c>
      <c r="J3436" t="s">
        <v>23</v>
      </c>
      <c r="K3436" s="59" t="s">
        <v>4376</v>
      </c>
    </row>
    <row r="3437" spans="1:11" x14ac:dyDescent="0.2">
      <c r="A3437" t="s">
        <v>3476</v>
      </c>
      <c r="B3437">
        <v>2021</v>
      </c>
      <c r="C3437" t="s">
        <v>33</v>
      </c>
      <c r="D3437">
        <v>367</v>
      </c>
      <c r="E3437" t="s">
        <v>38</v>
      </c>
      <c r="F3437" t="s">
        <v>39</v>
      </c>
      <c r="G3437" t="s">
        <v>15</v>
      </c>
      <c r="H3437">
        <v>0.69029355547504967</v>
      </c>
      <c r="I3437">
        <v>3</v>
      </c>
      <c r="J3437" t="s">
        <v>23</v>
      </c>
      <c r="K3437" s="59" t="s">
        <v>4376</v>
      </c>
    </row>
    <row r="3438" spans="1:11" x14ac:dyDescent="0.2">
      <c r="A3438" t="s">
        <v>3477</v>
      </c>
      <c r="B3438">
        <v>2021</v>
      </c>
      <c r="C3438" t="s">
        <v>33</v>
      </c>
      <c r="D3438">
        <v>367</v>
      </c>
      <c r="E3438" t="s">
        <v>38</v>
      </c>
      <c r="F3438" t="s">
        <v>39</v>
      </c>
      <c r="G3438" t="s">
        <v>15</v>
      </c>
      <c r="H3438">
        <v>0.69029355547504967</v>
      </c>
      <c r="I3438">
        <v>3</v>
      </c>
      <c r="J3438" t="s">
        <v>23</v>
      </c>
      <c r="K3438" s="59" t="s">
        <v>17</v>
      </c>
    </row>
    <row r="3439" spans="1:11" x14ac:dyDescent="0.2">
      <c r="A3439" t="s">
        <v>3478</v>
      </c>
      <c r="B3439">
        <v>2021</v>
      </c>
      <c r="C3439" t="s">
        <v>12</v>
      </c>
      <c r="D3439">
        <v>367</v>
      </c>
      <c r="E3439" t="s">
        <v>38</v>
      </c>
      <c r="F3439" t="s">
        <v>39</v>
      </c>
      <c r="G3439" t="s">
        <v>15</v>
      </c>
      <c r="H3439">
        <v>0.69029355547504967</v>
      </c>
      <c r="I3439">
        <v>3</v>
      </c>
      <c r="J3439" t="s">
        <v>23</v>
      </c>
      <c r="K3439" s="59" t="s">
        <v>16</v>
      </c>
    </row>
    <row r="3440" spans="1:11" x14ac:dyDescent="0.2">
      <c r="A3440" t="s">
        <v>3479</v>
      </c>
      <c r="B3440">
        <v>2021</v>
      </c>
      <c r="C3440" t="s">
        <v>33</v>
      </c>
      <c r="D3440">
        <v>440</v>
      </c>
      <c r="E3440" t="s">
        <v>38</v>
      </c>
      <c r="F3440" t="s">
        <v>39</v>
      </c>
      <c r="G3440" t="s">
        <v>15</v>
      </c>
      <c r="H3440">
        <v>0.51117068710679503</v>
      </c>
      <c r="I3440">
        <v>3</v>
      </c>
      <c r="J3440" t="s">
        <v>23</v>
      </c>
      <c r="K3440" s="59" t="s">
        <v>17</v>
      </c>
    </row>
    <row r="3441" spans="1:11" x14ac:dyDescent="0.2">
      <c r="A3441" t="s">
        <v>3480</v>
      </c>
      <c r="B3441">
        <v>2021</v>
      </c>
      <c r="C3441" t="s">
        <v>19</v>
      </c>
      <c r="D3441">
        <v>399</v>
      </c>
      <c r="E3441" t="s">
        <v>38</v>
      </c>
      <c r="F3441" t="s">
        <v>39</v>
      </c>
      <c r="G3441" t="s">
        <v>15</v>
      </c>
      <c r="H3441">
        <v>0.20729434749458239</v>
      </c>
      <c r="I3441">
        <v>3</v>
      </c>
      <c r="J3441" t="s">
        <v>23</v>
      </c>
      <c r="K3441" s="59" t="s">
        <v>23</v>
      </c>
    </row>
    <row r="3442" spans="1:11" x14ac:dyDescent="0.2">
      <c r="A3442" t="s">
        <v>3481</v>
      </c>
      <c r="B3442">
        <v>2021</v>
      </c>
      <c r="C3442" t="s">
        <v>33</v>
      </c>
      <c r="D3442">
        <v>441</v>
      </c>
      <c r="E3442" t="s">
        <v>38</v>
      </c>
      <c r="F3442" t="s">
        <v>39</v>
      </c>
      <c r="G3442" t="s">
        <v>15</v>
      </c>
      <c r="H3442">
        <v>0.51279297798135937</v>
      </c>
      <c r="I3442">
        <v>3</v>
      </c>
      <c r="J3442" t="s">
        <v>23</v>
      </c>
      <c r="K3442" s="59" t="s">
        <v>4376</v>
      </c>
    </row>
    <row r="3443" spans="1:11" x14ac:dyDescent="0.2">
      <c r="A3443" t="s">
        <v>3482</v>
      </c>
      <c r="B3443">
        <v>2021</v>
      </c>
      <c r="C3443" t="s">
        <v>33</v>
      </c>
      <c r="D3443">
        <v>313</v>
      </c>
      <c r="E3443" t="s">
        <v>38</v>
      </c>
      <c r="F3443" t="s">
        <v>39</v>
      </c>
      <c r="G3443" t="s">
        <v>15</v>
      </c>
      <c r="H3443">
        <v>0.60608002270248429</v>
      </c>
      <c r="I3443">
        <v>3</v>
      </c>
      <c r="J3443" t="s">
        <v>23</v>
      </c>
      <c r="K3443" s="59" t="s">
        <v>4376</v>
      </c>
    </row>
    <row r="3444" spans="1:11" x14ac:dyDescent="0.2">
      <c r="A3444" t="s">
        <v>3483</v>
      </c>
      <c r="B3444">
        <v>2024</v>
      </c>
      <c r="C3444" t="s">
        <v>19</v>
      </c>
      <c r="D3444">
        <v>74</v>
      </c>
      <c r="E3444" t="s">
        <v>38</v>
      </c>
      <c r="F3444" t="s">
        <v>39</v>
      </c>
      <c r="G3444" t="s">
        <v>15</v>
      </c>
      <c r="H3444">
        <v>-6.4013350153939511E-2</v>
      </c>
      <c r="I3444">
        <v>3</v>
      </c>
      <c r="J3444" t="s">
        <v>23</v>
      </c>
      <c r="K3444" s="59" t="s">
        <v>23</v>
      </c>
    </row>
    <row r="3445" spans="1:11" x14ac:dyDescent="0.2">
      <c r="A3445" t="s">
        <v>3484</v>
      </c>
      <c r="B3445">
        <v>2021</v>
      </c>
      <c r="C3445" t="s">
        <v>19</v>
      </c>
      <c r="D3445">
        <v>399</v>
      </c>
      <c r="E3445" t="s">
        <v>38</v>
      </c>
      <c r="F3445" t="s">
        <v>39</v>
      </c>
      <c r="G3445" t="s">
        <v>15</v>
      </c>
      <c r="H3445">
        <v>0.20729434749458239</v>
      </c>
      <c r="I3445">
        <v>3</v>
      </c>
      <c r="J3445" t="s">
        <v>23</v>
      </c>
      <c r="K3445" s="59" t="s">
        <v>16</v>
      </c>
    </row>
    <row r="3446" spans="1:11" x14ac:dyDescent="0.2">
      <c r="A3446" t="s">
        <v>3485</v>
      </c>
      <c r="B3446">
        <v>2022</v>
      </c>
      <c r="C3446" t="s">
        <v>33</v>
      </c>
      <c r="D3446">
        <v>353</v>
      </c>
      <c r="E3446" t="s">
        <v>53</v>
      </c>
      <c r="F3446" t="s">
        <v>54</v>
      </c>
      <c r="G3446" t="s">
        <v>15</v>
      </c>
      <c r="H3446">
        <v>0.46280219742872031</v>
      </c>
      <c r="I3446">
        <v>3</v>
      </c>
      <c r="J3446" t="s">
        <v>16</v>
      </c>
      <c r="K3446" s="59" t="s">
        <v>4376</v>
      </c>
    </row>
    <row r="3447" spans="1:11" x14ac:dyDescent="0.2">
      <c r="A3447" t="s">
        <v>3486</v>
      </c>
      <c r="B3447">
        <v>2022</v>
      </c>
      <c r="C3447" t="s">
        <v>33</v>
      </c>
      <c r="D3447">
        <v>353</v>
      </c>
      <c r="E3447" t="s">
        <v>53</v>
      </c>
      <c r="F3447" t="s">
        <v>54</v>
      </c>
      <c r="G3447" t="s">
        <v>15</v>
      </c>
      <c r="H3447">
        <v>0.46058692577733279</v>
      </c>
      <c r="I3447">
        <v>3</v>
      </c>
      <c r="J3447" t="s">
        <v>16</v>
      </c>
      <c r="K3447" s="59" t="s">
        <v>4376</v>
      </c>
    </row>
    <row r="3448" spans="1:11" x14ac:dyDescent="0.2">
      <c r="A3448" t="s">
        <v>3487</v>
      </c>
      <c r="B3448">
        <v>2024</v>
      </c>
      <c r="C3448" t="s">
        <v>12</v>
      </c>
      <c r="D3448">
        <v>74</v>
      </c>
      <c r="E3448" t="s">
        <v>38</v>
      </c>
      <c r="F3448" t="s">
        <v>39</v>
      </c>
      <c r="G3448" t="s">
        <v>15</v>
      </c>
      <c r="H3448">
        <v>-6.4013350153939511E-2</v>
      </c>
      <c r="I3448">
        <v>3</v>
      </c>
      <c r="J3448" t="s">
        <v>23</v>
      </c>
      <c r="K3448" s="59" t="s">
        <v>17</v>
      </c>
    </row>
    <row r="3449" spans="1:11" x14ac:dyDescent="0.2">
      <c r="A3449" t="s">
        <v>3488</v>
      </c>
      <c r="B3449">
        <v>2024</v>
      </c>
      <c r="C3449" t="s">
        <v>33</v>
      </c>
      <c r="D3449">
        <v>38</v>
      </c>
      <c r="E3449" t="s">
        <v>38</v>
      </c>
      <c r="F3449" t="s">
        <v>39</v>
      </c>
      <c r="G3449" t="s">
        <v>15</v>
      </c>
      <c r="H3449">
        <v>-2.505953298542523</v>
      </c>
      <c r="I3449">
        <v>3</v>
      </c>
      <c r="J3449" t="s">
        <v>23</v>
      </c>
      <c r="K3449" s="59" t="s">
        <v>4376</v>
      </c>
    </row>
    <row r="3450" spans="1:11" x14ac:dyDescent="0.2">
      <c r="A3450" t="s">
        <v>3489</v>
      </c>
      <c r="B3450">
        <v>2024</v>
      </c>
      <c r="C3450" t="s">
        <v>12</v>
      </c>
      <c r="D3450">
        <v>74</v>
      </c>
      <c r="E3450" t="s">
        <v>38</v>
      </c>
      <c r="F3450" t="s">
        <v>39</v>
      </c>
      <c r="G3450" t="s">
        <v>15</v>
      </c>
      <c r="H3450">
        <v>-6.4013350153939511E-2</v>
      </c>
      <c r="I3450">
        <v>3</v>
      </c>
      <c r="J3450" t="s">
        <v>23</v>
      </c>
      <c r="K3450" s="59" t="s">
        <v>17</v>
      </c>
    </row>
    <row r="3451" spans="1:11" x14ac:dyDescent="0.2">
      <c r="A3451" t="s">
        <v>3490</v>
      </c>
      <c r="B3451">
        <v>2024</v>
      </c>
      <c r="C3451" t="s">
        <v>33</v>
      </c>
      <c r="D3451">
        <v>74</v>
      </c>
      <c r="E3451" t="s">
        <v>38</v>
      </c>
      <c r="F3451" t="s">
        <v>39</v>
      </c>
      <c r="G3451" t="s">
        <v>15</v>
      </c>
      <c r="H3451">
        <v>-6.4013350153939511E-2</v>
      </c>
      <c r="I3451">
        <v>3</v>
      </c>
      <c r="J3451" t="s">
        <v>23</v>
      </c>
      <c r="K3451" s="59" t="s">
        <v>4376</v>
      </c>
    </row>
    <row r="3452" spans="1:11" x14ac:dyDescent="0.2">
      <c r="A3452" t="s">
        <v>3491</v>
      </c>
      <c r="B3452">
        <v>2021</v>
      </c>
      <c r="C3452" t="s">
        <v>19</v>
      </c>
      <c r="D3452">
        <v>95</v>
      </c>
      <c r="E3452" t="s">
        <v>38</v>
      </c>
      <c r="F3452" t="s">
        <v>39</v>
      </c>
      <c r="G3452" t="s">
        <v>15</v>
      </c>
      <c r="H3452">
        <v>-0.79424663113519478</v>
      </c>
      <c r="I3452">
        <v>3</v>
      </c>
      <c r="J3452" t="s">
        <v>16</v>
      </c>
      <c r="K3452" s="59" t="s">
        <v>16</v>
      </c>
    </row>
    <row r="3453" spans="1:11" x14ac:dyDescent="0.2">
      <c r="A3453" t="s">
        <v>3492</v>
      </c>
      <c r="B3453">
        <v>2021</v>
      </c>
      <c r="C3453" t="s">
        <v>33</v>
      </c>
      <c r="D3453">
        <v>319</v>
      </c>
      <c r="E3453" t="s">
        <v>38</v>
      </c>
      <c r="F3453" t="s">
        <v>39</v>
      </c>
      <c r="G3453" t="s">
        <v>15</v>
      </c>
      <c r="H3453">
        <v>0.6155305486394721</v>
      </c>
      <c r="I3453">
        <v>3</v>
      </c>
      <c r="J3453" t="s">
        <v>16</v>
      </c>
      <c r="K3453" s="59" t="s">
        <v>4376</v>
      </c>
    </row>
    <row r="3454" spans="1:11" x14ac:dyDescent="0.2">
      <c r="A3454" t="s">
        <v>3493</v>
      </c>
      <c r="B3454">
        <v>2022</v>
      </c>
      <c r="C3454" t="s">
        <v>19</v>
      </c>
      <c r="D3454">
        <v>155</v>
      </c>
      <c r="E3454" t="s">
        <v>20</v>
      </c>
      <c r="F3454" t="s">
        <v>21</v>
      </c>
      <c r="G3454" t="s">
        <v>147</v>
      </c>
      <c r="H3454">
        <v>1.207133472294913</v>
      </c>
      <c r="I3454">
        <v>3</v>
      </c>
      <c r="J3454" t="s">
        <v>23</v>
      </c>
      <c r="K3454" s="59" t="s">
        <v>23</v>
      </c>
    </row>
    <row r="3455" spans="1:11" x14ac:dyDescent="0.2">
      <c r="A3455" t="s">
        <v>3494</v>
      </c>
      <c r="B3455">
        <v>2021</v>
      </c>
      <c r="C3455" t="s">
        <v>19</v>
      </c>
      <c r="D3455">
        <v>399</v>
      </c>
      <c r="E3455" t="s">
        <v>38</v>
      </c>
      <c r="F3455" t="s">
        <v>39</v>
      </c>
      <c r="G3455" t="s">
        <v>15</v>
      </c>
      <c r="H3455">
        <v>0.20729434749458239</v>
      </c>
      <c r="I3455">
        <v>3</v>
      </c>
      <c r="J3455" t="s">
        <v>23</v>
      </c>
      <c r="K3455" s="59" t="s">
        <v>23</v>
      </c>
    </row>
    <row r="3456" spans="1:11" x14ac:dyDescent="0.2">
      <c r="A3456" t="s">
        <v>3495</v>
      </c>
      <c r="B3456">
        <v>2021</v>
      </c>
      <c r="C3456" t="s">
        <v>12</v>
      </c>
      <c r="D3456">
        <v>304</v>
      </c>
      <c r="E3456" t="s">
        <v>29</v>
      </c>
      <c r="F3456" t="s">
        <v>30</v>
      </c>
      <c r="G3456" t="s">
        <v>15</v>
      </c>
      <c r="H3456">
        <v>0.51773299692770136</v>
      </c>
      <c r="I3456">
        <v>4</v>
      </c>
      <c r="J3456" t="s">
        <v>23</v>
      </c>
      <c r="K3456" s="59" t="s">
        <v>17</v>
      </c>
    </row>
    <row r="3457" spans="1:11" x14ac:dyDescent="0.2">
      <c r="A3457" t="s">
        <v>3496</v>
      </c>
      <c r="B3457">
        <v>2021</v>
      </c>
      <c r="C3457" t="s">
        <v>12</v>
      </c>
      <c r="D3457">
        <v>93</v>
      </c>
      <c r="E3457" t="s">
        <v>38</v>
      </c>
      <c r="F3457" t="s">
        <v>39</v>
      </c>
      <c r="G3457" t="s">
        <v>15</v>
      </c>
      <c r="H3457">
        <v>-0.83775489425324057</v>
      </c>
      <c r="I3457">
        <v>3</v>
      </c>
      <c r="J3457" t="s">
        <v>23</v>
      </c>
      <c r="K3457" s="59" t="s">
        <v>17</v>
      </c>
    </row>
    <row r="3458" spans="1:11" x14ac:dyDescent="0.2">
      <c r="A3458" t="s">
        <v>3497</v>
      </c>
      <c r="B3458">
        <v>2024</v>
      </c>
      <c r="C3458" t="s">
        <v>19</v>
      </c>
      <c r="D3458">
        <v>75</v>
      </c>
      <c r="E3458" t="s">
        <v>38</v>
      </c>
      <c r="F3458" t="s">
        <v>39</v>
      </c>
      <c r="G3458" t="s">
        <v>15</v>
      </c>
      <c r="H3458">
        <v>-4.7064725854621493E-2</v>
      </c>
      <c r="I3458">
        <v>3</v>
      </c>
      <c r="J3458" t="s">
        <v>23</v>
      </c>
      <c r="K3458" s="59" t="s">
        <v>17</v>
      </c>
    </row>
    <row r="3459" spans="1:11" x14ac:dyDescent="0.2">
      <c r="A3459" t="s">
        <v>3498</v>
      </c>
      <c r="B3459">
        <v>2021</v>
      </c>
      <c r="C3459" t="s">
        <v>33</v>
      </c>
      <c r="D3459">
        <v>382</v>
      </c>
      <c r="E3459" t="s">
        <v>29</v>
      </c>
      <c r="F3459" t="s">
        <v>30</v>
      </c>
      <c r="G3459" t="s">
        <v>15</v>
      </c>
      <c r="H3459">
        <v>-0.1911280323988247</v>
      </c>
      <c r="I3459">
        <v>4</v>
      </c>
      <c r="J3459" t="s">
        <v>17</v>
      </c>
      <c r="K3459" s="59" t="s">
        <v>16</v>
      </c>
    </row>
    <row r="3460" spans="1:11" x14ac:dyDescent="0.2">
      <c r="A3460" t="s">
        <v>3499</v>
      </c>
      <c r="B3460">
        <v>2021</v>
      </c>
      <c r="C3460" t="s">
        <v>33</v>
      </c>
      <c r="D3460">
        <v>440</v>
      </c>
      <c r="E3460" t="s">
        <v>38</v>
      </c>
      <c r="F3460" t="s">
        <v>39</v>
      </c>
      <c r="G3460" t="s">
        <v>15</v>
      </c>
      <c r="H3460">
        <v>0.51117068710679503</v>
      </c>
      <c r="I3460">
        <v>3</v>
      </c>
      <c r="J3460" t="s">
        <v>23</v>
      </c>
      <c r="K3460" s="59" t="s">
        <v>4376</v>
      </c>
    </row>
    <row r="3461" spans="1:11" x14ac:dyDescent="0.2">
      <c r="A3461" t="s">
        <v>3500</v>
      </c>
      <c r="B3461">
        <v>2024</v>
      </c>
      <c r="C3461" t="s">
        <v>33</v>
      </c>
      <c r="D3461">
        <v>74</v>
      </c>
      <c r="E3461" t="s">
        <v>38</v>
      </c>
      <c r="F3461" t="s">
        <v>39</v>
      </c>
      <c r="G3461" t="s">
        <v>15</v>
      </c>
      <c r="H3461">
        <v>-6.4013350153939511E-2</v>
      </c>
      <c r="I3461">
        <v>3</v>
      </c>
      <c r="J3461" t="s">
        <v>23</v>
      </c>
      <c r="K3461" s="59" t="s">
        <v>4376</v>
      </c>
    </row>
    <row r="3462" spans="1:11" x14ac:dyDescent="0.2">
      <c r="A3462" t="s">
        <v>3501</v>
      </c>
      <c r="B3462">
        <v>2024</v>
      </c>
      <c r="C3462" t="s">
        <v>19</v>
      </c>
      <c r="D3462">
        <v>75</v>
      </c>
      <c r="E3462" t="s">
        <v>38</v>
      </c>
      <c r="F3462" t="s">
        <v>39</v>
      </c>
      <c r="G3462" t="s">
        <v>15</v>
      </c>
      <c r="H3462">
        <v>-4.7064725854621493E-2</v>
      </c>
      <c r="I3462">
        <v>3</v>
      </c>
      <c r="J3462" t="s">
        <v>23</v>
      </c>
      <c r="K3462" s="59" t="s">
        <v>17</v>
      </c>
    </row>
    <row r="3463" spans="1:11" x14ac:dyDescent="0.2">
      <c r="A3463" t="s">
        <v>3502</v>
      </c>
      <c r="B3463">
        <v>2024</v>
      </c>
      <c r="C3463" t="s">
        <v>19</v>
      </c>
      <c r="D3463">
        <v>74</v>
      </c>
      <c r="E3463" t="s">
        <v>38</v>
      </c>
      <c r="F3463" t="s">
        <v>39</v>
      </c>
      <c r="G3463" t="s">
        <v>15</v>
      </c>
      <c r="H3463">
        <v>-6.4013350153939511E-2</v>
      </c>
      <c r="I3463">
        <v>3</v>
      </c>
      <c r="J3463" t="s">
        <v>23</v>
      </c>
      <c r="K3463" s="59" t="s">
        <v>17</v>
      </c>
    </row>
    <row r="3464" spans="1:11" x14ac:dyDescent="0.2">
      <c r="A3464" t="s">
        <v>3503</v>
      </c>
      <c r="B3464">
        <v>2024</v>
      </c>
      <c r="C3464" t="s">
        <v>33</v>
      </c>
      <c r="D3464">
        <v>74</v>
      </c>
      <c r="E3464" t="s">
        <v>38</v>
      </c>
      <c r="F3464" t="s">
        <v>39</v>
      </c>
      <c r="G3464" t="s">
        <v>15</v>
      </c>
      <c r="H3464">
        <v>-6.4013350153939511E-2</v>
      </c>
      <c r="I3464">
        <v>3</v>
      </c>
      <c r="J3464" t="s">
        <v>23</v>
      </c>
      <c r="K3464" s="59" t="s">
        <v>4376</v>
      </c>
    </row>
    <row r="3465" spans="1:11" x14ac:dyDescent="0.2">
      <c r="A3465" t="s">
        <v>3504</v>
      </c>
      <c r="B3465">
        <v>2022</v>
      </c>
      <c r="C3465" t="s">
        <v>33</v>
      </c>
      <c r="D3465">
        <v>353</v>
      </c>
      <c r="E3465" t="s">
        <v>53</v>
      </c>
      <c r="F3465" t="s">
        <v>54</v>
      </c>
      <c r="G3465" t="s">
        <v>15</v>
      </c>
      <c r="H3465">
        <v>0.46058692577733279</v>
      </c>
      <c r="I3465">
        <v>3</v>
      </c>
      <c r="J3465" t="s">
        <v>16</v>
      </c>
      <c r="K3465" s="59" t="s">
        <v>4376</v>
      </c>
    </row>
    <row r="3466" spans="1:11" x14ac:dyDescent="0.2">
      <c r="A3466" t="s">
        <v>3505</v>
      </c>
      <c r="B3466">
        <v>2024</v>
      </c>
      <c r="C3466" t="s">
        <v>33</v>
      </c>
      <c r="D3466">
        <v>74</v>
      </c>
      <c r="E3466" t="s">
        <v>38</v>
      </c>
      <c r="F3466" t="s">
        <v>39</v>
      </c>
      <c r="G3466" t="s">
        <v>15</v>
      </c>
      <c r="H3466">
        <v>-6.4013350153939511E-2</v>
      </c>
      <c r="I3466">
        <v>3</v>
      </c>
      <c r="J3466" t="s">
        <v>23</v>
      </c>
      <c r="K3466" s="59" t="s">
        <v>4376</v>
      </c>
    </row>
    <row r="3467" spans="1:11" x14ac:dyDescent="0.2">
      <c r="A3467" t="s">
        <v>3506</v>
      </c>
      <c r="B3467">
        <v>2024</v>
      </c>
      <c r="C3467" t="s">
        <v>33</v>
      </c>
      <c r="D3467">
        <v>75</v>
      </c>
      <c r="E3467" t="s">
        <v>38</v>
      </c>
      <c r="F3467" t="s">
        <v>39</v>
      </c>
      <c r="G3467" t="s">
        <v>15</v>
      </c>
      <c r="H3467">
        <v>-0.67416382492938842</v>
      </c>
      <c r="I3467">
        <v>3</v>
      </c>
      <c r="J3467" t="s">
        <v>23</v>
      </c>
      <c r="K3467" s="59" t="s">
        <v>4376</v>
      </c>
    </row>
    <row r="3468" spans="1:11" x14ac:dyDescent="0.2">
      <c r="A3468" t="s">
        <v>3507</v>
      </c>
      <c r="B3468">
        <v>2024</v>
      </c>
      <c r="C3468" t="s">
        <v>33</v>
      </c>
      <c r="D3468">
        <v>75</v>
      </c>
      <c r="E3468" t="s">
        <v>38</v>
      </c>
      <c r="F3468" t="s">
        <v>39</v>
      </c>
      <c r="G3468" t="s">
        <v>15</v>
      </c>
      <c r="H3468">
        <v>-6.4013350153939511E-2</v>
      </c>
      <c r="I3468">
        <v>3</v>
      </c>
      <c r="J3468" t="s">
        <v>23</v>
      </c>
      <c r="K3468" s="59" t="s">
        <v>4376</v>
      </c>
    </row>
    <row r="3469" spans="1:11" x14ac:dyDescent="0.2">
      <c r="A3469" t="s">
        <v>3508</v>
      </c>
      <c r="B3469">
        <v>2024</v>
      </c>
      <c r="C3469" t="s">
        <v>33</v>
      </c>
      <c r="D3469">
        <v>75</v>
      </c>
      <c r="E3469" t="s">
        <v>38</v>
      </c>
      <c r="F3469" t="s">
        <v>39</v>
      </c>
      <c r="G3469" t="s">
        <v>15</v>
      </c>
      <c r="H3469">
        <v>-6.4013350153939511E-2</v>
      </c>
      <c r="I3469">
        <v>3</v>
      </c>
      <c r="J3469" t="s">
        <v>23</v>
      </c>
      <c r="K3469" s="59" t="s">
        <v>4376</v>
      </c>
    </row>
    <row r="3470" spans="1:11" x14ac:dyDescent="0.2">
      <c r="A3470" t="s">
        <v>3509</v>
      </c>
      <c r="B3470">
        <v>2021</v>
      </c>
      <c r="C3470" t="s">
        <v>19</v>
      </c>
      <c r="D3470">
        <v>441</v>
      </c>
      <c r="E3470" t="s">
        <v>38</v>
      </c>
      <c r="F3470" t="s">
        <v>39</v>
      </c>
      <c r="G3470" t="s">
        <v>15</v>
      </c>
      <c r="H3470">
        <v>0.51117068710679503</v>
      </c>
      <c r="I3470">
        <v>3</v>
      </c>
      <c r="J3470" t="s">
        <v>23</v>
      </c>
      <c r="K3470" s="59" t="s">
        <v>23</v>
      </c>
    </row>
    <row r="3471" spans="1:11" x14ac:dyDescent="0.2">
      <c r="A3471" t="s">
        <v>3510</v>
      </c>
      <c r="B3471">
        <v>2024</v>
      </c>
      <c r="C3471" t="s">
        <v>19</v>
      </c>
      <c r="D3471">
        <v>233</v>
      </c>
      <c r="E3471" t="s">
        <v>25</v>
      </c>
      <c r="F3471" t="s">
        <v>26</v>
      </c>
      <c r="G3471" t="s">
        <v>15</v>
      </c>
      <c r="H3471">
        <v>0.56578212096844638</v>
      </c>
      <c r="I3471">
        <v>2</v>
      </c>
      <c r="J3471" t="s">
        <v>23</v>
      </c>
      <c r="K3471" s="59" t="s">
        <v>23</v>
      </c>
    </row>
    <row r="3472" spans="1:11" x14ac:dyDescent="0.2">
      <c r="A3472" t="s">
        <v>3511</v>
      </c>
      <c r="B3472">
        <v>2021</v>
      </c>
      <c r="C3472" t="s">
        <v>33</v>
      </c>
      <c r="D3472">
        <v>319</v>
      </c>
      <c r="E3472" t="s">
        <v>38</v>
      </c>
      <c r="F3472" t="s">
        <v>39</v>
      </c>
      <c r="G3472" t="s">
        <v>15</v>
      </c>
      <c r="H3472">
        <v>0.6155305486394721</v>
      </c>
      <c r="I3472">
        <v>3</v>
      </c>
      <c r="J3472" t="s">
        <v>16</v>
      </c>
      <c r="K3472" s="59" t="s">
        <v>4376</v>
      </c>
    </row>
    <row r="3473" spans="1:11" x14ac:dyDescent="0.2">
      <c r="A3473" t="s">
        <v>3512</v>
      </c>
      <c r="B3473">
        <v>2021</v>
      </c>
      <c r="C3473" t="s">
        <v>19</v>
      </c>
      <c r="D3473">
        <v>399</v>
      </c>
      <c r="E3473" t="s">
        <v>29</v>
      </c>
      <c r="F3473" t="s">
        <v>30</v>
      </c>
      <c r="G3473" t="s">
        <v>15</v>
      </c>
      <c r="H3473">
        <v>0.20729434749458239</v>
      </c>
      <c r="I3473">
        <v>4</v>
      </c>
      <c r="J3473" t="s">
        <v>23</v>
      </c>
      <c r="K3473" s="59" t="s">
        <v>23</v>
      </c>
    </row>
    <row r="3474" spans="1:11" x14ac:dyDescent="0.2">
      <c r="A3474" t="s">
        <v>3513</v>
      </c>
      <c r="B3474">
        <v>2024</v>
      </c>
      <c r="C3474" t="s">
        <v>19</v>
      </c>
      <c r="D3474">
        <v>76</v>
      </c>
      <c r="E3474" t="s">
        <v>38</v>
      </c>
      <c r="F3474" t="s">
        <v>39</v>
      </c>
      <c r="G3474" t="s">
        <v>15</v>
      </c>
      <c r="H3474">
        <v>-3.056211798423274E-2</v>
      </c>
      <c r="I3474">
        <v>3</v>
      </c>
      <c r="J3474" t="s">
        <v>23</v>
      </c>
      <c r="K3474" s="59" t="s">
        <v>16</v>
      </c>
    </row>
    <row r="3475" spans="1:11" x14ac:dyDescent="0.2">
      <c r="A3475" t="s">
        <v>3514</v>
      </c>
      <c r="B3475">
        <v>2024</v>
      </c>
      <c r="C3475" t="s">
        <v>33</v>
      </c>
      <c r="D3475">
        <v>74</v>
      </c>
      <c r="E3475" t="s">
        <v>38</v>
      </c>
      <c r="F3475" t="s">
        <v>39</v>
      </c>
      <c r="G3475" t="s">
        <v>15</v>
      </c>
      <c r="H3475">
        <v>-6.4013350153939511E-2</v>
      </c>
      <c r="I3475">
        <v>3</v>
      </c>
      <c r="J3475" t="s">
        <v>23</v>
      </c>
      <c r="K3475" s="59" t="s">
        <v>4376</v>
      </c>
    </row>
    <row r="3476" spans="1:11" x14ac:dyDescent="0.2">
      <c r="A3476" t="s">
        <v>3515</v>
      </c>
      <c r="B3476">
        <v>2024</v>
      </c>
      <c r="C3476" t="s">
        <v>19</v>
      </c>
      <c r="D3476">
        <v>74</v>
      </c>
      <c r="E3476" t="s">
        <v>38</v>
      </c>
      <c r="F3476" t="s">
        <v>39</v>
      </c>
      <c r="G3476" t="s">
        <v>15</v>
      </c>
      <c r="H3476">
        <v>-6.4013350153939511E-2</v>
      </c>
      <c r="I3476">
        <v>3</v>
      </c>
      <c r="J3476" t="s">
        <v>23</v>
      </c>
      <c r="K3476" s="59" t="s">
        <v>23</v>
      </c>
    </row>
    <row r="3477" spans="1:11" x14ac:dyDescent="0.2">
      <c r="A3477" t="s">
        <v>3516</v>
      </c>
      <c r="B3477">
        <v>2021</v>
      </c>
      <c r="C3477" t="s">
        <v>33</v>
      </c>
      <c r="D3477">
        <v>84</v>
      </c>
      <c r="E3477" t="s">
        <v>25</v>
      </c>
      <c r="F3477" t="s">
        <v>26</v>
      </c>
      <c r="G3477" t="s">
        <v>48</v>
      </c>
      <c r="H3477">
        <v>6.0000973987411929E-2</v>
      </c>
      <c r="I3477">
        <v>2</v>
      </c>
      <c r="J3477" t="s">
        <v>23</v>
      </c>
      <c r="K3477" s="59" t="s">
        <v>4376</v>
      </c>
    </row>
    <row r="3478" spans="1:11" x14ac:dyDescent="0.2">
      <c r="A3478" t="s">
        <v>3517</v>
      </c>
      <c r="B3478">
        <v>2021</v>
      </c>
      <c r="C3478" t="s">
        <v>33</v>
      </c>
      <c r="D3478">
        <v>441</v>
      </c>
      <c r="E3478" t="s">
        <v>38</v>
      </c>
      <c r="F3478" t="s">
        <v>39</v>
      </c>
      <c r="G3478" t="s">
        <v>15</v>
      </c>
      <c r="H3478">
        <v>0.51117068710679503</v>
      </c>
      <c r="I3478">
        <v>3</v>
      </c>
      <c r="J3478" t="s">
        <v>23</v>
      </c>
      <c r="K3478" s="59" t="s">
        <v>4376</v>
      </c>
    </row>
    <row r="3479" spans="1:11" x14ac:dyDescent="0.2">
      <c r="A3479" t="s">
        <v>3518</v>
      </c>
      <c r="B3479">
        <v>2024</v>
      </c>
      <c r="C3479" t="s">
        <v>19</v>
      </c>
      <c r="D3479">
        <v>74</v>
      </c>
      <c r="E3479" t="s">
        <v>38</v>
      </c>
      <c r="F3479" t="s">
        <v>39</v>
      </c>
      <c r="G3479" t="s">
        <v>15</v>
      </c>
      <c r="H3479">
        <v>-6.4013350153939511E-2</v>
      </c>
      <c r="I3479">
        <v>3</v>
      </c>
      <c r="J3479" t="s">
        <v>23</v>
      </c>
      <c r="K3479" s="59" t="s">
        <v>17</v>
      </c>
    </row>
    <row r="3480" spans="1:11" x14ac:dyDescent="0.2">
      <c r="A3480" t="s">
        <v>3519</v>
      </c>
      <c r="B3480">
        <v>2022</v>
      </c>
      <c r="C3480" t="s">
        <v>33</v>
      </c>
      <c r="D3480">
        <v>353</v>
      </c>
      <c r="E3480" t="s">
        <v>53</v>
      </c>
      <c r="F3480" t="s">
        <v>54</v>
      </c>
      <c r="G3480" t="s">
        <v>15</v>
      </c>
      <c r="H3480">
        <v>0.46058692577733279</v>
      </c>
      <c r="I3480">
        <v>3</v>
      </c>
      <c r="J3480" t="s">
        <v>16</v>
      </c>
      <c r="K3480" s="59" t="s">
        <v>4376</v>
      </c>
    </row>
    <row r="3481" spans="1:11" x14ac:dyDescent="0.2">
      <c r="A3481" t="s">
        <v>3520</v>
      </c>
      <c r="B3481">
        <v>2022</v>
      </c>
      <c r="C3481" t="s">
        <v>33</v>
      </c>
      <c r="D3481">
        <v>353</v>
      </c>
      <c r="E3481" t="s">
        <v>53</v>
      </c>
      <c r="F3481" t="s">
        <v>54</v>
      </c>
      <c r="G3481" t="s">
        <v>15</v>
      </c>
      <c r="H3481">
        <v>0.46058692577733279</v>
      </c>
      <c r="I3481">
        <v>3</v>
      </c>
      <c r="J3481" t="s">
        <v>16</v>
      </c>
      <c r="K3481" s="59" t="s">
        <v>4376</v>
      </c>
    </row>
    <row r="3482" spans="1:11" x14ac:dyDescent="0.2">
      <c r="A3482" t="s">
        <v>3521</v>
      </c>
      <c r="B3482">
        <v>2024</v>
      </c>
      <c r="C3482" t="s">
        <v>33</v>
      </c>
      <c r="D3482">
        <v>74</v>
      </c>
      <c r="E3482" t="s">
        <v>38</v>
      </c>
      <c r="F3482" t="s">
        <v>39</v>
      </c>
      <c r="G3482" t="s">
        <v>15</v>
      </c>
      <c r="H3482">
        <v>-6.4013350153939511E-2</v>
      </c>
      <c r="I3482">
        <v>3</v>
      </c>
      <c r="J3482" t="s">
        <v>23</v>
      </c>
      <c r="K3482" s="59" t="s">
        <v>4376</v>
      </c>
    </row>
    <row r="3483" spans="1:11" x14ac:dyDescent="0.2">
      <c r="A3483" t="s">
        <v>3522</v>
      </c>
      <c r="B3483">
        <v>2024</v>
      </c>
      <c r="C3483" t="s">
        <v>19</v>
      </c>
      <c r="D3483">
        <v>75</v>
      </c>
      <c r="E3483" t="s">
        <v>38</v>
      </c>
      <c r="F3483" t="s">
        <v>39</v>
      </c>
      <c r="G3483" t="s">
        <v>15</v>
      </c>
      <c r="H3483">
        <v>0.5800343732201455</v>
      </c>
      <c r="I3483">
        <v>3</v>
      </c>
      <c r="J3483" t="s">
        <v>23</v>
      </c>
      <c r="K3483" s="59" t="s">
        <v>16</v>
      </c>
    </row>
    <row r="3484" spans="1:11" x14ac:dyDescent="0.2">
      <c r="A3484" t="s">
        <v>3523</v>
      </c>
      <c r="B3484">
        <v>2024</v>
      </c>
      <c r="C3484" t="s">
        <v>33</v>
      </c>
      <c r="D3484">
        <v>261</v>
      </c>
      <c r="E3484" t="s">
        <v>25</v>
      </c>
      <c r="F3484" t="s">
        <v>26</v>
      </c>
      <c r="G3484" t="s">
        <v>15</v>
      </c>
      <c r="H3484">
        <v>-0.1349074012113981</v>
      </c>
      <c r="I3484">
        <v>2</v>
      </c>
      <c r="J3484" t="s">
        <v>17</v>
      </c>
      <c r="K3484" s="59" t="s">
        <v>4376</v>
      </c>
    </row>
    <row r="3485" spans="1:11" x14ac:dyDescent="0.2">
      <c r="A3485" t="s">
        <v>3524</v>
      </c>
      <c r="B3485">
        <v>2024</v>
      </c>
      <c r="C3485" t="s">
        <v>33</v>
      </c>
      <c r="D3485">
        <v>75</v>
      </c>
      <c r="E3485" t="s">
        <v>38</v>
      </c>
      <c r="F3485" t="s">
        <v>39</v>
      </c>
      <c r="G3485" t="s">
        <v>15</v>
      </c>
      <c r="H3485">
        <v>-6.4013350153939511E-2</v>
      </c>
      <c r="I3485">
        <v>3</v>
      </c>
      <c r="J3485" t="s">
        <v>23</v>
      </c>
      <c r="K3485" s="59" t="s">
        <v>4376</v>
      </c>
    </row>
    <row r="3486" spans="1:11" x14ac:dyDescent="0.2">
      <c r="A3486" t="s">
        <v>3525</v>
      </c>
      <c r="B3486">
        <v>2024</v>
      </c>
      <c r="C3486" t="s">
        <v>33</v>
      </c>
      <c r="D3486">
        <v>77</v>
      </c>
      <c r="E3486" t="s">
        <v>38</v>
      </c>
      <c r="F3486" t="s">
        <v>39</v>
      </c>
      <c r="G3486" t="s">
        <v>15</v>
      </c>
      <c r="H3486">
        <v>-3.056211798423274E-2</v>
      </c>
      <c r="I3486">
        <v>3</v>
      </c>
      <c r="J3486" t="s">
        <v>23</v>
      </c>
      <c r="K3486" s="59" t="s">
        <v>4376</v>
      </c>
    </row>
    <row r="3487" spans="1:11" x14ac:dyDescent="0.2">
      <c r="A3487" t="s">
        <v>3526</v>
      </c>
      <c r="B3487">
        <v>2024</v>
      </c>
      <c r="C3487" t="s">
        <v>19</v>
      </c>
      <c r="D3487">
        <v>74</v>
      </c>
      <c r="E3487" t="s">
        <v>38</v>
      </c>
      <c r="F3487" t="s">
        <v>39</v>
      </c>
      <c r="G3487" t="s">
        <v>15</v>
      </c>
      <c r="H3487">
        <v>-6.4013350153939511E-2</v>
      </c>
      <c r="I3487">
        <v>3</v>
      </c>
      <c r="J3487" t="s">
        <v>23</v>
      </c>
      <c r="K3487" s="59" t="s">
        <v>23</v>
      </c>
    </row>
    <row r="3488" spans="1:11" x14ac:dyDescent="0.2">
      <c r="A3488" t="s">
        <v>3527</v>
      </c>
      <c r="B3488">
        <v>2024</v>
      </c>
      <c r="C3488" t="s">
        <v>33</v>
      </c>
      <c r="D3488">
        <v>74</v>
      </c>
      <c r="E3488" t="s">
        <v>38</v>
      </c>
      <c r="F3488" t="s">
        <v>39</v>
      </c>
      <c r="G3488" t="s">
        <v>15</v>
      </c>
      <c r="H3488">
        <v>-6.4013350153939511E-2</v>
      </c>
      <c r="I3488">
        <v>3</v>
      </c>
      <c r="J3488" t="s">
        <v>23</v>
      </c>
      <c r="K3488" s="59" t="s">
        <v>23</v>
      </c>
    </row>
    <row r="3489" spans="1:11" x14ac:dyDescent="0.2">
      <c r="A3489" t="s">
        <v>3528</v>
      </c>
      <c r="B3489">
        <v>2021</v>
      </c>
      <c r="C3489" t="s">
        <v>19</v>
      </c>
      <c r="D3489">
        <v>399</v>
      </c>
      <c r="E3489" t="s">
        <v>29</v>
      </c>
      <c r="F3489" t="s">
        <v>30</v>
      </c>
      <c r="G3489" t="s">
        <v>15</v>
      </c>
      <c r="H3489">
        <v>0.20729434749458239</v>
      </c>
      <c r="I3489">
        <v>4</v>
      </c>
      <c r="J3489" t="s">
        <v>23</v>
      </c>
      <c r="K3489" s="59" t="s">
        <v>17</v>
      </c>
    </row>
    <row r="3490" spans="1:11" x14ac:dyDescent="0.2">
      <c r="A3490" t="s">
        <v>3529</v>
      </c>
      <c r="B3490">
        <v>2024</v>
      </c>
      <c r="C3490" t="s">
        <v>33</v>
      </c>
      <c r="D3490">
        <v>75</v>
      </c>
      <c r="E3490" t="s">
        <v>38</v>
      </c>
      <c r="F3490" t="s">
        <v>39</v>
      </c>
      <c r="G3490" t="s">
        <v>15</v>
      </c>
      <c r="H3490">
        <v>-4.7064725854621493E-2</v>
      </c>
      <c r="I3490">
        <v>3</v>
      </c>
      <c r="J3490" t="s">
        <v>23</v>
      </c>
      <c r="K3490" s="59" t="s">
        <v>4376</v>
      </c>
    </row>
    <row r="3491" spans="1:11" x14ac:dyDescent="0.2">
      <c r="A3491" t="s">
        <v>3530</v>
      </c>
      <c r="B3491">
        <v>2021</v>
      </c>
      <c r="C3491" t="s">
        <v>19</v>
      </c>
      <c r="D3491">
        <v>200</v>
      </c>
      <c r="E3491" t="s">
        <v>25</v>
      </c>
      <c r="F3491" t="s">
        <v>26</v>
      </c>
      <c r="G3491" t="s">
        <v>15</v>
      </c>
      <c r="H3491">
        <v>0.71464726883305363</v>
      </c>
      <c r="I3491">
        <v>2</v>
      </c>
      <c r="J3491" t="s">
        <v>23</v>
      </c>
      <c r="K3491" s="59" t="s">
        <v>17</v>
      </c>
    </row>
    <row r="3492" spans="1:11" x14ac:dyDescent="0.2">
      <c r="A3492" t="s">
        <v>3531</v>
      </c>
      <c r="B3492">
        <v>2021</v>
      </c>
      <c r="C3492" t="s">
        <v>19</v>
      </c>
      <c r="D3492">
        <v>304</v>
      </c>
      <c r="E3492" t="s">
        <v>29</v>
      </c>
      <c r="F3492" t="s">
        <v>30</v>
      </c>
      <c r="G3492" t="s">
        <v>15</v>
      </c>
      <c r="H3492">
        <v>0.51773299692770136</v>
      </c>
      <c r="I3492">
        <v>4</v>
      </c>
      <c r="J3492" t="s">
        <v>23</v>
      </c>
      <c r="K3492" s="59" t="s">
        <v>23</v>
      </c>
    </row>
    <row r="3493" spans="1:11" x14ac:dyDescent="0.2">
      <c r="A3493" t="s">
        <v>3532</v>
      </c>
      <c r="B3493">
        <v>2022</v>
      </c>
      <c r="C3493" t="s">
        <v>33</v>
      </c>
      <c r="D3493">
        <v>353</v>
      </c>
      <c r="E3493" t="s">
        <v>53</v>
      </c>
      <c r="F3493" t="s">
        <v>54</v>
      </c>
      <c r="G3493" t="s">
        <v>15</v>
      </c>
      <c r="H3493">
        <v>0.46058692577733279</v>
      </c>
      <c r="I3493">
        <v>3</v>
      </c>
      <c r="J3493" t="s">
        <v>16</v>
      </c>
      <c r="K3493" s="59" t="s">
        <v>4376</v>
      </c>
    </row>
    <row r="3494" spans="1:11" x14ac:dyDescent="0.2">
      <c r="A3494" t="s">
        <v>3533</v>
      </c>
      <c r="B3494">
        <v>2021</v>
      </c>
      <c r="C3494" t="s">
        <v>19</v>
      </c>
      <c r="D3494">
        <v>399</v>
      </c>
      <c r="E3494" t="s">
        <v>29</v>
      </c>
      <c r="F3494" t="s">
        <v>30</v>
      </c>
      <c r="G3494" t="s">
        <v>15</v>
      </c>
      <c r="H3494">
        <v>0.20729434749458239</v>
      </c>
      <c r="I3494">
        <v>4</v>
      </c>
      <c r="J3494" t="s">
        <v>23</v>
      </c>
      <c r="K3494" s="59" t="s">
        <v>16</v>
      </c>
    </row>
    <row r="3495" spans="1:11" x14ac:dyDescent="0.2">
      <c r="A3495" t="s">
        <v>3534</v>
      </c>
      <c r="B3495">
        <v>2021</v>
      </c>
      <c r="C3495" t="s">
        <v>33</v>
      </c>
      <c r="D3495">
        <v>19</v>
      </c>
      <c r="E3495" t="s">
        <v>38</v>
      </c>
      <c r="F3495" t="s">
        <v>39</v>
      </c>
      <c r="G3495" t="s">
        <v>15</v>
      </c>
      <c r="H3495">
        <v>-3.743648888821669</v>
      </c>
      <c r="I3495">
        <v>3</v>
      </c>
      <c r="J3495" t="s">
        <v>23</v>
      </c>
      <c r="K3495" s="59" t="s">
        <v>4376</v>
      </c>
    </row>
    <row r="3496" spans="1:11" x14ac:dyDescent="0.2">
      <c r="A3496" t="s">
        <v>3535</v>
      </c>
      <c r="B3496">
        <v>2024</v>
      </c>
      <c r="C3496" t="s">
        <v>33</v>
      </c>
      <c r="D3496">
        <v>76</v>
      </c>
      <c r="E3496" t="s">
        <v>38</v>
      </c>
      <c r="F3496" t="s">
        <v>39</v>
      </c>
      <c r="G3496" t="s">
        <v>15</v>
      </c>
      <c r="H3496">
        <v>-3.056211798423274E-2</v>
      </c>
      <c r="I3496">
        <v>3</v>
      </c>
      <c r="J3496" t="s">
        <v>23</v>
      </c>
      <c r="K3496" s="59" t="s">
        <v>4376</v>
      </c>
    </row>
    <row r="3497" spans="1:11" x14ac:dyDescent="0.2">
      <c r="A3497" t="s">
        <v>3536</v>
      </c>
      <c r="B3497">
        <v>2021</v>
      </c>
      <c r="C3497" t="s">
        <v>12</v>
      </c>
      <c r="D3497">
        <v>382</v>
      </c>
      <c r="E3497" t="s">
        <v>29</v>
      </c>
      <c r="F3497" t="s">
        <v>30</v>
      </c>
      <c r="G3497" t="s">
        <v>15</v>
      </c>
      <c r="H3497">
        <v>-0.1911280323988247</v>
      </c>
      <c r="I3497">
        <v>4</v>
      </c>
      <c r="J3497" t="s">
        <v>17</v>
      </c>
      <c r="K3497" s="59" t="s">
        <v>16</v>
      </c>
    </row>
    <row r="3498" spans="1:11" x14ac:dyDescent="0.2">
      <c r="A3498" t="s">
        <v>3537</v>
      </c>
      <c r="B3498">
        <v>2024</v>
      </c>
      <c r="C3498" t="s">
        <v>33</v>
      </c>
      <c r="D3498">
        <v>75</v>
      </c>
      <c r="E3498" t="s">
        <v>38</v>
      </c>
      <c r="F3498" t="s">
        <v>39</v>
      </c>
      <c r="G3498" t="s">
        <v>15</v>
      </c>
      <c r="H3498">
        <v>-6.4013350153939511E-2</v>
      </c>
      <c r="I3498">
        <v>3</v>
      </c>
      <c r="J3498" t="s">
        <v>23</v>
      </c>
      <c r="K3498" s="59" t="s">
        <v>16</v>
      </c>
    </row>
    <row r="3499" spans="1:11" x14ac:dyDescent="0.2">
      <c r="A3499" t="s">
        <v>3538</v>
      </c>
      <c r="B3499">
        <v>2024</v>
      </c>
      <c r="C3499" t="s">
        <v>33</v>
      </c>
      <c r="D3499">
        <v>126</v>
      </c>
      <c r="E3499" t="s">
        <v>38</v>
      </c>
      <c r="F3499" t="s">
        <v>39</v>
      </c>
      <c r="G3499" t="s">
        <v>15</v>
      </c>
      <c r="H3499">
        <v>0.80855353644230632</v>
      </c>
      <c r="I3499">
        <v>3</v>
      </c>
      <c r="J3499" t="s">
        <v>17</v>
      </c>
      <c r="K3499" s="59" t="s">
        <v>17</v>
      </c>
    </row>
    <row r="3500" spans="1:11" x14ac:dyDescent="0.2">
      <c r="A3500" t="s">
        <v>3539</v>
      </c>
      <c r="B3500">
        <v>2024</v>
      </c>
      <c r="C3500" t="s">
        <v>33</v>
      </c>
      <c r="D3500">
        <v>127</v>
      </c>
      <c r="E3500" t="s">
        <v>38</v>
      </c>
      <c r="F3500" t="s">
        <v>39</v>
      </c>
      <c r="G3500" t="s">
        <v>15</v>
      </c>
      <c r="H3500">
        <v>0.80855353644230632</v>
      </c>
      <c r="I3500">
        <v>3</v>
      </c>
      <c r="J3500" t="s">
        <v>17</v>
      </c>
      <c r="K3500" s="59" t="s">
        <v>4376</v>
      </c>
    </row>
    <row r="3501" spans="1:11" x14ac:dyDescent="0.2">
      <c r="A3501" t="s">
        <v>3540</v>
      </c>
      <c r="B3501">
        <v>2024</v>
      </c>
      <c r="C3501" t="s">
        <v>33</v>
      </c>
      <c r="D3501">
        <v>124</v>
      </c>
      <c r="E3501" t="s">
        <v>38</v>
      </c>
      <c r="F3501" t="s">
        <v>39</v>
      </c>
      <c r="G3501" t="s">
        <v>15</v>
      </c>
      <c r="H3501">
        <v>0.80168146858277878</v>
      </c>
      <c r="I3501">
        <v>3</v>
      </c>
      <c r="J3501" t="s">
        <v>17</v>
      </c>
      <c r="K3501" s="59" t="s">
        <v>4376</v>
      </c>
    </row>
    <row r="3502" spans="1:11" x14ac:dyDescent="0.2">
      <c r="A3502" t="s">
        <v>3541</v>
      </c>
      <c r="B3502">
        <v>2022</v>
      </c>
      <c r="C3502" t="s">
        <v>33</v>
      </c>
      <c r="D3502">
        <v>80</v>
      </c>
      <c r="E3502" t="s">
        <v>25</v>
      </c>
      <c r="F3502" t="s">
        <v>26</v>
      </c>
      <c r="G3502" t="s">
        <v>34</v>
      </c>
      <c r="H3502">
        <v>1.6438980380798041E-2</v>
      </c>
      <c r="I3502">
        <v>2</v>
      </c>
      <c r="J3502" t="s">
        <v>17</v>
      </c>
      <c r="K3502" s="59" t="s">
        <v>4376</v>
      </c>
    </row>
    <row r="3503" spans="1:11" x14ac:dyDescent="0.2">
      <c r="A3503" t="s">
        <v>3542</v>
      </c>
      <c r="B3503">
        <v>2024</v>
      </c>
      <c r="C3503" t="s">
        <v>12</v>
      </c>
      <c r="D3503">
        <v>126</v>
      </c>
      <c r="E3503" t="s">
        <v>38</v>
      </c>
      <c r="F3503" t="s">
        <v>39</v>
      </c>
      <c r="G3503" t="s">
        <v>15</v>
      </c>
      <c r="H3503">
        <v>0.80855353644230632</v>
      </c>
      <c r="I3503">
        <v>3</v>
      </c>
      <c r="J3503" t="s">
        <v>17</v>
      </c>
      <c r="K3503" s="59" t="s">
        <v>17</v>
      </c>
    </row>
    <row r="3504" spans="1:11" x14ac:dyDescent="0.2">
      <c r="A3504" t="s">
        <v>3543</v>
      </c>
      <c r="B3504">
        <v>2021</v>
      </c>
      <c r="C3504" t="s">
        <v>33</v>
      </c>
      <c r="D3504">
        <v>440</v>
      </c>
      <c r="E3504" t="s">
        <v>38</v>
      </c>
      <c r="F3504" t="s">
        <v>39</v>
      </c>
      <c r="G3504" t="s">
        <v>15</v>
      </c>
      <c r="H3504">
        <v>0.51117068710679503</v>
      </c>
      <c r="I3504">
        <v>3</v>
      </c>
      <c r="J3504" t="s">
        <v>23</v>
      </c>
      <c r="K3504" s="59" t="s">
        <v>4376</v>
      </c>
    </row>
    <row r="3505" spans="1:11" x14ac:dyDescent="0.2">
      <c r="A3505" t="s">
        <v>3544</v>
      </c>
      <c r="B3505">
        <v>2019</v>
      </c>
      <c r="C3505" t="s">
        <v>33</v>
      </c>
      <c r="D3505">
        <v>156</v>
      </c>
      <c r="E3505" t="s">
        <v>20</v>
      </c>
      <c r="F3505" t="s">
        <v>21</v>
      </c>
      <c r="G3505" t="s">
        <v>15</v>
      </c>
      <c r="H3505">
        <v>0.89770957472512625</v>
      </c>
      <c r="I3505">
        <v>3</v>
      </c>
      <c r="J3505" t="s">
        <v>23</v>
      </c>
      <c r="K3505" s="59" t="s">
        <v>16</v>
      </c>
    </row>
    <row r="3506" spans="1:11" x14ac:dyDescent="0.2">
      <c r="A3506" t="s">
        <v>3545</v>
      </c>
      <c r="B3506">
        <v>2024</v>
      </c>
      <c r="C3506" t="s">
        <v>33</v>
      </c>
      <c r="D3506">
        <v>125</v>
      </c>
      <c r="E3506" t="s">
        <v>38</v>
      </c>
      <c r="F3506" t="s">
        <v>39</v>
      </c>
      <c r="G3506" t="s">
        <v>15</v>
      </c>
      <c r="H3506">
        <v>0.80514687032390808</v>
      </c>
      <c r="I3506">
        <v>3</v>
      </c>
      <c r="J3506" t="s">
        <v>17</v>
      </c>
      <c r="K3506" s="59" t="s">
        <v>4376</v>
      </c>
    </row>
    <row r="3507" spans="1:11" x14ac:dyDescent="0.2">
      <c r="A3507" t="s">
        <v>3546</v>
      </c>
      <c r="B3507">
        <v>2022</v>
      </c>
      <c r="C3507" t="s">
        <v>33</v>
      </c>
      <c r="D3507">
        <v>353</v>
      </c>
      <c r="E3507" t="s">
        <v>53</v>
      </c>
      <c r="F3507" t="s">
        <v>54</v>
      </c>
      <c r="G3507" t="s">
        <v>15</v>
      </c>
      <c r="H3507">
        <v>0.46058692577733279</v>
      </c>
      <c r="I3507">
        <v>3</v>
      </c>
      <c r="J3507" t="s">
        <v>16</v>
      </c>
      <c r="K3507" s="59" t="s">
        <v>4376</v>
      </c>
    </row>
    <row r="3508" spans="1:11" x14ac:dyDescent="0.2">
      <c r="A3508" t="s">
        <v>3547</v>
      </c>
      <c r="B3508">
        <v>2021</v>
      </c>
      <c r="C3508" t="s">
        <v>33</v>
      </c>
      <c r="D3508">
        <v>45</v>
      </c>
      <c r="E3508" t="s">
        <v>20</v>
      </c>
      <c r="F3508" t="s">
        <v>21</v>
      </c>
      <c r="G3508" t="s">
        <v>15</v>
      </c>
      <c r="H3508">
        <v>-0.8831968579543108</v>
      </c>
      <c r="I3508">
        <v>3</v>
      </c>
      <c r="J3508" t="s">
        <v>23</v>
      </c>
      <c r="K3508" s="59" t="s">
        <v>23</v>
      </c>
    </row>
    <row r="3509" spans="1:11" x14ac:dyDescent="0.2">
      <c r="A3509" t="s">
        <v>3548</v>
      </c>
      <c r="B3509">
        <v>2021</v>
      </c>
      <c r="C3509" t="s">
        <v>33</v>
      </c>
      <c r="D3509">
        <v>442</v>
      </c>
      <c r="E3509" t="s">
        <v>38</v>
      </c>
      <c r="F3509" t="s">
        <v>39</v>
      </c>
      <c r="G3509" t="s">
        <v>15</v>
      </c>
      <c r="H3509">
        <v>0.55086697326317979</v>
      </c>
      <c r="I3509">
        <v>3</v>
      </c>
      <c r="J3509" t="s">
        <v>23</v>
      </c>
      <c r="K3509" s="59" t="s">
        <v>16</v>
      </c>
    </row>
    <row r="3510" spans="1:11" x14ac:dyDescent="0.2">
      <c r="A3510" t="s">
        <v>3549</v>
      </c>
      <c r="B3510">
        <v>2024</v>
      </c>
      <c r="C3510" t="s">
        <v>33</v>
      </c>
      <c r="D3510">
        <v>125</v>
      </c>
      <c r="E3510" t="s">
        <v>38</v>
      </c>
      <c r="F3510" t="s">
        <v>39</v>
      </c>
      <c r="G3510" t="s">
        <v>15</v>
      </c>
      <c r="H3510">
        <v>0.80514687032390808</v>
      </c>
      <c r="I3510">
        <v>3</v>
      </c>
      <c r="J3510" t="s">
        <v>17</v>
      </c>
      <c r="K3510" s="59" t="s">
        <v>4376</v>
      </c>
    </row>
    <row r="3511" spans="1:11" x14ac:dyDescent="0.2">
      <c r="A3511" t="s">
        <v>3550</v>
      </c>
      <c r="B3511">
        <v>2022</v>
      </c>
      <c r="C3511" t="s">
        <v>33</v>
      </c>
      <c r="D3511">
        <v>353</v>
      </c>
      <c r="E3511" t="s">
        <v>53</v>
      </c>
      <c r="F3511" t="s">
        <v>54</v>
      </c>
      <c r="G3511" t="s">
        <v>15</v>
      </c>
      <c r="H3511">
        <v>0.46058692577733279</v>
      </c>
      <c r="I3511">
        <v>3</v>
      </c>
      <c r="J3511" t="s">
        <v>16</v>
      </c>
      <c r="K3511" s="59" t="s">
        <v>4376</v>
      </c>
    </row>
    <row r="3512" spans="1:11" x14ac:dyDescent="0.2">
      <c r="A3512" t="s">
        <v>3551</v>
      </c>
      <c r="B3512">
        <v>2021</v>
      </c>
      <c r="C3512" t="s">
        <v>19</v>
      </c>
      <c r="D3512">
        <v>399</v>
      </c>
      <c r="E3512" t="s">
        <v>29</v>
      </c>
      <c r="F3512" t="s">
        <v>30</v>
      </c>
      <c r="G3512" t="s">
        <v>15</v>
      </c>
      <c r="H3512">
        <v>0.20729434749458239</v>
      </c>
      <c r="I3512">
        <v>4</v>
      </c>
      <c r="J3512" t="s">
        <v>23</v>
      </c>
      <c r="K3512" s="59" t="s">
        <v>23</v>
      </c>
    </row>
    <row r="3513" spans="1:11" x14ac:dyDescent="0.2">
      <c r="A3513" t="s">
        <v>3552</v>
      </c>
      <c r="B3513">
        <v>2024</v>
      </c>
      <c r="C3513" t="s">
        <v>33</v>
      </c>
      <c r="D3513">
        <v>124</v>
      </c>
      <c r="E3513" t="s">
        <v>38</v>
      </c>
      <c r="F3513" t="s">
        <v>39</v>
      </c>
      <c r="G3513" t="s">
        <v>15</v>
      </c>
      <c r="H3513">
        <v>0.80168146858277878</v>
      </c>
      <c r="I3513">
        <v>3</v>
      </c>
      <c r="J3513" t="s">
        <v>17</v>
      </c>
      <c r="K3513" s="59" t="s">
        <v>4376</v>
      </c>
    </row>
    <row r="3514" spans="1:11" x14ac:dyDescent="0.2">
      <c r="A3514" t="s">
        <v>3553</v>
      </c>
      <c r="B3514">
        <v>2024</v>
      </c>
      <c r="C3514" t="s">
        <v>33</v>
      </c>
      <c r="D3514">
        <v>124</v>
      </c>
      <c r="E3514" t="s">
        <v>38</v>
      </c>
      <c r="F3514" t="s">
        <v>39</v>
      </c>
      <c r="G3514" t="s">
        <v>15</v>
      </c>
      <c r="H3514">
        <v>0.80168146858277878</v>
      </c>
      <c r="I3514">
        <v>3</v>
      </c>
      <c r="J3514" t="s">
        <v>17</v>
      </c>
      <c r="K3514" s="59" t="s">
        <v>4376</v>
      </c>
    </row>
    <row r="3515" spans="1:11" x14ac:dyDescent="0.2">
      <c r="A3515" t="s">
        <v>3554</v>
      </c>
      <c r="B3515">
        <v>2019</v>
      </c>
      <c r="C3515" t="s">
        <v>33</v>
      </c>
      <c r="D3515">
        <v>148</v>
      </c>
      <c r="E3515" t="s">
        <v>20</v>
      </c>
      <c r="F3515" t="s">
        <v>21</v>
      </c>
      <c r="G3515" t="s">
        <v>15</v>
      </c>
      <c r="H3515">
        <v>0.55390524409203035</v>
      </c>
      <c r="I3515">
        <v>3</v>
      </c>
      <c r="J3515" t="s">
        <v>23</v>
      </c>
      <c r="K3515" s="59" t="s">
        <v>4376</v>
      </c>
    </row>
    <row r="3516" spans="1:11" x14ac:dyDescent="0.2">
      <c r="A3516" t="s">
        <v>3555</v>
      </c>
      <c r="B3516">
        <v>2024</v>
      </c>
      <c r="C3516" t="s">
        <v>33</v>
      </c>
      <c r="D3516">
        <v>125</v>
      </c>
      <c r="E3516" t="s">
        <v>38</v>
      </c>
      <c r="F3516" t="s">
        <v>39</v>
      </c>
      <c r="G3516" t="s">
        <v>15</v>
      </c>
      <c r="H3516">
        <v>0.80168146858277878</v>
      </c>
      <c r="I3516">
        <v>3</v>
      </c>
      <c r="J3516" t="s">
        <v>17</v>
      </c>
      <c r="K3516" s="59" t="s">
        <v>4376</v>
      </c>
    </row>
    <row r="3517" spans="1:11" x14ac:dyDescent="0.2">
      <c r="A3517" t="s">
        <v>3556</v>
      </c>
      <c r="B3517">
        <v>2024</v>
      </c>
      <c r="C3517" t="s">
        <v>19</v>
      </c>
      <c r="D3517">
        <v>124</v>
      </c>
      <c r="E3517" t="s">
        <v>38</v>
      </c>
      <c r="F3517" t="s">
        <v>39</v>
      </c>
      <c r="G3517" t="s">
        <v>15</v>
      </c>
      <c r="H3517">
        <v>0.80168146858277878</v>
      </c>
      <c r="I3517">
        <v>3</v>
      </c>
      <c r="J3517" t="s">
        <v>17</v>
      </c>
      <c r="K3517" s="59" t="s">
        <v>17</v>
      </c>
    </row>
    <row r="3518" spans="1:11" x14ac:dyDescent="0.2">
      <c r="A3518" t="s">
        <v>3557</v>
      </c>
      <c r="B3518">
        <v>2024</v>
      </c>
      <c r="C3518" t="s">
        <v>33</v>
      </c>
      <c r="D3518">
        <v>126</v>
      </c>
      <c r="E3518" t="s">
        <v>38</v>
      </c>
      <c r="F3518" t="s">
        <v>39</v>
      </c>
      <c r="G3518" t="s">
        <v>15</v>
      </c>
      <c r="H3518">
        <v>1.207133472294913</v>
      </c>
      <c r="I3518">
        <v>3</v>
      </c>
      <c r="J3518" t="s">
        <v>17</v>
      </c>
      <c r="K3518" s="59" t="s">
        <v>23</v>
      </c>
    </row>
    <row r="3519" spans="1:11" x14ac:dyDescent="0.2">
      <c r="A3519" t="s">
        <v>3558</v>
      </c>
      <c r="B3519">
        <v>2024</v>
      </c>
      <c r="C3519" t="s">
        <v>33</v>
      </c>
      <c r="D3519">
        <v>128</v>
      </c>
      <c r="E3519" t="s">
        <v>38</v>
      </c>
      <c r="F3519" t="s">
        <v>39</v>
      </c>
      <c r="G3519" t="s">
        <v>15</v>
      </c>
      <c r="H3519">
        <v>0.81190294766795856</v>
      </c>
      <c r="I3519">
        <v>3</v>
      </c>
      <c r="J3519" t="s">
        <v>17</v>
      </c>
      <c r="K3519" s="59" t="s">
        <v>4376</v>
      </c>
    </row>
    <row r="3520" spans="1:11" x14ac:dyDescent="0.2">
      <c r="A3520" t="s">
        <v>3559</v>
      </c>
      <c r="B3520">
        <v>2024</v>
      </c>
      <c r="C3520" t="s">
        <v>12</v>
      </c>
      <c r="D3520">
        <v>124</v>
      </c>
      <c r="E3520" t="s">
        <v>38</v>
      </c>
      <c r="F3520" t="s">
        <v>39</v>
      </c>
      <c r="G3520" t="s">
        <v>15</v>
      </c>
      <c r="H3520">
        <v>0.80168146858277878</v>
      </c>
      <c r="I3520">
        <v>3</v>
      </c>
      <c r="J3520" t="s">
        <v>17</v>
      </c>
      <c r="K3520" s="59" t="s">
        <v>17</v>
      </c>
    </row>
    <row r="3521" spans="1:11" x14ac:dyDescent="0.2">
      <c r="A3521" t="s">
        <v>3560</v>
      </c>
      <c r="B3521">
        <v>2024</v>
      </c>
      <c r="C3521" t="s">
        <v>33</v>
      </c>
      <c r="D3521">
        <v>126</v>
      </c>
      <c r="E3521" t="s">
        <v>38</v>
      </c>
      <c r="F3521" t="s">
        <v>39</v>
      </c>
      <c r="G3521" t="s">
        <v>15</v>
      </c>
      <c r="H3521">
        <v>0.80514687032390808</v>
      </c>
      <c r="I3521">
        <v>3</v>
      </c>
      <c r="J3521" t="s">
        <v>17</v>
      </c>
      <c r="K3521" s="59" t="s">
        <v>17</v>
      </c>
    </row>
    <row r="3522" spans="1:11" x14ac:dyDescent="0.2">
      <c r="A3522" t="s">
        <v>3561</v>
      </c>
      <c r="B3522">
        <v>2024</v>
      </c>
      <c r="C3522" t="s">
        <v>33</v>
      </c>
      <c r="D3522">
        <v>124</v>
      </c>
      <c r="E3522" t="s">
        <v>38</v>
      </c>
      <c r="F3522" t="s">
        <v>39</v>
      </c>
      <c r="G3522" t="s">
        <v>15</v>
      </c>
      <c r="H3522">
        <v>0.80168146858277878</v>
      </c>
      <c r="I3522">
        <v>3</v>
      </c>
      <c r="J3522" t="s">
        <v>17</v>
      </c>
      <c r="K3522" s="59" t="s">
        <v>4376</v>
      </c>
    </row>
    <row r="3523" spans="1:11" x14ac:dyDescent="0.2">
      <c r="A3523" t="s">
        <v>3562</v>
      </c>
      <c r="B3523">
        <v>2021</v>
      </c>
      <c r="C3523" t="s">
        <v>19</v>
      </c>
      <c r="D3523">
        <v>304</v>
      </c>
      <c r="E3523" t="s">
        <v>29</v>
      </c>
      <c r="F3523" t="s">
        <v>30</v>
      </c>
      <c r="G3523" t="s">
        <v>15</v>
      </c>
      <c r="H3523">
        <v>0.51773299692770136</v>
      </c>
      <c r="I3523">
        <v>4</v>
      </c>
      <c r="J3523" t="s">
        <v>23</v>
      </c>
      <c r="K3523" s="59" t="s">
        <v>17</v>
      </c>
    </row>
    <row r="3524" spans="1:11" x14ac:dyDescent="0.2">
      <c r="A3524" t="s">
        <v>3563</v>
      </c>
      <c r="B3524">
        <v>2021</v>
      </c>
      <c r="C3524" t="s">
        <v>19</v>
      </c>
      <c r="D3524">
        <v>399</v>
      </c>
      <c r="E3524" t="s">
        <v>29</v>
      </c>
      <c r="F3524" t="s">
        <v>30</v>
      </c>
      <c r="G3524" t="s">
        <v>15</v>
      </c>
      <c r="H3524">
        <v>0.20729434749458239</v>
      </c>
      <c r="I3524">
        <v>4</v>
      </c>
      <c r="J3524" t="s">
        <v>23</v>
      </c>
      <c r="K3524" s="59" t="s">
        <v>23</v>
      </c>
    </row>
    <row r="3525" spans="1:11" x14ac:dyDescent="0.2">
      <c r="A3525" t="s">
        <v>3564</v>
      </c>
      <c r="B3525">
        <v>2022</v>
      </c>
      <c r="C3525" t="s">
        <v>33</v>
      </c>
      <c r="D3525">
        <v>353</v>
      </c>
      <c r="E3525" t="s">
        <v>53</v>
      </c>
      <c r="F3525" t="s">
        <v>54</v>
      </c>
      <c r="G3525" t="s">
        <v>15</v>
      </c>
      <c r="H3525">
        <v>0.46058692577733279</v>
      </c>
      <c r="I3525">
        <v>3</v>
      </c>
      <c r="J3525" t="s">
        <v>16</v>
      </c>
      <c r="K3525" s="59" t="s">
        <v>4376</v>
      </c>
    </row>
    <row r="3526" spans="1:11" x14ac:dyDescent="0.2">
      <c r="A3526" t="s">
        <v>3565</v>
      </c>
      <c r="B3526">
        <v>2024</v>
      </c>
      <c r="C3526" t="s">
        <v>33</v>
      </c>
      <c r="D3526">
        <v>112</v>
      </c>
      <c r="E3526" t="s">
        <v>38</v>
      </c>
      <c r="F3526" t="s">
        <v>39</v>
      </c>
      <c r="G3526" t="s">
        <v>15</v>
      </c>
      <c r="H3526">
        <v>1.207133472294913</v>
      </c>
      <c r="I3526">
        <v>3</v>
      </c>
      <c r="J3526" t="s">
        <v>17</v>
      </c>
      <c r="K3526" s="59" t="s">
        <v>4376</v>
      </c>
    </row>
    <row r="3527" spans="1:11" x14ac:dyDescent="0.2">
      <c r="A3527" t="s">
        <v>3566</v>
      </c>
      <c r="B3527">
        <v>2022</v>
      </c>
      <c r="C3527" t="s">
        <v>33</v>
      </c>
      <c r="D3527">
        <v>353</v>
      </c>
      <c r="E3527" t="s">
        <v>53</v>
      </c>
      <c r="F3527" t="s">
        <v>54</v>
      </c>
      <c r="G3527" t="s">
        <v>15</v>
      </c>
      <c r="H3527">
        <v>0.46058692577733279</v>
      </c>
      <c r="I3527">
        <v>3</v>
      </c>
      <c r="J3527" t="s">
        <v>16</v>
      </c>
      <c r="K3527" s="59" t="s">
        <v>4376</v>
      </c>
    </row>
    <row r="3528" spans="1:11" x14ac:dyDescent="0.2">
      <c r="A3528" t="s">
        <v>3567</v>
      </c>
      <c r="B3528">
        <v>2024</v>
      </c>
      <c r="C3528" t="s">
        <v>19</v>
      </c>
      <c r="D3528">
        <v>112</v>
      </c>
      <c r="E3528" t="s">
        <v>38</v>
      </c>
      <c r="F3528" t="s">
        <v>39</v>
      </c>
      <c r="G3528" t="s">
        <v>15</v>
      </c>
      <c r="H3528">
        <v>1.207133472294913</v>
      </c>
      <c r="I3528">
        <v>3</v>
      </c>
      <c r="J3528" t="s">
        <v>23</v>
      </c>
      <c r="K3528" s="59" t="s">
        <v>23</v>
      </c>
    </row>
    <row r="3529" spans="1:11" x14ac:dyDescent="0.2">
      <c r="A3529" t="s">
        <v>3568</v>
      </c>
      <c r="B3529">
        <v>2024</v>
      </c>
      <c r="C3529" t="s">
        <v>12</v>
      </c>
      <c r="D3529">
        <v>124</v>
      </c>
      <c r="E3529" t="s">
        <v>38</v>
      </c>
      <c r="F3529" t="s">
        <v>39</v>
      </c>
      <c r="G3529" t="s">
        <v>15</v>
      </c>
      <c r="H3529">
        <v>0.80168146858277878</v>
      </c>
      <c r="I3529">
        <v>3</v>
      </c>
      <c r="J3529" t="s">
        <v>23</v>
      </c>
      <c r="K3529" s="59" t="s">
        <v>4376</v>
      </c>
    </row>
    <row r="3530" spans="1:11" x14ac:dyDescent="0.2">
      <c r="A3530" t="s">
        <v>3569</v>
      </c>
      <c r="B3530">
        <v>2024</v>
      </c>
      <c r="C3530" t="s">
        <v>33</v>
      </c>
      <c r="D3530">
        <v>113</v>
      </c>
      <c r="E3530" t="s">
        <v>38</v>
      </c>
      <c r="F3530" t="s">
        <v>39</v>
      </c>
      <c r="G3530" t="s">
        <v>15</v>
      </c>
      <c r="H3530">
        <v>1.207133472294913</v>
      </c>
      <c r="I3530">
        <v>3</v>
      </c>
      <c r="J3530" t="s">
        <v>17</v>
      </c>
      <c r="K3530" s="59" t="s">
        <v>4376</v>
      </c>
    </row>
    <row r="3531" spans="1:11" x14ac:dyDescent="0.2">
      <c r="A3531" t="s">
        <v>3570</v>
      </c>
      <c r="B3531">
        <v>2024</v>
      </c>
      <c r="C3531" t="s">
        <v>33</v>
      </c>
      <c r="D3531">
        <v>111</v>
      </c>
      <c r="E3531" t="s">
        <v>38</v>
      </c>
      <c r="F3531" t="s">
        <v>39</v>
      </c>
      <c r="G3531" t="s">
        <v>15</v>
      </c>
      <c r="H3531">
        <v>1.207133472294913</v>
      </c>
      <c r="I3531">
        <v>3</v>
      </c>
      <c r="J3531" t="s">
        <v>17</v>
      </c>
      <c r="K3531" s="59" t="s">
        <v>4376</v>
      </c>
    </row>
    <row r="3532" spans="1:11" x14ac:dyDescent="0.2">
      <c r="A3532" t="s">
        <v>3571</v>
      </c>
      <c r="B3532">
        <v>2024</v>
      </c>
      <c r="C3532" t="s">
        <v>12</v>
      </c>
      <c r="D3532">
        <v>124</v>
      </c>
      <c r="E3532" t="s">
        <v>38</v>
      </c>
      <c r="F3532" t="s">
        <v>39</v>
      </c>
      <c r="G3532" t="s">
        <v>15</v>
      </c>
      <c r="H3532">
        <v>0.80168146858277878</v>
      </c>
      <c r="I3532">
        <v>3</v>
      </c>
      <c r="J3532" t="s">
        <v>23</v>
      </c>
      <c r="K3532" s="59" t="s">
        <v>4376</v>
      </c>
    </row>
    <row r="3533" spans="1:11" x14ac:dyDescent="0.2">
      <c r="A3533" t="s">
        <v>3572</v>
      </c>
      <c r="B3533">
        <v>2022</v>
      </c>
      <c r="C3533" t="s">
        <v>33</v>
      </c>
      <c r="D3533">
        <v>353</v>
      </c>
      <c r="E3533" t="s">
        <v>53</v>
      </c>
      <c r="F3533" t="s">
        <v>54</v>
      </c>
      <c r="G3533" t="s">
        <v>15</v>
      </c>
      <c r="H3533">
        <v>0.46058692577733279</v>
      </c>
      <c r="I3533">
        <v>3</v>
      </c>
      <c r="J3533" t="s">
        <v>16</v>
      </c>
      <c r="K3533" s="59" t="s">
        <v>4376</v>
      </c>
    </row>
    <row r="3534" spans="1:11" x14ac:dyDescent="0.2">
      <c r="A3534" t="s">
        <v>3573</v>
      </c>
      <c r="B3534">
        <v>2022</v>
      </c>
      <c r="C3534" t="s">
        <v>33</v>
      </c>
      <c r="D3534">
        <v>38</v>
      </c>
      <c r="E3534" t="s">
        <v>20</v>
      </c>
      <c r="F3534" t="s">
        <v>21</v>
      </c>
      <c r="G3534" t="s">
        <v>36</v>
      </c>
      <c r="H3534">
        <v>-4.3260938724824429</v>
      </c>
      <c r="I3534">
        <v>3</v>
      </c>
      <c r="J3534" t="s">
        <v>23</v>
      </c>
      <c r="K3534" s="59" t="s">
        <v>17</v>
      </c>
    </row>
    <row r="3535" spans="1:11" x14ac:dyDescent="0.2">
      <c r="A3535" t="s">
        <v>3574</v>
      </c>
      <c r="B3535">
        <v>2021</v>
      </c>
      <c r="C3535" t="s">
        <v>19</v>
      </c>
      <c r="D3535">
        <v>399</v>
      </c>
      <c r="E3535" t="s">
        <v>29</v>
      </c>
      <c r="F3535" t="s">
        <v>30</v>
      </c>
      <c r="G3535" t="s">
        <v>15</v>
      </c>
      <c r="H3535">
        <v>0.20729434749458239</v>
      </c>
      <c r="I3535">
        <v>4</v>
      </c>
      <c r="J3535" t="s">
        <v>23</v>
      </c>
      <c r="K3535" s="59" t="s">
        <v>23</v>
      </c>
    </row>
    <row r="3536" spans="1:11" x14ac:dyDescent="0.2">
      <c r="A3536" t="s">
        <v>3575</v>
      </c>
      <c r="B3536">
        <v>2021</v>
      </c>
      <c r="C3536" t="s">
        <v>33</v>
      </c>
      <c r="D3536">
        <v>440</v>
      </c>
      <c r="E3536" t="s">
        <v>38</v>
      </c>
      <c r="F3536" t="s">
        <v>39</v>
      </c>
      <c r="G3536" t="s">
        <v>15</v>
      </c>
      <c r="H3536">
        <v>0.51117068710679503</v>
      </c>
      <c r="I3536">
        <v>3</v>
      </c>
      <c r="J3536" t="s">
        <v>23</v>
      </c>
      <c r="K3536" s="59" t="s">
        <v>23</v>
      </c>
    </row>
    <row r="3537" spans="1:11" x14ac:dyDescent="0.2">
      <c r="A3537" t="s">
        <v>3576</v>
      </c>
      <c r="B3537">
        <v>2021</v>
      </c>
      <c r="C3537" t="s">
        <v>12</v>
      </c>
      <c r="D3537">
        <v>305</v>
      </c>
      <c r="E3537" t="s">
        <v>29</v>
      </c>
      <c r="F3537" t="s">
        <v>30</v>
      </c>
      <c r="G3537" t="s">
        <v>15</v>
      </c>
      <c r="H3537">
        <v>0.67267401285619066</v>
      </c>
      <c r="I3537">
        <v>4</v>
      </c>
      <c r="J3537" t="s">
        <v>23</v>
      </c>
      <c r="K3537" s="59" t="s">
        <v>17</v>
      </c>
    </row>
    <row r="3538" spans="1:11" x14ac:dyDescent="0.2">
      <c r="A3538" t="s">
        <v>3577</v>
      </c>
      <c r="B3538">
        <v>2021</v>
      </c>
      <c r="C3538" t="s">
        <v>33</v>
      </c>
      <c r="D3538">
        <v>382</v>
      </c>
      <c r="E3538" t="s">
        <v>29</v>
      </c>
      <c r="F3538" t="s">
        <v>30</v>
      </c>
      <c r="G3538" t="s">
        <v>15</v>
      </c>
      <c r="H3538">
        <v>-0.1911280323988247</v>
      </c>
      <c r="I3538">
        <v>4</v>
      </c>
      <c r="J3538" t="s">
        <v>17</v>
      </c>
      <c r="K3538" s="59" t="s">
        <v>17</v>
      </c>
    </row>
    <row r="3539" spans="1:11" x14ac:dyDescent="0.2">
      <c r="A3539" t="s">
        <v>3578</v>
      </c>
      <c r="B3539">
        <v>2021</v>
      </c>
      <c r="C3539" t="s">
        <v>33</v>
      </c>
      <c r="D3539">
        <v>440</v>
      </c>
      <c r="E3539" t="s">
        <v>38</v>
      </c>
      <c r="F3539" t="s">
        <v>39</v>
      </c>
      <c r="G3539" t="s">
        <v>15</v>
      </c>
      <c r="H3539">
        <v>0.51117068710679503</v>
      </c>
      <c r="I3539">
        <v>3</v>
      </c>
      <c r="J3539" t="s">
        <v>23</v>
      </c>
      <c r="K3539" s="59" t="s">
        <v>4376</v>
      </c>
    </row>
    <row r="3540" spans="1:11" x14ac:dyDescent="0.2">
      <c r="A3540" t="s">
        <v>3579</v>
      </c>
      <c r="B3540">
        <v>2024</v>
      </c>
      <c r="C3540" t="s">
        <v>12</v>
      </c>
      <c r="D3540">
        <v>124</v>
      </c>
      <c r="E3540" t="s">
        <v>38</v>
      </c>
      <c r="F3540" t="s">
        <v>39</v>
      </c>
      <c r="G3540" t="s">
        <v>15</v>
      </c>
      <c r="H3540">
        <v>0.80168146858277878</v>
      </c>
      <c r="I3540">
        <v>3</v>
      </c>
      <c r="J3540" t="s">
        <v>23</v>
      </c>
      <c r="K3540" s="59" t="s">
        <v>4376</v>
      </c>
    </row>
    <row r="3541" spans="1:11" x14ac:dyDescent="0.2">
      <c r="A3541" t="s">
        <v>3580</v>
      </c>
      <c r="B3541">
        <v>2024</v>
      </c>
      <c r="C3541" t="s">
        <v>12</v>
      </c>
      <c r="D3541">
        <v>125</v>
      </c>
      <c r="E3541" t="s">
        <v>38</v>
      </c>
      <c r="F3541" t="s">
        <v>39</v>
      </c>
      <c r="G3541" t="s">
        <v>15</v>
      </c>
      <c r="H3541">
        <v>0.80168146858277878</v>
      </c>
      <c r="I3541">
        <v>3</v>
      </c>
      <c r="J3541" t="s">
        <v>23</v>
      </c>
      <c r="K3541" s="59" t="s">
        <v>4376</v>
      </c>
    </row>
    <row r="3542" spans="1:11" x14ac:dyDescent="0.2">
      <c r="A3542" t="s">
        <v>3581</v>
      </c>
      <c r="B3542">
        <v>2024</v>
      </c>
      <c r="C3542" t="s">
        <v>12</v>
      </c>
      <c r="D3542">
        <v>124</v>
      </c>
      <c r="E3542" t="s">
        <v>38</v>
      </c>
      <c r="F3542" t="s">
        <v>39</v>
      </c>
      <c r="G3542" t="s">
        <v>15</v>
      </c>
      <c r="H3542">
        <v>0.80168146858277878</v>
      </c>
      <c r="I3542">
        <v>3</v>
      </c>
      <c r="J3542" t="s">
        <v>23</v>
      </c>
      <c r="K3542" s="59" t="s">
        <v>4376</v>
      </c>
    </row>
    <row r="3543" spans="1:11" x14ac:dyDescent="0.2">
      <c r="A3543" t="s">
        <v>3582</v>
      </c>
      <c r="B3543">
        <v>2021</v>
      </c>
      <c r="C3543" t="s">
        <v>33</v>
      </c>
      <c r="D3543">
        <v>367</v>
      </c>
      <c r="E3543" t="s">
        <v>38</v>
      </c>
      <c r="F3543" t="s">
        <v>39</v>
      </c>
      <c r="G3543" t="s">
        <v>15</v>
      </c>
      <c r="H3543">
        <v>0.69029355547504967</v>
      </c>
      <c r="I3543">
        <v>3</v>
      </c>
      <c r="J3543" t="s">
        <v>23</v>
      </c>
      <c r="K3543" s="59" t="s">
        <v>4376</v>
      </c>
    </row>
    <row r="3544" spans="1:11" x14ac:dyDescent="0.2">
      <c r="A3544" t="s">
        <v>3583</v>
      </c>
      <c r="B3544">
        <v>2021</v>
      </c>
      <c r="C3544" t="s">
        <v>19</v>
      </c>
      <c r="D3544">
        <v>399</v>
      </c>
      <c r="E3544" t="s">
        <v>29</v>
      </c>
      <c r="F3544" t="s">
        <v>30</v>
      </c>
      <c r="G3544" t="s">
        <v>15</v>
      </c>
      <c r="H3544">
        <v>0.20729434749458239</v>
      </c>
      <c r="I3544">
        <v>4</v>
      </c>
      <c r="J3544" t="s">
        <v>23</v>
      </c>
      <c r="K3544" s="59" t="s">
        <v>17</v>
      </c>
    </row>
    <row r="3545" spans="1:11" x14ac:dyDescent="0.2">
      <c r="A3545" t="s">
        <v>3584</v>
      </c>
      <c r="B3545">
        <v>2024</v>
      </c>
      <c r="C3545" t="s">
        <v>12</v>
      </c>
      <c r="D3545">
        <v>113</v>
      </c>
      <c r="E3545" t="s">
        <v>38</v>
      </c>
      <c r="F3545" t="s">
        <v>39</v>
      </c>
      <c r="G3545" t="s">
        <v>15</v>
      </c>
      <c r="H3545">
        <v>1.6550614002054611</v>
      </c>
      <c r="I3545">
        <v>3</v>
      </c>
      <c r="J3545" t="s">
        <v>23</v>
      </c>
      <c r="K3545" s="59" t="s">
        <v>17</v>
      </c>
    </row>
    <row r="3546" spans="1:11" x14ac:dyDescent="0.2">
      <c r="A3546" t="s">
        <v>3585</v>
      </c>
      <c r="B3546">
        <v>2024</v>
      </c>
      <c r="C3546" t="s">
        <v>19</v>
      </c>
      <c r="D3546">
        <v>114</v>
      </c>
      <c r="E3546" t="s">
        <v>38</v>
      </c>
      <c r="F3546" t="s">
        <v>39</v>
      </c>
      <c r="G3546" t="s">
        <v>15</v>
      </c>
      <c r="H3546">
        <v>1.650835665036493</v>
      </c>
      <c r="I3546">
        <v>3</v>
      </c>
      <c r="J3546" t="s">
        <v>17</v>
      </c>
      <c r="K3546" s="59" t="s">
        <v>23</v>
      </c>
    </row>
    <row r="3547" spans="1:11" x14ac:dyDescent="0.2">
      <c r="A3547" t="s">
        <v>3586</v>
      </c>
      <c r="B3547">
        <v>2024</v>
      </c>
      <c r="C3547" t="s">
        <v>33</v>
      </c>
      <c r="D3547">
        <v>112</v>
      </c>
      <c r="E3547" t="s">
        <v>38</v>
      </c>
      <c r="F3547" t="s">
        <v>39</v>
      </c>
      <c r="G3547" t="s">
        <v>15</v>
      </c>
      <c r="H3547">
        <v>1.207133472294913</v>
      </c>
      <c r="I3547">
        <v>3</v>
      </c>
      <c r="J3547" t="s">
        <v>17</v>
      </c>
      <c r="K3547" s="59" t="s">
        <v>4376</v>
      </c>
    </row>
    <row r="3548" spans="1:11" x14ac:dyDescent="0.2">
      <c r="A3548" t="s">
        <v>3587</v>
      </c>
      <c r="B3548">
        <v>2022</v>
      </c>
      <c r="C3548" t="s">
        <v>33</v>
      </c>
      <c r="D3548">
        <v>353</v>
      </c>
      <c r="E3548" t="s">
        <v>53</v>
      </c>
      <c r="F3548" t="s">
        <v>54</v>
      </c>
      <c r="G3548" t="s">
        <v>15</v>
      </c>
      <c r="H3548">
        <v>0.46058692577733279</v>
      </c>
      <c r="I3548">
        <v>3</v>
      </c>
      <c r="J3548" t="s">
        <v>16</v>
      </c>
      <c r="K3548" s="59" t="s">
        <v>4376</v>
      </c>
    </row>
    <row r="3549" spans="1:11" x14ac:dyDescent="0.2">
      <c r="A3549" t="s">
        <v>3588</v>
      </c>
      <c r="B3549">
        <v>2024</v>
      </c>
      <c r="C3549" t="s">
        <v>12</v>
      </c>
      <c r="D3549">
        <v>126</v>
      </c>
      <c r="E3549" t="s">
        <v>38</v>
      </c>
      <c r="F3549" t="s">
        <v>39</v>
      </c>
      <c r="G3549" t="s">
        <v>15</v>
      </c>
      <c r="H3549">
        <v>0.80855353644230632</v>
      </c>
      <c r="I3549">
        <v>3</v>
      </c>
      <c r="J3549" t="s">
        <v>23</v>
      </c>
      <c r="K3549" s="59" t="s">
        <v>4376</v>
      </c>
    </row>
    <row r="3550" spans="1:11" x14ac:dyDescent="0.2">
      <c r="A3550" t="s">
        <v>3589</v>
      </c>
      <c r="B3550">
        <v>2024</v>
      </c>
      <c r="C3550" t="s">
        <v>12</v>
      </c>
      <c r="D3550">
        <v>125</v>
      </c>
      <c r="E3550" t="s">
        <v>38</v>
      </c>
      <c r="F3550" t="s">
        <v>39</v>
      </c>
      <c r="G3550" t="s">
        <v>15</v>
      </c>
      <c r="H3550">
        <v>0.80168146858277878</v>
      </c>
      <c r="I3550">
        <v>3</v>
      </c>
      <c r="J3550" t="s">
        <v>23</v>
      </c>
      <c r="K3550" s="59" t="s">
        <v>4376</v>
      </c>
    </row>
    <row r="3551" spans="1:11" x14ac:dyDescent="0.2">
      <c r="A3551" t="s">
        <v>3590</v>
      </c>
      <c r="B3551">
        <v>2024</v>
      </c>
      <c r="C3551" t="s">
        <v>33</v>
      </c>
      <c r="D3551">
        <v>59</v>
      </c>
      <c r="E3551" t="s">
        <v>53</v>
      </c>
      <c r="F3551" t="s">
        <v>54</v>
      </c>
      <c r="G3551" t="s">
        <v>36</v>
      </c>
      <c r="H3551">
        <v>-5.2800985870992294</v>
      </c>
      <c r="I3551">
        <v>3</v>
      </c>
      <c r="J3551" t="s">
        <v>16</v>
      </c>
      <c r="K3551" s="59" t="s">
        <v>17</v>
      </c>
    </row>
    <row r="3552" spans="1:11" x14ac:dyDescent="0.2">
      <c r="A3552" t="s">
        <v>3591</v>
      </c>
      <c r="B3552">
        <v>2021</v>
      </c>
      <c r="C3552" t="s">
        <v>33</v>
      </c>
      <c r="D3552">
        <v>442</v>
      </c>
      <c r="E3552" t="s">
        <v>38</v>
      </c>
      <c r="F3552" t="s">
        <v>39</v>
      </c>
      <c r="G3552" t="s">
        <v>15</v>
      </c>
      <c r="H3552">
        <v>0.51440772331697227</v>
      </c>
      <c r="I3552">
        <v>3</v>
      </c>
      <c r="J3552" t="s">
        <v>23</v>
      </c>
      <c r="K3552" s="59" t="s">
        <v>4376</v>
      </c>
    </row>
    <row r="3553" spans="1:11" x14ac:dyDescent="0.2">
      <c r="A3553" t="s">
        <v>3592</v>
      </c>
      <c r="B3553">
        <v>2024</v>
      </c>
      <c r="C3553" t="s">
        <v>12</v>
      </c>
      <c r="D3553">
        <v>124</v>
      </c>
      <c r="E3553" t="s">
        <v>38</v>
      </c>
      <c r="F3553" t="s">
        <v>39</v>
      </c>
      <c r="G3553" t="s">
        <v>15</v>
      </c>
      <c r="H3553">
        <v>0.80168146858277878</v>
      </c>
      <c r="I3553">
        <v>3</v>
      </c>
      <c r="J3553" t="s">
        <v>23</v>
      </c>
      <c r="K3553" s="59" t="s">
        <v>4376</v>
      </c>
    </row>
    <row r="3554" spans="1:11" x14ac:dyDescent="0.2">
      <c r="A3554" t="s">
        <v>3593</v>
      </c>
      <c r="B3554">
        <v>2021</v>
      </c>
      <c r="C3554" t="s">
        <v>19</v>
      </c>
      <c r="D3554">
        <v>398</v>
      </c>
      <c r="E3554" t="s">
        <v>29</v>
      </c>
      <c r="F3554" t="s">
        <v>30</v>
      </c>
      <c r="G3554" t="s">
        <v>15</v>
      </c>
      <c r="H3554">
        <v>0.43743819565275671</v>
      </c>
      <c r="I3554">
        <v>4</v>
      </c>
      <c r="J3554" t="s">
        <v>23</v>
      </c>
      <c r="K3554" s="59" t="s">
        <v>23</v>
      </c>
    </row>
    <row r="3555" spans="1:11" x14ac:dyDescent="0.2">
      <c r="A3555" t="s">
        <v>3594</v>
      </c>
      <c r="B3555">
        <v>2021</v>
      </c>
      <c r="C3555" t="s">
        <v>19</v>
      </c>
      <c r="D3555">
        <v>304</v>
      </c>
      <c r="E3555" t="s">
        <v>29</v>
      </c>
      <c r="F3555" t="s">
        <v>30</v>
      </c>
      <c r="G3555" t="s">
        <v>15</v>
      </c>
      <c r="H3555">
        <v>0.51773299692770136</v>
      </c>
      <c r="I3555">
        <v>4</v>
      </c>
      <c r="J3555" t="s">
        <v>23</v>
      </c>
      <c r="K3555" s="59" t="s">
        <v>17</v>
      </c>
    </row>
    <row r="3556" spans="1:11" x14ac:dyDescent="0.2">
      <c r="A3556" t="s">
        <v>3595</v>
      </c>
      <c r="B3556">
        <v>2021</v>
      </c>
      <c r="C3556" t="s">
        <v>12</v>
      </c>
      <c r="D3556">
        <v>398</v>
      </c>
      <c r="E3556" t="s">
        <v>29</v>
      </c>
      <c r="F3556" t="s">
        <v>30</v>
      </c>
      <c r="G3556" t="s">
        <v>15</v>
      </c>
      <c r="H3556">
        <v>0.43743819565275671</v>
      </c>
      <c r="I3556">
        <v>4</v>
      </c>
      <c r="J3556" t="s">
        <v>23</v>
      </c>
      <c r="K3556" s="59" t="s">
        <v>16</v>
      </c>
    </row>
    <row r="3557" spans="1:11" x14ac:dyDescent="0.2">
      <c r="A3557" t="s">
        <v>3596</v>
      </c>
      <c r="B3557">
        <v>2021</v>
      </c>
      <c r="C3557" t="s">
        <v>33</v>
      </c>
      <c r="D3557">
        <v>440</v>
      </c>
      <c r="E3557" t="s">
        <v>38</v>
      </c>
      <c r="F3557" t="s">
        <v>39</v>
      </c>
      <c r="G3557" t="s">
        <v>15</v>
      </c>
      <c r="H3557">
        <v>0.54780030737985386</v>
      </c>
      <c r="I3557">
        <v>3</v>
      </c>
      <c r="J3557" t="s">
        <v>23</v>
      </c>
      <c r="K3557" s="59" t="s">
        <v>4376</v>
      </c>
    </row>
    <row r="3558" spans="1:11" x14ac:dyDescent="0.2">
      <c r="A3558" t="s">
        <v>3597</v>
      </c>
      <c r="B3558">
        <v>2021</v>
      </c>
      <c r="C3558" t="s">
        <v>33</v>
      </c>
      <c r="D3558">
        <v>440</v>
      </c>
      <c r="E3558" t="s">
        <v>38</v>
      </c>
      <c r="F3558" t="s">
        <v>39</v>
      </c>
      <c r="G3558" t="s">
        <v>15</v>
      </c>
      <c r="H3558">
        <v>0.51117068710679503</v>
      </c>
      <c r="I3558">
        <v>3</v>
      </c>
      <c r="J3558" t="s">
        <v>23</v>
      </c>
      <c r="K3558" s="59" t="s">
        <v>4376</v>
      </c>
    </row>
    <row r="3559" spans="1:11" x14ac:dyDescent="0.2">
      <c r="A3559" t="s">
        <v>3598</v>
      </c>
      <c r="B3559">
        <v>2024</v>
      </c>
      <c r="C3559" t="s">
        <v>12</v>
      </c>
      <c r="D3559">
        <v>124</v>
      </c>
      <c r="E3559" t="s">
        <v>38</v>
      </c>
      <c r="F3559" t="s">
        <v>39</v>
      </c>
      <c r="G3559" t="s">
        <v>15</v>
      </c>
      <c r="H3559">
        <v>0.80168146858277878</v>
      </c>
      <c r="I3559">
        <v>3</v>
      </c>
      <c r="J3559" t="s">
        <v>23</v>
      </c>
      <c r="K3559" s="59" t="s">
        <v>4376</v>
      </c>
    </row>
    <row r="3560" spans="1:11" x14ac:dyDescent="0.2">
      <c r="A3560" t="s">
        <v>3599</v>
      </c>
      <c r="B3560">
        <v>2018</v>
      </c>
      <c r="C3560" t="s">
        <v>19</v>
      </c>
      <c r="D3560">
        <v>182</v>
      </c>
      <c r="E3560" t="s">
        <v>20</v>
      </c>
      <c r="F3560" t="s">
        <v>21</v>
      </c>
      <c r="G3560" t="s">
        <v>15</v>
      </c>
      <c r="H3560">
        <v>-0.61180037861256065</v>
      </c>
      <c r="I3560">
        <v>3</v>
      </c>
      <c r="J3560" t="s">
        <v>23</v>
      </c>
      <c r="K3560" s="59" t="s">
        <v>16</v>
      </c>
    </row>
    <row r="3561" spans="1:11" x14ac:dyDescent="0.2">
      <c r="A3561" t="s">
        <v>3600</v>
      </c>
      <c r="B3561">
        <v>2022</v>
      </c>
      <c r="C3561" t="s">
        <v>33</v>
      </c>
      <c r="D3561">
        <v>353</v>
      </c>
      <c r="E3561" t="s">
        <v>53</v>
      </c>
      <c r="F3561" t="s">
        <v>54</v>
      </c>
      <c r="G3561" t="s">
        <v>15</v>
      </c>
      <c r="H3561">
        <v>0.46058692577733279</v>
      </c>
      <c r="I3561">
        <v>3</v>
      </c>
      <c r="J3561" t="s">
        <v>16</v>
      </c>
      <c r="K3561" s="59" t="s">
        <v>4376</v>
      </c>
    </row>
    <row r="3562" spans="1:11" x14ac:dyDescent="0.2">
      <c r="A3562" t="s">
        <v>3601</v>
      </c>
      <c r="B3562">
        <v>2024</v>
      </c>
      <c r="C3562" t="s">
        <v>19</v>
      </c>
      <c r="D3562">
        <v>112</v>
      </c>
      <c r="E3562" t="s">
        <v>38</v>
      </c>
      <c r="F3562" t="s">
        <v>39</v>
      </c>
      <c r="G3562" t="s">
        <v>15</v>
      </c>
      <c r="H3562">
        <v>1.207133472294913</v>
      </c>
      <c r="I3562">
        <v>3</v>
      </c>
      <c r="J3562" t="s">
        <v>17</v>
      </c>
      <c r="K3562" s="59" t="s">
        <v>23</v>
      </c>
    </row>
    <row r="3563" spans="1:11" x14ac:dyDescent="0.2">
      <c r="A3563" t="s">
        <v>3602</v>
      </c>
      <c r="B3563">
        <v>2024</v>
      </c>
      <c r="C3563" t="s">
        <v>12</v>
      </c>
      <c r="D3563">
        <v>125</v>
      </c>
      <c r="E3563" t="s">
        <v>38</v>
      </c>
      <c r="F3563" t="s">
        <v>39</v>
      </c>
      <c r="G3563" t="s">
        <v>15</v>
      </c>
      <c r="H3563">
        <v>0.80168146858277878</v>
      </c>
      <c r="I3563">
        <v>3</v>
      </c>
      <c r="J3563" t="s">
        <v>23</v>
      </c>
      <c r="K3563" s="59" t="s">
        <v>4376</v>
      </c>
    </row>
    <row r="3564" spans="1:11" x14ac:dyDescent="0.2">
      <c r="A3564" t="s">
        <v>3603</v>
      </c>
      <c r="B3564">
        <v>2024</v>
      </c>
      <c r="C3564" t="s">
        <v>19</v>
      </c>
      <c r="D3564">
        <v>113</v>
      </c>
      <c r="E3564" t="s">
        <v>38</v>
      </c>
      <c r="F3564" t="s">
        <v>39</v>
      </c>
      <c r="G3564" t="s">
        <v>15</v>
      </c>
      <c r="H3564">
        <v>1.207133472294913</v>
      </c>
      <c r="I3564">
        <v>3</v>
      </c>
      <c r="J3564" t="s">
        <v>23</v>
      </c>
      <c r="K3564" s="59" t="s">
        <v>16</v>
      </c>
    </row>
    <row r="3565" spans="1:11" x14ac:dyDescent="0.2">
      <c r="A3565" t="s">
        <v>3604</v>
      </c>
      <c r="B3565">
        <v>2024</v>
      </c>
      <c r="C3565" t="s">
        <v>19</v>
      </c>
      <c r="D3565">
        <v>112</v>
      </c>
      <c r="E3565" t="s">
        <v>38</v>
      </c>
      <c r="F3565" t="s">
        <v>39</v>
      </c>
      <c r="G3565" t="s">
        <v>15</v>
      </c>
      <c r="H3565">
        <v>1.207133472294913</v>
      </c>
      <c r="I3565">
        <v>3</v>
      </c>
      <c r="J3565" t="s">
        <v>23</v>
      </c>
      <c r="K3565" s="59" t="s">
        <v>23</v>
      </c>
    </row>
    <row r="3566" spans="1:11" x14ac:dyDescent="0.2">
      <c r="A3566" t="s">
        <v>3605</v>
      </c>
      <c r="B3566">
        <v>2021</v>
      </c>
      <c r="C3566" t="s">
        <v>19</v>
      </c>
      <c r="D3566">
        <v>176</v>
      </c>
      <c r="E3566" t="s">
        <v>20</v>
      </c>
      <c r="F3566" t="s">
        <v>21</v>
      </c>
      <c r="G3566" t="s">
        <v>15</v>
      </c>
      <c r="H3566">
        <v>0.92883505554575563</v>
      </c>
      <c r="I3566">
        <v>3</v>
      </c>
      <c r="J3566" t="s">
        <v>23</v>
      </c>
      <c r="K3566" s="59" t="s">
        <v>17</v>
      </c>
    </row>
    <row r="3567" spans="1:11" x14ac:dyDescent="0.2">
      <c r="A3567" t="s">
        <v>3606</v>
      </c>
      <c r="B3567">
        <v>2021</v>
      </c>
      <c r="C3567" t="s">
        <v>33</v>
      </c>
      <c r="D3567">
        <v>382</v>
      </c>
      <c r="E3567" t="s">
        <v>29</v>
      </c>
      <c r="F3567" t="s">
        <v>30</v>
      </c>
      <c r="G3567" t="s">
        <v>15</v>
      </c>
      <c r="H3567">
        <v>-0.1911280323988247</v>
      </c>
      <c r="I3567">
        <v>4</v>
      </c>
      <c r="J3567" t="s">
        <v>23</v>
      </c>
      <c r="K3567" s="59" t="s">
        <v>17</v>
      </c>
    </row>
    <row r="3568" spans="1:11" x14ac:dyDescent="0.2">
      <c r="A3568" t="s">
        <v>3607</v>
      </c>
      <c r="B3568">
        <v>2023</v>
      </c>
      <c r="C3568" t="s">
        <v>33</v>
      </c>
      <c r="D3568">
        <v>69</v>
      </c>
      <c r="E3568" t="s">
        <v>20</v>
      </c>
      <c r="F3568" t="s">
        <v>21</v>
      </c>
      <c r="G3568" t="s">
        <v>15</v>
      </c>
      <c r="H3568">
        <v>-2.2511336181909352</v>
      </c>
      <c r="I3568">
        <v>3</v>
      </c>
      <c r="J3568" t="s">
        <v>23</v>
      </c>
      <c r="K3568" s="59" t="s">
        <v>4376</v>
      </c>
    </row>
    <row r="3569" spans="1:11" x14ac:dyDescent="0.2">
      <c r="A3569" t="s">
        <v>3608</v>
      </c>
      <c r="B3569">
        <v>2021</v>
      </c>
      <c r="C3569" t="s">
        <v>33</v>
      </c>
      <c r="D3569">
        <v>440</v>
      </c>
      <c r="E3569" t="s">
        <v>38</v>
      </c>
      <c r="F3569" t="s">
        <v>39</v>
      </c>
      <c r="G3569" t="s">
        <v>15</v>
      </c>
      <c r="H3569">
        <v>0.54780030737985386</v>
      </c>
      <c r="I3569">
        <v>3</v>
      </c>
      <c r="J3569" t="s">
        <v>23</v>
      </c>
      <c r="K3569" s="59" t="s">
        <v>4376</v>
      </c>
    </row>
    <row r="3570" spans="1:11" x14ac:dyDescent="0.2">
      <c r="A3570" t="s">
        <v>3609</v>
      </c>
      <c r="B3570">
        <v>2021</v>
      </c>
      <c r="C3570" t="s">
        <v>12</v>
      </c>
      <c r="D3570">
        <v>411</v>
      </c>
      <c r="E3570" t="s">
        <v>29</v>
      </c>
      <c r="F3570" t="s">
        <v>30</v>
      </c>
      <c r="G3570" t="s">
        <v>15</v>
      </c>
      <c r="H3570">
        <v>0.34487221106710803</v>
      </c>
      <c r="I3570">
        <v>4</v>
      </c>
      <c r="J3570" t="s">
        <v>23</v>
      </c>
      <c r="K3570" s="59" t="s">
        <v>23</v>
      </c>
    </row>
    <row r="3571" spans="1:11" x14ac:dyDescent="0.2">
      <c r="A3571" t="s">
        <v>3610</v>
      </c>
      <c r="B3571">
        <v>2021</v>
      </c>
      <c r="C3571" t="s">
        <v>19</v>
      </c>
      <c r="D3571">
        <v>398</v>
      </c>
      <c r="E3571" t="s">
        <v>29</v>
      </c>
      <c r="F3571" t="s">
        <v>30</v>
      </c>
      <c r="G3571" t="s">
        <v>15</v>
      </c>
      <c r="H3571">
        <v>0.43743819565275671</v>
      </c>
      <c r="I3571">
        <v>4</v>
      </c>
      <c r="J3571" t="s">
        <v>23</v>
      </c>
      <c r="K3571" s="59" t="s">
        <v>23</v>
      </c>
    </row>
    <row r="3572" spans="1:11" x14ac:dyDescent="0.2">
      <c r="A3572" t="s">
        <v>3611</v>
      </c>
      <c r="B3572">
        <v>2022</v>
      </c>
      <c r="C3572" t="s">
        <v>33</v>
      </c>
      <c r="D3572">
        <v>353</v>
      </c>
      <c r="E3572" t="s">
        <v>53</v>
      </c>
      <c r="F3572" t="s">
        <v>54</v>
      </c>
      <c r="G3572" t="s">
        <v>15</v>
      </c>
      <c r="H3572">
        <v>0.46058692577733279</v>
      </c>
      <c r="I3572">
        <v>3</v>
      </c>
      <c r="J3572" t="s">
        <v>16</v>
      </c>
      <c r="K3572" s="59" t="s">
        <v>4376</v>
      </c>
    </row>
    <row r="3573" spans="1:11" x14ac:dyDescent="0.2">
      <c r="A3573" t="s">
        <v>3612</v>
      </c>
      <c r="B3573">
        <v>2021</v>
      </c>
      <c r="C3573" t="s">
        <v>33</v>
      </c>
      <c r="D3573">
        <v>367</v>
      </c>
      <c r="E3573" t="s">
        <v>38</v>
      </c>
      <c r="F3573" t="s">
        <v>39</v>
      </c>
      <c r="G3573" t="s">
        <v>15</v>
      </c>
      <c r="H3573">
        <v>0.69029355547504967</v>
      </c>
      <c r="I3573">
        <v>3</v>
      </c>
      <c r="J3573" t="s">
        <v>23</v>
      </c>
      <c r="K3573" s="59" t="s">
        <v>4376</v>
      </c>
    </row>
    <row r="3574" spans="1:11" x14ac:dyDescent="0.2">
      <c r="A3574" t="s">
        <v>3613</v>
      </c>
      <c r="B3574">
        <v>2021</v>
      </c>
      <c r="C3574" t="s">
        <v>19</v>
      </c>
      <c r="D3574">
        <v>156</v>
      </c>
      <c r="E3574" t="s">
        <v>20</v>
      </c>
      <c r="F3574" t="s">
        <v>21</v>
      </c>
      <c r="G3574" t="s">
        <v>15</v>
      </c>
      <c r="H3574">
        <v>0.59233043398631746</v>
      </c>
      <c r="I3574">
        <v>3</v>
      </c>
      <c r="J3574" t="s">
        <v>23</v>
      </c>
      <c r="K3574" s="59" t="s">
        <v>23</v>
      </c>
    </row>
    <row r="3575" spans="1:11" x14ac:dyDescent="0.2">
      <c r="A3575" t="s">
        <v>3614</v>
      </c>
      <c r="B3575">
        <v>2022</v>
      </c>
      <c r="C3575" t="s">
        <v>33</v>
      </c>
      <c r="D3575">
        <v>353</v>
      </c>
      <c r="E3575" t="s">
        <v>53</v>
      </c>
      <c r="F3575" t="s">
        <v>54</v>
      </c>
      <c r="G3575" t="s">
        <v>15</v>
      </c>
      <c r="H3575">
        <v>0.46058692577733279</v>
      </c>
      <c r="I3575">
        <v>3</v>
      </c>
      <c r="J3575" t="s">
        <v>16</v>
      </c>
      <c r="K3575" s="59" t="s">
        <v>4376</v>
      </c>
    </row>
    <row r="3576" spans="1:11" x14ac:dyDescent="0.2">
      <c r="A3576" t="s">
        <v>3615</v>
      </c>
      <c r="B3576">
        <v>2025</v>
      </c>
      <c r="C3576" t="s">
        <v>19</v>
      </c>
      <c r="D3576">
        <v>262</v>
      </c>
      <c r="E3576" t="s">
        <v>20</v>
      </c>
      <c r="F3576" t="s">
        <v>21</v>
      </c>
      <c r="G3576" t="s">
        <v>15</v>
      </c>
      <c r="H3576">
        <v>-7.390554332474765E-2</v>
      </c>
      <c r="I3576">
        <v>3</v>
      </c>
      <c r="J3576" t="s">
        <v>16</v>
      </c>
      <c r="K3576" s="59" t="s">
        <v>17</v>
      </c>
    </row>
    <row r="3577" spans="1:11" x14ac:dyDescent="0.2">
      <c r="A3577" t="s">
        <v>3616</v>
      </c>
      <c r="B3577">
        <v>2024</v>
      </c>
      <c r="C3577" t="s">
        <v>33</v>
      </c>
      <c r="D3577">
        <v>111</v>
      </c>
      <c r="E3577" t="s">
        <v>38</v>
      </c>
      <c r="F3577" t="s">
        <v>39</v>
      </c>
      <c r="G3577" t="s">
        <v>15</v>
      </c>
      <c r="H3577">
        <v>1.207133472294913</v>
      </c>
      <c r="I3577">
        <v>3</v>
      </c>
      <c r="J3577" t="s">
        <v>23</v>
      </c>
      <c r="K3577" s="59" t="s">
        <v>23</v>
      </c>
    </row>
    <row r="3578" spans="1:11" x14ac:dyDescent="0.2">
      <c r="A3578" t="s">
        <v>3617</v>
      </c>
      <c r="B3578">
        <v>2021</v>
      </c>
      <c r="C3578" t="s">
        <v>33</v>
      </c>
      <c r="D3578">
        <v>441</v>
      </c>
      <c r="E3578" t="s">
        <v>38</v>
      </c>
      <c r="F3578" t="s">
        <v>39</v>
      </c>
      <c r="G3578" t="s">
        <v>15</v>
      </c>
      <c r="H3578">
        <v>0.51117068710679503</v>
      </c>
      <c r="I3578">
        <v>3</v>
      </c>
      <c r="J3578" t="s">
        <v>23</v>
      </c>
      <c r="K3578" s="59" t="s">
        <v>4376</v>
      </c>
    </row>
    <row r="3579" spans="1:11" x14ac:dyDescent="0.2">
      <c r="A3579" t="s">
        <v>3618</v>
      </c>
      <c r="B3579">
        <v>2021</v>
      </c>
      <c r="C3579" t="s">
        <v>33</v>
      </c>
      <c r="D3579">
        <v>440</v>
      </c>
      <c r="E3579" t="s">
        <v>38</v>
      </c>
      <c r="F3579" t="s">
        <v>39</v>
      </c>
      <c r="G3579" t="s">
        <v>15</v>
      </c>
      <c r="H3579">
        <v>0.54780030737985386</v>
      </c>
      <c r="I3579">
        <v>3</v>
      </c>
      <c r="J3579" t="s">
        <v>23</v>
      </c>
      <c r="K3579" s="59" t="s">
        <v>4376</v>
      </c>
    </row>
    <row r="3580" spans="1:11" x14ac:dyDescent="0.2">
      <c r="A3580" t="s">
        <v>3619</v>
      </c>
      <c r="B3580">
        <v>2021</v>
      </c>
      <c r="C3580" t="s">
        <v>33</v>
      </c>
      <c r="D3580">
        <v>441</v>
      </c>
      <c r="E3580" t="s">
        <v>38</v>
      </c>
      <c r="F3580" t="s">
        <v>39</v>
      </c>
      <c r="G3580" t="s">
        <v>15</v>
      </c>
      <c r="H3580">
        <v>0.54933721452417805</v>
      </c>
      <c r="I3580">
        <v>3</v>
      </c>
      <c r="J3580" t="s">
        <v>23</v>
      </c>
      <c r="K3580" s="59" t="s">
        <v>4376</v>
      </c>
    </row>
    <row r="3581" spans="1:11" x14ac:dyDescent="0.2">
      <c r="A3581" t="s">
        <v>3620</v>
      </c>
      <c r="B3581">
        <v>2024</v>
      </c>
      <c r="C3581" t="s">
        <v>33</v>
      </c>
      <c r="D3581">
        <v>125</v>
      </c>
      <c r="E3581" t="s">
        <v>38</v>
      </c>
      <c r="F3581" t="s">
        <v>39</v>
      </c>
      <c r="G3581" t="s">
        <v>15</v>
      </c>
      <c r="H3581">
        <v>0.80168146858277878</v>
      </c>
      <c r="I3581">
        <v>3</v>
      </c>
      <c r="J3581" t="s">
        <v>23</v>
      </c>
      <c r="K3581" s="59" t="s">
        <v>4376</v>
      </c>
    </row>
    <row r="3582" spans="1:11" x14ac:dyDescent="0.2">
      <c r="A3582" t="s">
        <v>3621</v>
      </c>
      <c r="B3582">
        <v>2022</v>
      </c>
      <c r="C3582" t="s">
        <v>19</v>
      </c>
      <c r="D3582">
        <v>305</v>
      </c>
      <c r="E3582" t="s">
        <v>53</v>
      </c>
      <c r="F3582" t="s">
        <v>54</v>
      </c>
      <c r="G3582" t="s">
        <v>15</v>
      </c>
      <c r="H3582">
        <v>0.73205839723827082</v>
      </c>
      <c r="I3582">
        <v>3</v>
      </c>
      <c r="J3582" t="s">
        <v>23</v>
      </c>
      <c r="K3582" s="59" t="s">
        <v>17</v>
      </c>
    </row>
    <row r="3583" spans="1:11" x14ac:dyDescent="0.2">
      <c r="A3583" t="s">
        <v>3622</v>
      </c>
      <c r="B3583">
        <v>2021</v>
      </c>
      <c r="C3583" t="s">
        <v>19</v>
      </c>
      <c r="D3583">
        <v>398</v>
      </c>
      <c r="E3583" t="s">
        <v>29</v>
      </c>
      <c r="F3583" t="s">
        <v>30</v>
      </c>
      <c r="G3583" t="s">
        <v>15</v>
      </c>
      <c r="H3583">
        <v>0.43743819565275671</v>
      </c>
      <c r="I3583">
        <v>4</v>
      </c>
      <c r="J3583" t="s">
        <v>23</v>
      </c>
      <c r="K3583" s="59" t="s">
        <v>16</v>
      </c>
    </row>
    <row r="3584" spans="1:11" x14ac:dyDescent="0.2">
      <c r="A3584" t="s">
        <v>3623</v>
      </c>
      <c r="B3584">
        <v>2024</v>
      </c>
      <c r="C3584" t="s">
        <v>33</v>
      </c>
      <c r="D3584">
        <v>125</v>
      </c>
      <c r="E3584" t="s">
        <v>38</v>
      </c>
      <c r="F3584" t="s">
        <v>39</v>
      </c>
      <c r="G3584" t="s">
        <v>15</v>
      </c>
      <c r="H3584">
        <v>0.80168146858277878</v>
      </c>
      <c r="I3584">
        <v>3</v>
      </c>
      <c r="J3584" t="s">
        <v>23</v>
      </c>
      <c r="K3584" s="59" t="s">
        <v>4376</v>
      </c>
    </row>
    <row r="3585" spans="1:11" x14ac:dyDescent="0.2">
      <c r="A3585" t="s">
        <v>3624</v>
      </c>
      <c r="B3585">
        <v>2023</v>
      </c>
      <c r="C3585" t="s">
        <v>33</v>
      </c>
      <c r="D3585">
        <v>245</v>
      </c>
      <c r="E3585" t="s">
        <v>20</v>
      </c>
      <c r="F3585" t="s">
        <v>21</v>
      </c>
      <c r="G3585" t="s">
        <v>48</v>
      </c>
      <c r="H3585">
        <v>-0.31391540631196913</v>
      </c>
      <c r="I3585">
        <v>3</v>
      </c>
      <c r="J3585" t="s">
        <v>23</v>
      </c>
      <c r="K3585" s="59" t="s">
        <v>17</v>
      </c>
    </row>
    <row r="3586" spans="1:11" x14ac:dyDescent="0.2">
      <c r="A3586" t="s">
        <v>3625</v>
      </c>
      <c r="B3586">
        <v>2022</v>
      </c>
      <c r="C3586" t="s">
        <v>33</v>
      </c>
      <c r="D3586">
        <v>353</v>
      </c>
      <c r="E3586" t="s">
        <v>53</v>
      </c>
      <c r="F3586" t="s">
        <v>54</v>
      </c>
      <c r="G3586" t="s">
        <v>15</v>
      </c>
      <c r="H3586">
        <v>0.46058692577733279</v>
      </c>
      <c r="I3586">
        <v>3</v>
      </c>
      <c r="J3586" t="s">
        <v>16</v>
      </c>
      <c r="K3586" s="59" t="s">
        <v>4376</v>
      </c>
    </row>
    <row r="3587" spans="1:11" x14ac:dyDescent="0.2">
      <c r="A3587" t="s">
        <v>3626</v>
      </c>
      <c r="B3587">
        <v>2023</v>
      </c>
      <c r="C3587" t="s">
        <v>33</v>
      </c>
      <c r="D3587">
        <v>383</v>
      </c>
      <c r="E3587" t="s">
        <v>29</v>
      </c>
      <c r="F3587" t="s">
        <v>30</v>
      </c>
      <c r="G3587" t="s">
        <v>15</v>
      </c>
      <c r="H3587">
        <v>0.21436445001295959</v>
      </c>
      <c r="I3587">
        <v>4</v>
      </c>
      <c r="J3587" t="s">
        <v>16</v>
      </c>
      <c r="K3587" s="59" t="s">
        <v>23</v>
      </c>
    </row>
    <row r="3588" spans="1:11" x14ac:dyDescent="0.2">
      <c r="A3588" t="s">
        <v>3627</v>
      </c>
      <c r="B3588">
        <v>2023</v>
      </c>
      <c r="C3588" t="s">
        <v>33</v>
      </c>
      <c r="D3588">
        <v>268</v>
      </c>
      <c r="E3588" t="s">
        <v>20</v>
      </c>
      <c r="F3588" t="s">
        <v>21</v>
      </c>
      <c r="G3588" t="s">
        <v>44</v>
      </c>
      <c r="H3588">
        <v>0.13005486701382421</v>
      </c>
      <c r="I3588">
        <v>3</v>
      </c>
      <c r="J3588" t="s">
        <v>23</v>
      </c>
      <c r="K3588" s="59" t="s">
        <v>4376</v>
      </c>
    </row>
    <row r="3589" spans="1:11" x14ac:dyDescent="0.2">
      <c r="A3589" t="s">
        <v>3628</v>
      </c>
      <c r="B3589">
        <v>2024</v>
      </c>
      <c r="C3589" t="s">
        <v>33</v>
      </c>
      <c r="D3589">
        <v>124</v>
      </c>
      <c r="E3589" t="s">
        <v>38</v>
      </c>
      <c r="F3589" t="s">
        <v>39</v>
      </c>
      <c r="G3589" t="s">
        <v>15</v>
      </c>
      <c r="H3589">
        <v>0.80168146858277878</v>
      </c>
      <c r="I3589">
        <v>3</v>
      </c>
      <c r="J3589" t="s">
        <v>23</v>
      </c>
      <c r="K3589" s="59" t="s">
        <v>4376</v>
      </c>
    </row>
    <row r="3590" spans="1:11" x14ac:dyDescent="0.2">
      <c r="A3590" t="s">
        <v>3629</v>
      </c>
      <c r="B3590">
        <v>2024</v>
      </c>
      <c r="C3590" t="s">
        <v>19</v>
      </c>
      <c r="D3590">
        <v>124</v>
      </c>
      <c r="E3590" t="s">
        <v>38</v>
      </c>
      <c r="F3590" t="s">
        <v>39</v>
      </c>
      <c r="G3590" t="s">
        <v>15</v>
      </c>
      <c r="H3590">
        <v>0.80168146858277878</v>
      </c>
      <c r="I3590">
        <v>3</v>
      </c>
      <c r="J3590" t="s">
        <v>23</v>
      </c>
      <c r="K3590" s="59" t="s">
        <v>23</v>
      </c>
    </row>
    <row r="3591" spans="1:11" x14ac:dyDescent="0.2">
      <c r="A3591" t="s">
        <v>3630</v>
      </c>
      <c r="B3591">
        <v>2024</v>
      </c>
      <c r="C3591" t="s">
        <v>19</v>
      </c>
      <c r="D3591">
        <v>124</v>
      </c>
      <c r="E3591" t="s">
        <v>38</v>
      </c>
      <c r="F3591" t="s">
        <v>39</v>
      </c>
      <c r="G3591" t="s">
        <v>15</v>
      </c>
      <c r="H3591">
        <v>0.80168146858277878</v>
      </c>
      <c r="I3591">
        <v>3</v>
      </c>
      <c r="J3591" t="s">
        <v>23</v>
      </c>
      <c r="K3591" s="59" t="s">
        <v>17</v>
      </c>
    </row>
    <row r="3592" spans="1:11" x14ac:dyDescent="0.2">
      <c r="A3592" t="s">
        <v>3631</v>
      </c>
      <c r="B3592">
        <v>2021</v>
      </c>
      <c r="C3592" t="s">
        <v>33</v>
      </c>
      <c r="D3592">
        <v>440</v>
      </c>
      <c r="E3592" t="s">
        <v>38</v>
      </c>
      <c r="F3592" t="s">
        <v>39</v>
      </c>
      <c r="G3592" t="s">
        <v>15</v>
      </c>
      <c r="H3592">
        <v>0.54780030737985386</v>
      </c>
      <c r="I3592">
        <v>3</v>
      </c>
      <c r="J3592" t="s">
        <v>23</v>
      </c>
      <c r="K3592" s="59" t="s">
        <v>4376</v>
      </c>
    </row>
    <row r="3593" spans="1:11" x14ac:dyDescent="0.2">
      <c r="A3593" t="s">
        <v>3632</v>
      </c>
      <c r="B3593">
        <v>2021</v>
      </c>
      <c r="C3593" t="s">
        <v>33</v>
      </c>
      <c r="D3593">
        <v>440</v>
      </c>
      <c r="E3593" t="s">
        <v>38</v>
      </c>
      <c r="F3593" t="s">
        <v>39</v>
      </c>
      <c r="G3593" t="s">
        <v>15</v>
      </c>
      <c r="H3593">
        <v>0.54780030737985386</v>
      </c>
      <c r="I3593">
        <v>3</v>
      </c>
      <c r="J3593" t="s">
        <v>23</v>
      </c>
      <c r="K3593" s="59" t="s">
        <v>4376</v>
      </c>
    </row>
    <row r="3594" spans="1:11" x14ac:dyDescent="0.2">
      <c r="A3594" t="s">
        <v>3633</v>
      </c>
      <c r="B3594">
        <v>2021</v>
      </c>
      <c r="C3594" t="s">
        <v>33</v>
      </c>
      <c r="D3594">
        <v>440</v>
      </c>
      <c r="E3594" t="s">
        <v>38</v>
      </c>
      <c r="F3594" t="s">
        <v>39</v>
      </c>
      <c r="G3594" t="s">
        <v>15</v>
      </c>
      <c r="H3594">
        <v>0.51117068710679503</v>
      </c>
      <c r="I3594">
        <v>3</v>
      </c>
      <c r="J3594" t="s">
        <v>23</v>
      </c>
      <c r="K3594" s="59" t="s">
        <v>4376</v>
      </c>
    </row>
    <row r="3595" spans="1:11" x14ac:dyDescent="0.2">
      <c r="A3595" t="s">
        <v>3634</v>
      </c>
      <c r="B3595">
        <v>2024</v>
      </c>
      <c r="C3595" t="s">
        <v>19</v>
      </c>
      <c r="D3595">
        <v>154</v>
      </c>
      <c r="E3595" t="s">
        <v>20</v>
      </c>
      <c r="F3595" t="s">
        <v>21</v>
      </c>
      <c r="G3595" t="s">
        <v>15</v>
      </c>
      <c r="H3595">
        <v>-0.71255764732172089</v>
      </c>
      <c r="I3595">
        <v>3</v>
      </c>
      <c r="J3595" t="s">
        <v>23</v>
      </c>
      <c r="K3595" s="59" t="s">
        <v>17</v>
      </c>
    </row>
    <row r="3596" spans="1:11" x14ac:dyDescent="0.2">
      <c r="A3596" t="s">
        <v>3635</v>
      </c>
      <c r="B3596">
        <v>2023</v>
      </c>
      <c r="C3596" t="s">
        <v>33</v>
      </c>
      <c r="D3596">
        <v>383</v>
      </c>
      <c r="E3596" t="s">
        <v>29</v>
      </c>
      <c r="F3596" t="s">
        <v>30</v>
      </c>
      <c r="G3596" t="s">
        <v>15</v>
      </c>
      <c r="H3596">
        <v>0.21436445001295959</v>
      </c>
      <c r="I3596">
        <v>4</v>
      </c>
      <c r="J3596" t="s">
        <v>16</v>
      </c>
      <c r="K3596" s="59" t="s">
        <v>17</v>
      </c>
    </row>
    <row r="3597" spans="1:11" x14ac:dyDescent="0.2">
      <c r="A3597" t="s">
        <v>3636</v>
      </c>
      <c r="B3597">
        <v>2021</v>
      </c>
      <c r="C3597" t="s">
        <v>33</v>
      </c>
      <c r="D3597">
        <v>440</v>
      </c>
      <c r="E3597" t="s">
        <v>38</v>
      </c>
      <c r="F3597" t="s">
        <v>39</v>
      </c>
      <c r="G3597" t="s">
        <v>15</v>
      </c>
      <c r="H3597">
        <v>0.54780030737985386</v>
      </c>
      <c r="I3597">
        <v>3</v>
      </c>
      <c r="J3597" t="s">
        <v>23</v>
      </c>
      <c r="K3597" s="59" t="s">
        <v>4376</v>
      </c>
    </row>
    <row r="3598" spans="1:11" x14ac:dyDescent="0.2">
      <c r="A3598" t="s">
        <v>3637</v>
      </c>
      <c r="B3598">
        <v>2023</v>
      </c>
      <c r="C3598" t="s">
        <v>33</v>
      </c>
      <c r="D3598">
        <v>383</v>
      </c>
      <c r="E3598" t="s">
        <v>29</v>
      </c>
      <c r="F3598" t="s">
        <v>30</v>
      </c>
      <c r="G3598" t="s">
        <v>15</v>
      </c>
      <c r="H3598">
        <v>0.21436445001295959</v>
      </c>
      <c r="I3598">
        <v>4</v>
      </c>
      <c r="J3598" t="s">
        <v>16</v>
      </c>
      <c r="K3598" s="59" t="s">
        <v>4376</v>
      </c>
    </row>
    <row r="3599" spans="1:11" x14ac:dyDescent="0.2">
      <c r="A3599" t="s">
        <v>3638</v>
      </c>
      <c r="B3599">
        <v>2024</v>
      </c>
      <c r="C3599" t="s">
        <v>33</v>
      </c>
      <c r="D3599">
        <v>124</v>
      </c>
      <c r="E3599" t="s">
        <v>38</v>
      </c>
      <c r="F3599" t="s">
        <v>39</v>
      </c>
      <c r="G3599" t="s">
        <v>15</v>
      </c>
      <c r="H3599">
        <v>0.80168146858277878</v>
      </c>
      <c r="I3599">
        <v>3</v>
      </c>
      <c r="J3599" t="s">
        <v>23</v>
      </c>
      <c r="K3599" s="59" t="s">
        <v>17</v>
      </c>
    </row>
    <row r="3600" spans="1:11" x14ac:dyDescent="0.2">
      <c r="A3600" t="s">
        <v>3639</v>
      </c>
      <c r="B3600">
        <v>2021</v>
      </c>
      <c r="C3600" t="s">
        <v>19</v>
      </c>
      <c r="D3600">
        <v>86</v>
      </c>
      <c r="E3600" t="s">
        <v>25</v>
      </c>
      <c r="F3600" t="s">
        <v>26</v>
      </c>
      <c r="G3600" t="s">
        <v>80</v>
      </c>
      <c r="H3600">
        <v>8.7313652518543006E-2</v>
      </c>
      <c r="I3600">
        <v>2</v>
      </c>
      <c r="J3600" t="s">
        <v>23</v>
      </c>
      <c r="K3600" s="59" t="s">
        <v>23</v>
      </c>
    </row>
    <row r="3601" spans="1:11" x14ac:dyDescent="0.2">
      <c r="A3601" t="s">
        <v>3640</v>
      </c>
      <c r="B3601">
        <v>2022</v>
      </c>
      <c r="C3601" t="s">
        <v>33</v>
      </c>
      <c r="D3601">
        <v>353</v>
      </c>
      <c r="E3601" t="s">
        <v>53</v>
      </c>
      <c r="F3601" t="s">
        <v>54</v>
      </c>
      <c r="G3601" t="s">
        <v>15</v>
      </c>
      <c r="H3601">
        <v>0.46058692577733279</v>
      </c>
      <c r="I3601">
        <v>3</v>
      </c>
      <c r="J3601" t="s">
        <v>16</v>
      </c>
      <c r="K3601" s="59" t="s">
        <v>4376</v>
      </c>
    </row>
    <row r="3602" spans="1:11" x14ac:dyDescent="0.2">
      <c r="A3602" t="s">
        <v>3641</v>
      </c>
      <c r="B3602">
        <v>2022</v>
      </c>
      <c r="C3602" t="s">
        <v>33</v>
      </c>
      <c r="D3602">
        <v>353</v>
      </c>
      <c r="E3602" t="s">
        <v>53</v>
      </c>
      <c r="F3602" t="s">
        <v>54</v>
      </c>
      <c r="G3602" t="s">
        <v>15</v>
      </c>
      <c r="H3602">
        <v>0.46058692577733279</v>
      </c>
      <c r="I3602">
        <v>3</v>
      </c>
      <c r="J3602" t="s">
        <v>16</v>
      </c>
      <c r="K3602" s="59" t="s">
        <v>4376</v>
      </c>
    </row>
    <row r="3603" spans="1:11" x14ac:dyDescent="0.2">
      <c r="A3603" t="s">
        <v>3642</v>
      </c>
      <c r="B3603">
        <v>2024</v>
      </c>
      <c r="C3603" t="s">
        <v>33</v>
      </c>
      <c r="D3603">
        <v>124</v>
      </c>
      <c r="E3603" t="s">
        <v>38</v>
      </c>
      <c r="F3603" t="s">
        <v>39</v>
      </c>
      <c r="G3603" t="s">
        <v>15</v>
      </c>
      <c r="H3603">
        <v>0.80168146858277878</v>
      </c>
      <c r="I3603">
        <v>3</v>
      </c>
      <c r="J3603" t="s">
        <v>23</v>
      </c>
      <c r="K3603" s="59" t="s">
        <v>4376</v>
      </c>
    </row>
    <row r="3604" spans="1:11" x14ac:dyDescent="0.2">
      <c r="A3604" t="s">
        <v>3643</v>
      </c>
      <c r="B3604">
        <v>2024</v>
      </c>
      <c r="C3604" t="s">
        <v>33</v>
      </c>
      <c r="D3604">
        <v>124</v>
      </c>
      <c r="E3604" t="s">
        <v>38</v>
      </c>
      <c r="F3604" t="s">
        <v>39</v>
      </c>
      <c r="G3604" t="s">
        <v>15</v>
      </c>
      <c r="H3604">
        <v>0.80168146858277878</v>
      </c>
      <c r="I3604">
        <v>3</v>
      </c>
      <c r="J3604" t="s">
        <v>23</v>
      </c>
      <c r="K3604" s="59" t="s">
        <v>4376</v>
      </c>
    </row>
    <row r="3605" spans="1:11" x14ac:dyDescent="0.2">
      <c r="A3605" t="s">
        <v>3644</v>
      </c>
      <c r="B3605">
        <v>2021</v>
      </c>
      <c r="C3605" t="s">
        <v>33</v>
      </c>
      <c r="D3605">
        <v>440</v>
      </c>
      <c r="E3605" t="s">
        <v>38</v>
      </c>
      <c r="F3605" t="s">
        <v>39</v>
      </c>
      <c r="G3605" t="s">
        <v>15</v>
      </c>
      <c r="H3605">
        <v>0.54780030737985386</v>
      </c>
      <c r="I3605">
        <v>3</v>
      </c>
      <c r="J3605" t="s">
        <v>23</v>
      </c>
      <c r="K3605" s="59" t="s">
        <v>4376</v>
      </c>
    </row>
    <row r="3606" spans="1:11" x14ac:dyDescent="0.2">
      <c r="A3606" t="s">
        <v>3645</v>
      </c>
      <c r="B3606">
        <v>2021</v>
      </c>
      <c r="C3606" t="s">
        <v>33</v>
      </c>
      <c r="D3606">
        <v>399</v>
      </c>
      <c r="E3606" t="s">
        <v>38</v>
      </c>
      <c r="F3606" t="s">
        <v>39</v>
      </c>
      <c r="G3606" t="s">
        <v>15</v>
      </c>
      <c r="H3606">
        <v>0.20729434749458239</v>
      </c>
      <c r="I3606">
        <v>3</v>
      </c>
      <c r="J3606" t="s">
        <v>23</v>
      </c>
      <c r="K3606" s="59" t="s">
        <v>4376</v>
      </c>
    </row>
    <row r="3607" spans="1:11" x14ac:dyDescent="0.2">
      <c r="A3607" t="s">
        <v>3646</v>
      </c>
      <c r="B3607">
        <v>2021</v>
      </c>
      <c r="C3607" t="s">
        <v>33</v>
      </c>
      <c r="D3607">
        <v>440</v>
      </c>
      <c r="E3607" t="s">
        <v>38</v>
      </c>
      <c r="F3607" t="s">
        <v>39</v>
      </c>
      <c r="G3607" t="s">
        <v>15</v>
      </c>
      <c r="H3607">
        <v>0.51117068710679503</v>
      </c>
      <c r="I3607">
        <v>3</v>
      </c>
      <c r="J3607" t="s">
        <v>23</v>
      </c>
      <c r="K3607" s="59" t="s">
        <v>4376</v>
      </c>
    </row>
    <row r="3608" spans="1:11" x14ac:dyDescent="0.2">
      <c r="A3608" t="s">
        <v>3647</v>
      </c>
      <c r="B3608">
        <v>2023</v>
      </c>
      <c r="C3608" t="s">
        <v>33</v>
      </c>
      <c r="D3608">
        <v>383</v>
      </c>
      <c r="E3608" t="s">
        <v>29</v>
      </c>
      <c r="F3608" t="s">
        <v>30</v>
      </c>
      <c r="G3608" t="s">
        <v>15</v>
      </c>
      <c r="H3608">
        <v>0.21436445001295959</v>
      </c>
      <c r="I3608">
        <v>4</v>
      </c>
      <c r="J3608" t="s">
        <v>16</v>
      </c>
      <c r="K3608" s="59" t="s">
        <v>4376</v>
      </c>
    </row>
    <row r="3609" spans="1:11" x14ac:dyDescent="0.2">
      <c r="A3609" t="s">
        <v>3648</v>
      </c>
      <c r="B3609">
        <v>2022</v>
      </c>
      <c r="C3609" t="s">
        <v>33</v>
      </c>
      <c r="D3609">
        <v>353</v>
      </c>
      <c r="E3609" t="s">
        <v>53</v>
      </c>
      <c r="F3609" t="s">
        <v>54</v>
      </c>
      <c r="G3609" t="s">
        <v>15</v>
      </c>
      <c r="H3609">
        <v>0.46058692577733279</v>
      </c>
      <c r="I3609">
        <v>3</v>
      </c>
      <c r="J3609" t="s">
        <v>16</v>
      </c>
      <c r="K3609" s="59" t="s">
        <v>4376</v>
      </c>
    </row>
    <row r="3610" spans="1:11" x14ac:dyDescent="0.2">
      <c r="A3610" t="s">
        <v>3649</v>
      </c>
      <c r="B3610">
        <v>2021</v>
      </c>
      <c r="C3610" t="s">
        <v>33</v>
      </c>
      <c r="D3610">
        <v>441</v>
      </c>
      <c r="E3610" t="s">
        <v>38</v>
      </c>
      <c r="F3610" t="s">
        <v>39</v>
      </c>
      <c r="G3610" t="s">
        <v>15</v>
      </c>
      <c r="H3610">
        <v>0.54780030737985386</v>
      </c>
      <c r="I3610">
        <v>3</v>
      </c>
      <c r="J3610" t="s">
        <v>23</v>
      </c>
      <c r="K3610" s="59" t="s">
        <v>4376</v>
      </c>
    </row>
    <row r="3611" spans="1:11" x14ac:dyDescent="0.2">
      <c r="A3611" t="s">
        <v>3650</v>
      </c>
      <c r="B3611">
        <v>2023</v>
      </c>
      <c r="C3611" t="s">
        <v>33</v>
      </c>
      <c r="D3611">
        <v>383</v>
      </c>
      <c r="E3611" t="s">
        <v>29</v>
      </c>
      <c r="F3611" t="s">
        <v>30</v>
      </c>
      <c r="G3611" t="s">
        <v>15</v>
      </c>
      <c r="H3611">
        <v>0.21436445001295959</v>
      </c>
      <c r="I3611">
        <v>4</v>
      </c>
      <c r="J3611" t="s">
        <v>16</v>
      </c>
      <c r="K3611" s="59" t="s">
        <v>4376</v>
      </c>
    </row>
    <row r="3612" spans="1:11" x14ac:dyDescent="0.2">
      <c r="A3612" t="s">
        <v>3651</v>
      </c>
      <c r="B3612">
        <v>2024</v>
      </c>
      <c r="C3612" t="s">
        <v>33</v>
      </c>
      <c r="D3612">
        <v>124</v>
      </c>
      <c r="E3612" t="s">
        <v>38</v>
      </c>
      <c r="F3612" t="s">
        <v>39</v>
      </c>
      <c r="G3612" t="s">
        <v>15</v>
      </c>
      <c r="H3612">
        <v>0.80168146858277878</v>
      </c>
      <c r="I3612">
        <v>3</v>
      </c>
      <c r="J3612" t="s">
        <v>23</v>
      </c>
      <c r="K3612" s="59" t="s">
        <v>4376</v>
      </c>
    </row>
    <row r="3613" spans="1:11" x14ac:dyDescent="0.2">
      <c r="A3613" t="s">
        <v>3652</v>
      </c>
      <c r="B3613">
        <v>2024</v>
      </c>
      <c r="C3613" t="s">
        <v>33</v>
      </c>
      <c r="D3613">
        <v>124</v>
      </c>
      <c r="E3613" t="s">
        <v>38</v>
      </c>
      <c r="F3613" t="s">
        <v>39</v>
      </c>
      <c r="G3613" t="s">
        <v>15</v>
      </c>
      <c r="H3613">
        <v>0.80168146858277878</v>
      </c>
      <c r="I3613">
        <v>3</v>
      </c>
      <c r="J3613" t="s">
        <v>23</v>
      </c>
      <c r="K3613" s="59" t="s">
        <v>4376</v>
      </c>
    </row>
    <row r="3614" spans="1:11" x14ac:dyDescent="0.2">
      <c r="A3614" t="s">
        <v>3653</v>
      </c>
      <c r="B3614">
        <v>2024</v>
      </c>
      <c r="C3614" t="s">
        <v>33</v>
      </c>
      <c r="D3614">
        <v>124</v>
      </c>
      <c r="E3614" t="s">
        <v>38</v>
      </c>
      <c r="F3614" t="s">
        <v>39</v>
      </c>
      <c r="G3614" t="s">
        <v>15</v>
      </c>
      <c r="H3614">
        <v>0.80168146858277878</v>
      </c>
      <c r="I3614">
        <v>3</v>
      </c>
      <c r="J3614" t="s">
        <v>23</v>
      </c>
      <c r="K3614" s="59" t="s">
        <v>4376</v>
      </c>
    </row>
    <row r="3615" spans="1:11" x14ac:dyDescent="0.2">
      <c r="A3615" t="s">
        <v>3654</v>
      </c>
      <c r="B3615">
        <v>2024</v>
      </c>
      <c r="C3615" t="s">
        <v>33</v>
      </c>
      <c r="D3615">
        <v>124</v>
      </c>
      <c r="E3615" t="s">
        <v>38</v>
      </c>
      <c r="F3615" t="s">
        <v>39</v>
      </c>
      <c r="G3615" t="s">
        <v>15</v>
      </c>
      <c r="H3615">
        <v>0.80168146858277878</v>
      </c>
      <c r="I3615">
        <v>3</v>
      </c>
      <c r="J3615" t="s">
        <v>23</v>
      </c>
      <c r="K3615" s="59" t="s">
        <v>17</v>
      </c>
    </row>
    <row r="3616" spans="1:11" x14ac:dyDescent="0.2">
      <c r="A3616" t="s">
        <v>3655</v>
      </c>
      <c r="B3616">
        <v>2022</v>
      </c>
      <c r="C3616" t="s">
        <v>33</v>
      </c>
      <c r="D3616">
        <v>353</v>
      </c>
      <c r="E3616" t="s">
        <v>53</v>
      </c>
      <c r="F3616" t="s">
        <v>54</v>
      </c>
      <c r="G3616" t="s">
        <v>15</v>
      </c>
      <c r="H3616">
        <v>0.46058692577733279</v>
      </c>
      <c r="I3616">
        <v>3</v>
      </c>
      <c r="J3616" t="s">
        <v>16</v>
      </c>
      <c r="K3616" s="59" t="s">
        <v>4376</v>
      </c>
    </row>
    <row r="3617" spans="1:11" x14ac:dyDescent="0.2">
      <c r="A3617" t="s">
        <v>3656</v>
      </c>
      <c r="B3617">
        <v>2024</v>
      </c>
      <c r="C3617" t="s">
        <v>33</v>
      </c>
      <c r="D3617">
        <v>126</v>
      </c>
      <c r="E3617" t="s">
        <v>38</v>
      </c>
      <c r="F3617" t="s">
        <v>39</v>
      </c>
      <c r="G3617" t="s">
        <v>15</v>
      </c>
      <c r="H3617">
        <v>0.80855353644230632</v>
      </c>
      <c r="I3617">
        <v>3</v>
      </c>
      <c r="J3617" t="s">
        <v>23</v>
      </c>
      <c r="K3617" s="59" t="s">
        <v>4376</v>
      </c>
    </row>
    <row r="3618" spans="1:11" x14ac:dyDescent="0.2">
      <c r="A3618" t="s">
        <v>3657</v>
      </c>
      <c r="B3618">
        <v>2024</v>
      </c>
      <c r="C3618" t="s">
        <v>33</v>
      </c>
      <c r="D3618">
        <v>124</v>
      </c>
      <c r="E3618" t="s">
        <v>38</v>
      </c>
      <c r="F3618" t="s">
        <v>39</v>
      </c>
      <c r="G3618" t="s">
        <v>15</v>
      </c>
      <c r="H3618">
        <v>0.80168146858277878</v>
      </c>
      <c r="I3618">
        <v>3</v>
      </c>
      <c r="J3618" t="s">
        <v>23</v>
      </c>
      <c r="K3618" s="59" t="s">
        <v>4376</v>
      </c>
    </row>
    <row r="3619" spans="1:11" x14ac:dyDescent="0.2">
      <c r="A3619" t="s">
        <v>3658</v>
      </c>
      <c r="B3619">
        <v>2023</v>
      </c>
      <c r="C3619" t="s">
        <v>33</v>
      </c>
      <c r="D3619">
        <v>816</v>
      </c>
      <c r="E3619" t="s">
        <v>13</v>
      </c>
      <c r="F3619" t="s">
        <v>14</v>
      </c>
      <c r="G3619" t="s">
        <v>48</v>
      </c>
      <c r="H3619">
        <v>0.15547659807014799</v>
      </c>
      <c r="I3619">
        <v>4</v>
      </c>
      <c r="J3619" t="s">
        <v>23</v>
      </c>
      <c r="K3619" s="59" t="s">
        <v>17</v>
      </c>
    </row>
    <row r="3620" spans="1:11" x14ac:dyDescent="0.2">
      <c r="A3620" t="s">
        <v>3659</v>
      </c>
      <c r="B3620">
        <v>2023</v>
      </c>
      <c r="C3620" t="s">
        <v>33</v>
      </c>
      <c r="D3620">
        <v>383</v>
      </c>
      <c r="E3620" t="s">
        <v>29</v>
      </c>
      <c r="F3620" t="s">
        <v>30</v>
      </c>
      <c r="G3620" t="s">
        <v>15</v>
      </c>
      <c r="H3620">
        <v>0.21436445001295959</v>
      </c>
      <c r="I3620">
        <v>4</v>
      </c>
      <c r="J3620" t="s">
        <v>16</v>
      </c>
      <c r="K3620" s="59" t="s">
        <v>4376</v>
      </c>
    </row>
    <row r="3621" spans="1:11" x14ac:dyDescent="0.2">
      <c r="A3621" t="s">
        <v>3660</v>
      </c>
      <c r="B3621">
        <v>2021</v>
      </c>
      <c r="C3621" t="s">
        <v>33</v>
      </c>
      <c r="D3621">
        <v>398</v>
      </c>
      <c r="E3621" t="s">
        <v>29</v>
      </c>
      <c r="F3621" t="s">
        <v>30</v>
      </c>
      <c r="G3621" t="s">
        <v>15</v>
      </c>
      <c r="H3621">
        <v>0.43743819565275671</v>
      </c>
      <c r="I3621">
        <v>4</v>
      </c>
      <c r="J3621" t="s">
        <v>23</v>
      </c>
      <c r="K3621" s="59" t="s">
        <v>16</v>
      </c>
    </row>
    <row r="3622" spans="1:11" x14ac:dyDescent="0.2">
      <c r="A3622" t="s">
        <v>3661</v>
      </c>
      <c r="B3622">
        <v>2024</v>
      </c>
      <c r="C3622" t="s">
        <v>33</v>
      </c>
      <c r="D3622">
        <v>124</v>
      </c>
      <c r="E3622" t="s">
        <v>38</v>
      </c>
      <c r="F3622" t="s">
        <v>39</v>
      </c>
      <c r="G3622" t="s">
        <v>15</v>
      </c>
      <c r="H3622">
        <v>0.80168146858277878</v>
      </c>
      <c r="I3622">
        <v>3</v>
      </c>
      <c r="J3622" t="s">
        <v>23</v>
      </c>
      <c r="K3622" s="59" t="s">
        <v>4376</v>
      </c>
    </row>
    <row r="3623" spans="1:11" x14ac:dyDescent="0.2">
      <c r="A3623" t="s">
        <v>3662</v>
      </c>
      <c r="B3623">
        <v>2022</v>
      </c>
      <c r="C3623" t="s">
        <v>33</v>
      </c>
      <c r="D3623">
        <v>353</v>
      </c>
      <c r="E3623" t="s">
        <v>53</v>
      </c>
      <c r="F3623" t="s">
        <v>54</v>
      </c>
      <c r="G3623" t="s">
        <v>15</v>
      </c>
      <c r="H3623">
        <v>0.46058692577733279</v>
      </c>
      <c r="I3623">
        <v>3</v>
      </c>
      <c r="J3623" t="s">
        <v>16</v>
      </c>
      <c r="K3623" s="59" t="s">
        <v>4376</v>
      </c>
    </row>
    <row r="3624" spans="1:11" x14ac:dyDescent="0.2">
      <c r="A3624" t="s">
        <v>3663</v>
      </c>
      <c r="B3624">
        <v>2024</v>
      </c>
      <c r="C3624" t="s">
        <v>19</v>
      </c>
      <c r="D3624">
        <v>124</v>
      </c>
      <c r="E3624" t="s">
        <v>38</v>
      </c>
      <c r="F3624" t="s">
        <v>39</v>
      </c>
      <c r="G3624" t="s">
        <v>15</v>
      </c>
      <c r="H3624">
        <v>0.80168146858277878</v>
      </c>
      <c r="I3624">
        <v>3</v>
      </c>
      <c r="J3624" t="s">
        <v>23</v>
      </c>
      <c r="K3624" s="59" t="s">
        <v>17</v>
      </c>
    </row>
    <row r="3625" spans="1:11" x14ac:dyDescent="0.2">
      <c r="A3625" t="s">
        <v>3664</v>
      </c>
      <c r="B3625">
        <v>2021</v>
      </c>
      <c r="C3625" t="s">
        <v>33</v>
      </c>
      <c r="D3625">
        <v>440</v>
      </c>
      <c r="E3625" t="s">
        <v>38</v>
      </c>
      <c r="F3625" t="s">
        <v>39</v>
      </c>
      <c r="G3625" t="s">
        <v>15</v>
      </c>
      <c r="H3625">
        <v>0.51117068710679503</v>
      </c>
      <c r="I3625">
        <v>3</v>
      </c>
      <c r="J3625" t="s">
        <v>23</v>
      </c>
      <c r="K3625" s="59" t="s">
        <v>17</v>
      </c>
    </row>
    <row r="3626" spans="1:11" x14ac:dyDescent="0.2">
      <c r="A3626" t="s">
        <v>3665</v>
      </c>
      <c r="B3626">
        <v>2023</v>
      </c>
      <c r="C3626" t="s">
        <v>33</v>
      </c>
      <c r="D3626">
        <v>383</v>
      </c>
      <c r="E3626" t="s">
        <v>29</v>
      </c>
      <c r="F3626" t="s">
        <v>30</v>
      </c>
      <c r="G3626" t="s">
        <v>15</v>
      </c>
      <c r="H3626">
        <v>0.21436445001295959</v>
      </c>
      <c r="I3626">
        <v>4</v>
      </c>
      <c r="J3626" t="s">
        <v>16</v>
      </c>
      <c r="K3626" s="59" t="s">
        <v>4376</v>
      </c>
    </row>
    <row r="3627" spans="1:11" x14ac:dyDescent="0.2">
      <c r="A3627" t="s">
        <v>3666</v>
      </c>
      <c r="B3627">
        <v>2024</v>
      </c>
      <c r="C3627" t="s">
        <v>33</v>
      </c>
      <c r="D3627">
        <v>125</v>
      </c>
      <c r="E3627" t="s">
        <v>38</v>
      </c>
      <c r="F3627" t="s">
        <v>39</v>
      </c>
      <c r="G3627" t="s">
        <v>15</v>
      </c>
      <c r="H3627">
        <v>0.80168146858277878</v>
      </c>
      <c r="I3627">
        <v>3</v>
      </c>
      <c r="J3627" t="s">
        <v>23</v>
      </c>
      <c r="K3627" s="59" t="s">
        <v>4376</v>
      </c>
    </row>
    <row r="3628" spans="1:11" x14ac:dyDescent="0.2">
      <c r="A3628" t="s">
        <v>3667</v>
      </c>
      <c r="B3628">
        <v>2022</v>
      </c>
      <c r="C3628" t="s">
        <v>33</v>
      </c>
      <c r="D3628">
        <v>353</v>
      </c>
      <c r="E3628" t="s">
        <v>53</v>
      </c>
      <c r="F3628" t="s">
        <v>54</v>
      </c>
      <c r="G3628" t="s">
        <v>15</v>
      </c>
      <c r="H3628">
        <v>0.46058692577733279</v>
      </c>
      <c r="I3628">
        <v>3</v>
      </c>
      <c r="J3628" t="s">
        <v>16</v>
      </c>
      <c r="K3628" s="59" t="s">
        <v>4376</v>
      </c>
    </row>
    <row r="3629" spans="1:11" x14ac:dyDescent="0.2">
      <c r="A3629" t="s">
        <v>3668</v>
      </c>
      <c r="B3629">
        <v>2024</v>
      </c>
      <c r="C3629" t="s">
        <v>33</v>
      </c>
      <c r="D3629">
        <v>124</v>
      </c>
      <c r="E3629" t="s">
        <v>38</v>
      </c>
      <c r="F3629" t="s">
        <v>39</v>
      </c>
      <c r="G3629" t="s">
        <v>15</v>
      </c>
      <c r="H3629">
        <v>0.80168146858277878</v>
      </c>
      <c r="I3629">
        <v>3</v>
      </c>
      <c r="J3629" t="s">
        <v>23</v>
      </c>
      <c r="K3629" s="59" t="s">
        <v>4376</v>
      </c>
    </row>
    <row r="3630" spans="1:11" x14ac:dyDescent="0.2">
      <c r="A3630" t="s">
        <v>3669</v>
      </c>
      <c r="B3630">
        <v>2021</v>
      </c>
      <c r="C3630" t="s">
        <v>33</v>
      </c>
      <c r="D3630">
        <v>345</v>
      </c>
      <c r="E3630" t="s">
        <v>25</v>
      </c>
      <c r="F3630" t="s">
        <v>26</v>
      </c>
      <c r="G3630" t="s">
        <v>36</v>
      </c>
      <c r="H3630">
        <v>1.136725639314961</v>
      </c>
      <c r="I3630">
        <v>2</v>
      </c>
      <c r="J3630" t="s">
        <v>16</v>
      </c>
      <c r="K3630" s="59" t="s">
        <v>4376</v>
      </c>
    </row>
    <row r="3631" spans="1:11" x14ac:dyDescent="0.2">
      <c r="A3631" t="s">
        <v>3670</v>
      </c>
      <c r="B3631">
        <v>2024</v>
      </c>
      <c r="C3631" t="s">
        <v>33</v>
      </c>
      <c r="D3631">
        <v>125</v>
      </c>
      <c r="E3631" t="s">
        <v>38</v>
      </c>
      <c r="F3631" t="s">
        <v>39</v>
      </c>
      <c r="G3631" t="s">
        <v>15</v>
      </c>
      <c r="H3631">
        <v>1.207133472294913</v>
      </c>
      <c r="I3631">
        <v>3</v>
      </c>
      <c r="J3631" t="s">
        <v>23</v>
      </c>
      <c r="K3631" s="59" t="s">
        <v>4376</v>
      </c>
    </row>
    <row r="3632" spans="1:11" x14ac:dyDescent="0.2">
      <c r="A3632" t="s">
        <v>3671</v>
      </c>
      <c r="B3632">
        <v>2024</v>
      </c>
      <c r="C3632" t="s">
        <v>33</v>
      </c>
      <c r="D3632">
        <v>125</v>
      </c>
      <c r="E3632" t="s">
        <v>38</v>
      </c>
      <c r="F3632" t="s">
        <v>39</v>
      </c>
      <c r="G3632" t="s">
        <v>15</v>
      </c>
      <c r="H3632">
        <v>0.80168146858277878</v>
      </c>
      <c r="I3632">
        <v>3</v>
      </c>
      <c r="J3632" t="s">
        <v>23</v>
      </c>
      <c r="K3632" s="59" t="s">
        <v>4376</v>
      </c>
    </row>
    <row r="3633" spans="1:11" x14ac:dyDescent="0.2">
      <c r="A3633" t="s">
        <v>3672</v>
      </c>
      <c r="B3633">
        <v>2024</v>
      </c>
      <c r="C3633" t="s">
        <v>19</v>
      </c>
      <c r="D3633">
        <v>124</v>
      </c>
      <c r="E3633" t="s">
        <v>38</v>
      </c>
      <c r="F3633" t="s">
        <v>39</v>
      </c>
      <c r="G3633" t="s">
        <v>15</v>
      </c>
      <c r="H3633">
        <v>0.80168146858277878</v>
      </c>
      <c r="I3633">
        <v>3</v>
      </c>
      <c r="J3633" t="s">
        <v>23</v>
      </c>
      <c r="K3633" s="59" t="s">
        <v>17</v>
      </c>
    </row>
    <row r="3634" spans="1:11" x14ac:dyDescent="0.2">
      <c r="A3634" t="s">
        <v>3673</v>
      </c>
      <c r="B3634">
        <v>2022</v>
      </c>
      <c r="C3634" t="s">
        <v>33</v>
      </c>
      <c r="D3634">
        <v>353</v>
      </c>
      <c r="E3634" t="s">
        <v>53</v>
      </c>
      <c r="F3634" t="s">
        <v>54</v>
      </c>
      <c r="G3634" t="s">
        <v>15</v>
      </c>
      <c r="H3634">
        <v>0.46058692577733279</v>
      </c>
      <c r="I3634">
        <v>3</v>
      </c>
      <c r="J3634" t="s">
        <v>16</v>
      </c>
      <c r="K3634" s="59" t="s">
        <v>4376</v>
      </c>
    </row>
    <row r="3635" spans="1:11" x14ac:dyDescent="0.2">
      <c r="A3635" t="s">
        <v>3674</v>
      </c>
      <c r="B3635">
        <v>2022</v>
      </c>
      <c r="C3635" t="s">
        <v>33</v>
      </c>
      <c r="D3635">
        <v>353</v>
      </c>
      <c r="E3635" t="s">
        <v>53</v>
      </c>
      <c r="F3635" t="s">
        <v>54</v>
      </c>
      <c r="G3635" t="s">
        <v>15</v>
      </c>
      <c r="H3635">
        <v>0.46058692577733279</v>
      </c>
      <c r="I3635">
        <v>3</v>
      </c>
      <c r="J3635" t="s">
        <v>16</v>
      </c>
      <c r="K3635" s="59" t="s">
        <v>4376</v>
      </c>
    </row>
    <row r="3636" spans="1:11" x14ac:dyDescent="0.2">
      <c r="A3636" t="s">
        <v>3675</v>
      </c>
      <c r="B3636">
        <v>2023</v>
      </c>
      <c r="C3636" t="s">
        <v>33</v>
      </c>
      <c r="D3636">
        <v>383</v>
      </c>
      <c r="E3636" t="s">
        <v>29</v>
      </c>
      <c r="F3636" t="s">
        <v>30</v>
      </c>
      <c r="G3636" t="s">
        <v>15</v>
      </c>
      <c r="H3636">
        <v>0.21436445001295959</v>
      </c>
      <c r="I3636">
        <v>4</v>
      </c>
      <c r="J3636" t="s">
        <v>16</v>
      </c>
      <c r="K3636" s="59" t="s">
        <v>17</v>
      </c>
    </row>
    <row r="3637" spans="1:11" x14ac:dyDescent="0.2">
      <c r="A3637" t="s">
        <v>3676</v>
      </c>
      <c r="B3637">
        <v>2021</v>
      </c>
      <c r="C3637" t="s">
        <v>19</v>
      </c>
      <c r="D3637">
        <v>302</v>
      </c>
      <c r="E3637" t="s">
        <v>38</v>
      </c>
      <c r="F3637" t="s">
        <v>39</v>
      </c>
      <c r="G3637" t="s">
        <v>15</v>
      </c>
      <c r="H3637">
        <v>0.1382145534174688</v>
      </c>
      <c r="I3637">
        <v>3</v>
      </c>
      <c r="J3637" t="s">
        <v>23</v>
      </c>
      <c r="K3637" s="59" t="s">
        <v>16</v>
      </c>
    </row>
    <row r="3638" spans="1:11" x14ac:dyDescent="0.2">
      <c r="A3638" t="s">
        <v>3677</v>
      </c>
      <c r="B3638">
        <v>2022</v>
      </c>
      <c r="C3638" t="s">
        <v>19</v>
      </c>
      <c r="D3638">
        <v>352</v>
      </c>
      <c r="E3638" t="s">
        <v>53</v>
      </c>
      <c r="F3638" t="s">
        <v>54</v>
      </c>
      <c r="G3638" t="s">
        <v>36</v>
      </c>
      <c r="H3638">
        <v>5.4377775466296963E-2</v>
      </c>
      <c r="I3638">
        <v>3</v>
      </c>
      <c r="J3638" t="s">
        <v>16</v>
      </c>
      <c r="K3638" s="59" t="s">
        <v>23</v>
      </c>
    </row>
    <row r="3639" spans="1:11" x14ac:dyDescent="0.2">
      <c r="A3639" t="s">
        <v>3678</v>
      </c>
      <c r="B3639">
        <v>2024</v>
      </c>
      <c r="C3639" t="s">
        <v>33</v>
      </c>
      <c r="D3639">
        <v>124</v>
      </c>
      <c r="E3639" t="s">
        <v>38</v>
      </c>
      <c r="F3639" t="s">
        <v>39</v>
      </c>
      <c r="G3639" t="s">
        <v>15</v>
      </c>
      <c r="H3639">
        <v>0.80168146858277878</v>
      </c>
      <c r="I3639">
        <v>3</v>
      </c>
      <c r="J3639" t="s">
        <v>23</v>
      </c>
      <c r="K3639" s="59" t="s">
        <v>4376</v>
      </c>
    </row>
    <row r="3640" spans="1:11" x14ac:dyDescent="0.2">
      <c r="A3640" t="s">
        <v>3679</v>
      </c>
      <c r="B3640">
        <v>2022</v>
      </c>
      <c r="C3640" t="s">
        <v>12</v>
      </c>
      <c r="D3640">
        <v>352</v>
      </c>
      <c r="E3640" t="s">
        <v>53</v>
      </c>
      <c r="F3640" t="s">
        <v>54</v>
      </c>
      <c r="G3640" t="s">
        <v>36</v>
      </c>
      <c r="H3640">
        <v>5.4377775466296963E-2</v>
      </c>
      <c r="I3640">
        <v>3</v>
      </c>
      <c r="J3640" t="s">
        <v>16</v>
      </c>
      <c r="K3640" s="59" t="s">
        <v>16</v>
      </c>
    </row>
    <row r="3641" spans="1:11" x14ac:dyDescent="0.2">
      <c r="A3641" t="s">
        <v>3680</v>
      </c>
      <c r="B3641">
        <v>2024</v>
      </c>
      <c r="C3641" t="s">
        <v>12</v>
      </c>
      <c r="D3641">
        <v>124</v>
      </c>
      <c r="E3641" t="s">
        <v>38</v>
      </c>
      <c r="F3641" t="s">
        <v>39</v>
      </c>
      <c r="G3641" t="s">
        <v>15</v>
      </c>
      <c r="H3641">
        <v>0.80168146858277878</v>
      </c>
      <c r="I3641">
        <v>3</v>
      </c>
      <c r="J3641" t="s">
        <v>23</v>
      </c>
      <c r="K3641" s="59" t="s">
        <v>23</v>
      </c>
    </row>
    <row r="3642" spans="1:11" x14ac:dyDescent="0.2">
      <c r="A3642" t="s">
        <v>3681</v>
      </c>
      <c r="B3642">
        <v>2021</v>
      </c>
      <c r="C3642" t="s">
        <v>19</v>
      </c>
      <c r="D3642">
        <v>349</v>
      </c>
      <c r="E3642" t="s">
        <v>25</v>
      </c>
      <c r="F3642" t="s">
        <v>26</v>
      </c>
      <c r="G3642" t="s">
        <v>41</v>
      </c>
      <c r="H3642">
        <v>1.137558868107623</v>
      </c>
      <c r="I3642">
        <v>2</v>
      </c>
      <c r="J3642" t="s">
        <v>16</v>
      </c>
      <c r="K3642" s="59" t="s">
        <v>17</v>
      </c>
    </row>
    <row r="3643" spans="1:11" x14ac:dyDescent="0.2">
      <c r="A3643" t="s">
        <v>3682</v>
      </c>
      <c r="B3643">
        <v>2022</v>
      </c>
      <c r="C3643" t="s">
        <v>33</v>
      </c>
      <c r="D3643">
        <v>353</v>
      </c>
      <c r="E3643" t="s">
        <v>53</v>
      </c>
      <c r="F3643" t="s">
        <v>54</v>
      </c>
      <c r="G3643" t="s">
        <v>15</v>
      </c>
      <c r="H3643">
        <v>0.46058692577733279</v>
      </c>
      <c r="I3643">
        <v>3</v>
      </c>
      <c r="J3643" t="s">
        <v>16</v>
      </c>
      <c r="K3643" s="59" t="s">
        <v>4376</v>
      </c>
    </row>
    <row r="3644" spans="1:11" x14ac:dyDescent="0.2">
      <c r="A3644" t="s">
        <v>3683</v>
      </c>
      <c r="B3644">
        <v>2022</v>
      </c>
      <c r="C3644" t="s">
        <v>19</v>
      </c>
      <c r="D3644">
        <v>352</v>
      </c>
      <c r="E3644" t="s">
        <v>53</v>
      </c>
      <c r="F3644" t="s">
        <v>54</v>
      </c>
      <c r="G3644" t="s">
        <v>36</v>
      </c>
      <c r="H3644">
        <v>5.4377775466296963E-2</v>
      </c>
      <c r="I3644">
        <v>3</v>
      </c>
      <c r="J3644" t="s">
        <v>16</v>
      </c>
      <c r="K3644" s="59" t="s">
        <v>16</v>
      </c>
    </row>
    <row r="3645" spans="1:11" x14ac:dyDescent="0.2">
      <c r="A3645" t="s">
        <v>3684</v>
      </c>
      <c r="B3645">
        <v>2022</v>
      </c>
      <c r="C3645" t="s">
        <v>12</v>
      </c>
      <c r="D3645">
        <v>352</v>
      </c>
      <c r="E3645" t="s">
        <v>53</v>
      </c>
      <c r="F3645" t="s">
        <v>54</v>
      </c>
      <c r="G3645" t="s">
        <v>36</v>
      </c>
      <c r="H3645">
        <v>5.4377775466296963E-2</v>
      </c>
      <c r="I3645">
        <v>3</v>
      </c>
      <c r="J3645" t="s">
        <v>16</v>
      </c>
      <c r="K3645" s="59" t="s">
        <v>17</v>
      </c>
    </row>
    <row r="3646" spans="1:11" x14ac:dyDescent="0.2">
      <c r="A3646" t="s">
        <v>3685</v>
      </c>
      <c r="B3646">
        <v>2022</v>
      </c>
      <c r="C3646" t="s">
        <v>12</v>
      </c>
      <c r="D3646">
        <v>352</v>
      </c>
      <c r="E3646" t="s">
        <v>53</v>
      </c>
      <c r="F3646" t="s">
        <v>54</v>
      </c>
      <c r="G3646" t="s">
        <v>36</v>
      </c>
      <c r="H3646">
        <v>5.4377775466296963E-2</v>
      </c>
      <c r="I3646">
        <v>3</v>
      </c>
      <c r="J3646" t="s">
        <v>16</v>
      </c>
      <c r="K3646" s="59" t="s">
        <v>17</v>
      </c>
    </row>
    <row r="3647" spans="1:11" x14ac:dyDescent="0.2">
      <c r="A3647" t="s">
        <v>3686</v>
      </c>
      <c r="B3647">
        <v>2024</v>
      </c>
      <c r="C3647" t="s">
        <v>19</v>
      </c>
      <c r="D3647">
        <v>124</v>
      </c>
      <c r="E3647" t="s">
        <v>38</v>
      </c>
      <c r="F3647" t="s">
        <v>39</v>
      </c>
      <c r="G3647" t="s">
        <v>15</v>
      </c>
      <c r="H3647">
        <v>0.80168146858277878</v>
      </c>
      <c r="I3647">
        <v>3</v>
      </c>
      <c r="J3647" t="s">
        <v>23</v>
      </c>
      <c r="K3647" s="59" t="s">
        <v>16</v>
      </c>
    </row>
    <row r="3648" spans="1:11" x14ac:dyDescent="0.2">
      <c r="A3648" t="s">
        <v>3687</v>
      </c>
      <c r="B3648">
        <v>2023</v>
      </c>
      <c r="C3648" t="s">
        <v>33</v>
      </c>
      <c r="D3648">
        <v>383</v>
      </c>
      <c r="E3648" t="s">
        <v>29</v>
      </c>
      <c r="F3648" t="s">
        <v>30</v>
      </c>
      <c r="G3648" t="s">
        <v>15</v>
      </c>
      <c r="H3648">
        <v>0.21436445001295959</v>
      </c>
      <c r="I3648">
        <v>4</v>
      </c>
      <c r="J3648" t="s">
        <v>16</v>
      </c>
      <c r="K3648" s="59" t="s">
        <v>4376</v>
      </c>
    </row>
    <row r="3649" spans="1:11" x14ac:dyDescent="0.2">
      <c r="A3649" t="s">
        <v>3688</v>
      </c>
      <c r="B3649">
        <v>2021</v>
      </c>
      <c r="C3649" t="s">
        <v>12</v>
      </c>
      <c r="D3649">
        <v>260</v>
      </c>
      <c r="E3649" t="s">
        <v>29</v>
      </c>
      <c r="F3649" t="s">
        <v>30</v>
      </c>
      <c r="G3649" t="s">
        <v>15</v>
      </c>
      <c r="H3649">
        <v>0.93786382097464049</v>
      </c>
      <c r="I3649">
        <v>4</v>
      </c>
      <c r="J3649" t="s">
        <v>23</v>
      </c>
      <c r="K3649" s="59" t="s">
        <v>23</v>
      </c>
    </row>
    <row r="3650" spans="1:11" x14ac:dyDescent="0.2">
      <c r="A3650" t="s">
        <v>3689</v>
      </c>
      <c r="B3650">
        <v>2021</v>
      </c>
      <c r="C3650" t="s">
        <v>33</v>
      </c>
      <c r="D3650">
        <v>441</v>
      </c>
      <c r="E3650" t="s">
        <v>38</v>
      </c>
      <c r="F3650" t="s">
        <v>39</v>
      </c>
      <c r="G3650" t="s">
        <v>15</v>
      </c>
      <c r="H3650">
        <v>0.51117068710679503</v>
      </c>
      <c r="I3650">
        <v>3</v>
      </c>
      <c r="J3650" t="s">
        <v>23</v>
      </c>
      <c r="K3650" s="59" t="s">
        <v>16</v>
      </c>
    </row>
    <row r="3651" spans="1:11" x14ac:dyDescent="0.2">
      <c r="A3651" t="s">
        <v>3690</v>
      </c>
      <c r="B3651">
        <v>2024</v>
      </c>
      <c r="C3651" t="s">
        <v>19</v>
      </c>
      <c r="D3651">
        <v>124</v>
      </c>
      <c r="E3651" t="s">
        <v>38</v>
      </c>
      <c r="F3651" t="s">
        <v>39</v>
      </c>
      <c r="G3651" t="s">
        <v>15</v>
      </c>
      <c r="H3651">
        <v>0.80168146858277878</v>
      </c>
      <c r="I3651">
        <v>3</v>
      </c>
      <c r="J3651" t="s">
        <v>23</v>
      </c>
      <c r="K3651" s="59" t="s">
        <v>23</v>
      </c>
    </row>
    <row r="3652" spans="1:11" x14ac:dyDescent="0.2">
      <c r="A3652" t="s">
        <v>3691</v>
      </c>
      <c r="B3652">
        <v>2024</v>
      </c>
      <c r="C3652" t="s">
        <v>33</v>
      </c>
      <c r="D3652">
        <v>124</v>
      </c>
      <c r="E3652" t="s">
        <v>38</v>
      </c>
      <c r="F3652" t="s">
        <v>39</v>
      </c>
      <c r="G3652" t="s">
        <v>15</v>
      </c>
      <c r="H3652">
        <v>0.80168146858277878</v>
      </c>
      <c r="I3652">
        <v>3</v>
      </c>
      <c r="J3652" t="s">
        <v>23</v>
      </c>
      <c r="K3652" s="59" t="s">
        <v>4376</v>
      </c>
    </row>
    <row r="3653" spans="1:11" x14ac:dyDescent="0.2">
      <c r="A3653" t="s">
        <v>3692</v>
      </c>
      <c r="B3653">
        <v>2022</v>
      </c>
      <c r="C3653" t="s">
        <v>33</v>
      </c>
      <c r="D3653">
        <v>353</v>
      </c>
      <c r="E3653" t="s">
        <v>53</v>
      </c>
      <c r="F3653" t="s">
        <v>54</v>
      </c>
      <c r="G3653" t="s">
        <v>15</v>
      </c>
      <c r="H3653">
        <v>0.46058692577733279</v>
      </c>
      <c r="I3653">
        <v>3</v>
      </c>
      <c r="J3653" t="s">
        <v>16</v>
      </c>
      <c r="K3653" s="59" t="s">
        <v>4376</v>
      </c>
    </row>
    <row r="3654" spans="1:11" x14ac:dyDescent="0.2">
      <c r="A3654" t="s">
        <v>3693</v>
      </c>
      <c r="B3654">
        <v>2021</v>
      </c>
      <c r="C3654" t="s">
        <v>12</v>
      </c>
      <c r="D3654">
        <v>382</v>
      </c>
      <c r="E3654" t="s">
        <v>29</v>
      </c>
      <c r="F3654" t="s">
        <v>30</v>
      </c>
      <c r="G3654" t="s">
        <v>15</v>
      </c>
      <c r="H3654">
        <v>-0.1911280323988247</v>
      </c>
      <c r="I3654">
        <v>4</v>
      </c>
      <c r="J3654" t="s">
        <v>17</v>
      </c>
      <c r="K3654" s="59" t="s">
        <v>17</v>
      </c>
    </row>
    <row r="3655" spans="1:11" x14ac:dyDescent="0.2">
      <c r="A3655" t="s">
        <v>3694</v>
      </c>
      <c r="B3655">
        <v>2023</v>
      </c>
      <c r="C3655" t="s">
        <v>33</v>
      </c>
      <c r="D3655">
        <v>383</v>
      </c>
      <c r="E3655" t="s">
        <v>29</v>
      </c>
      <c r="F3655" t="s">
        <v>30</v>
      </c>
      <c r="G3655" t="s">
        <v>15</v>
      </c>
      <c r="H3655">
        <v>0.21436445001295959</v>
      </c>
      <c r="I3655">
        <v>4</v>
      </c>
      <c r="J3655" t="s">
        <v>16</v>
      </c>
      <c r="K3655" s="59" t="s">
        <v>4376</v>
      </c>
    </row>
    <row r="3656" spans="1:11" x14ac:dyDescent="0.2">
      <c r="A3656" t="s">
        <v>3695</v>
      </c>
      <c r="B3656">
        <v>2023</v>
      </c>
      <c r="C3656" t="s">
        <v>19</v>
      </c>
      <c r="D3656">
        <v>77</v>
      </c>
      <c r="E3656" t="s">
        <v>13</v>
      </c>
      <c r="F3656" t="s">
        <v>14</v>
      </c>
      <c r="G3656" t="s">
        <v>48</v>
      </c>
      <c r="H3656">
        <v>-0.67416382492938842</v>
      </c>
      <c r="I3656">
        <v>4</v>
      </c>
      <c r="J3656" t="s">
        <v>23</v>
      </c>
      <c r="K3656" s="59" t="s">
        <v>17</v>
      </c>
    </row>
    <row r="3657" spans="1:11" x14ac:dyDescent="0.2">
      <c r="A3657" t="s">
        <v>3696</v>
      </c>
      <c r="B3657">
        <v>2024</v>
      </c>
      <c r="C3657" t="s">
        <v>33</v>
      </c>
      <c r="D3657">
        <v>125</v>
      </c>
      <c r="E3657" t="s">
        <v>38</v>
      </c>
      <c r="F3657" t="s">
        <v>39</v>
      </c>
      <c r="G3657" t="s">
        <v>15</v>
      </c>
      <c r="H3657">
        <v>0.80168146858277878</v>
      </c>
      <c r="I3657">
        <v>3</v>
      </c>
      <c r="J3657" t="s">
        <v>23</v>
      </c>
      <c r="K3657" s="59" t="s">
        <v>4376</v>
      </c>
    </row>
    <row r="3658" spans="1:11" x14ac:dyDescent="0.2">
      <c r="A3658" t="s">
        <v>3697</v>
      </c>
      <c r="B3658">
        <v>2025</v>
      </c>
      <c r="C3658" t="s">
        <v>33</v>
      </c>
      <c r="D3658">
        <v>732</v>
      </c>
      <c r="E3658" t="s">
        <v>25</v>
      </c>
      <c r="F3658" t="s">
        <v>26</v>
      </c>
      <c r="G3658" t="s">
        <v>15</v>
      </c>
      <c r="H3658">
        <v>0.88277186932520546</v>
      </c>
      <c r="I3658">
        <v>2</v>
      </c>
      <c r="J3658" t="s">
        <v>23</v>
      </c>
      <c r="K3658" s="59" t="s">
        <v>4376</v>
      </c>
    </row>
    <row r="3659" spans="1:11" x14ac:dyDescent="0.2">
      <c r="A3659" t="s">
        <v>3698</v>
      </c>
      <c r="B3659">
        <v>2023</v>
      </c>
      <c r="C3659" t="s">
        <v>19</v>
      </c>
      <c r="D3659">
        <v>131</v>
      </c>
      <c r="E3659" t="s">
        <v>25</v>
      </c>
      <c r="F3659" t="s">
        <v>26</v>
      </c>
      <c r="G3659" t="s">
        <v>57</v>
      </c>
      <c r="H3659">
        <v>0.11335597390869109</v>
      </c>
      <c r="I3659">
        <v>2</v>
      </c>
      <c r="J3659" t="s">
        <v>17</v>
      </c>
      <c r="K3659" s="59" t="s">
        <v>17</v>
      </c>
    </row>
    <row r="3660" spans="1:11" x14ac:dyDescent="0.2">
      <c r="A3660" t="s">
        <v>3699</v>
      </c>
      <c r="B3660">
        <v>2024</v>
      </c>
      <c r="C3660" t="s">
        <v>33</v>
      </c>
      <c r="D3660">
        <v>124</v>
      </c>
      <c r="E3660" t="s">
        <v>38</v>
      </c>
      <c r="F3660" t="s">
        <v>39</v>
      </c>
      <c r="G3660" t="s">
        <v>15</v>
      </c>
      <c r="H3660">
        <v>0.80168146858277878</v>
      </c>
      <c r="I3660">
        <v>3</v>
      </c>
      <c r="J3660" t="s">
        <v>23</v>
      </c>
      <c r="K3660" s="59" t="s">
        <v>4376</v>
      </c>
    </row>
    <row r="3661" spans="1:11" x14ac:dyDescent="0.2">
      <c r="A3661" t="s">
        <v>3700</v>
      </c>
      <c r="B3661">
        <v>2022</v>
      </c>
      <c r="C3661" t="s">
        <v>19</v>
      </c>
      <c r="D3661">
        <v>124</v>
      </c>
      <c r="E3661" t="s">
        <v>25</v>
      </c>
      <c r="F3661" t="s">
        <v>26</v>
      </c>
      <c r="G3661" t="s">
        <v>15</v>
      </c>
      <c r="H3661">
        <v>0.38917812567565119</v>
      </c>
      <c r="I3661">
        <v>2</v>
      </c>
      <c r="J3661" t="s">
        <v>23</v>
      </c>
      <c r="K3661" s="59" t="s">
        <v>16</v>
      </c>
    </row>
    <row r="3662" spans="1:11" x14ac:dyDescent="0.2">
      <c r="A3662" t="s">
        <v>3701</v>
      </c>
      <c r="B3662">
        <v>2021</v>
      </c>
      <c r="C3662" t="s">
        <v>12</v>
      </c>
      <c r="D3662">
        <v>294</v>
      </c>
      <c r="E3662" t="s">
        <v>38</v>
      </c>
      <c r="F3662" t="s">
        <v>39</v>
      </c>
      <c r="G3662" t="s">
        <v>15</v>
      </c>
      <c r="H3662">
        <v>8.3491741870841948E-2</v>
      </c>
      <c r="I3662">
        <v>3</v>
      </c>
      <c r="J3662" t="s">
        <v>23</v>
      </c>
      <c r="K3662" s="59" t="s">
        <v>23</v>
      </c>
    </row>
    <row r="3663" spans="1:11" x14ac:dyDescent="0.2">
      <c r="A3663" t="s">
        <v>3702</v>
      </c>
      <c r="B3663">
        <v>2024</v>
      </c>
      <c r="C3663" t="s">
        <v>33</v>
      </c>
      <c r="D3663">
        <v>124</v>
      </c>
      <c r="E3663" t="s">
        <v>38</v>
      </c>
      <c r="F3663" t="s">
        <v>39</v>
      </c>
      <c r="G3663" t="s">
        <v>15</v>
      </c>
      <c r="H3663">
        <v>0.80168146858277878</v>
      </c>
      <c r="I3663">
        <v>3</v>
      </c>
      <c r="J3663" t="s">
        <v>23</v>
      </c>
      <c r="K3663" s="59" t="s">
        <v>4376</v>
      </c>
    </row>
    <row r="3664" spans="1:11" x14ac:dyDescent="0.2">
      <c r="A3664" t="s">
        <v>3703</v>
      </c>
      <c r="B3664">
        <v>2024</v>
      </c>
      <c r="C3664" t="s">
        <v>19</v>
      </c>
      <c r="D3664">
        <v>124</v>
      </c>
      <c r="E3664" t="s">
        <v>38</v>
      </c>
      <c r="F3664" t="s">
        <v>39</v>
      </c>
      <c r="G3664" t="s">
        <v>15</v>
      </c>
      <c r="H3664">
        <v>0.80168146858277878</v>
      </c>
      <c r="I3664">
        <v>3</v>
      </c>
      <c r="J3664" t="s">
        <v>23</v>
      </c>
      <c r="K3664" s="59" t="s">
        <v>17</v>
      </c>
    </row>
    <row r="3665" spans="1:11" x14ac:dyDescent="0.2">
      <c r="A3665" t="s">
        <v>3704</v>
      </c>
      <c r="B3665">
        <v>2021</v>
      </c>
      <c r="C3665" t="s">
        <v>12</v>
      </c>
      <c r="D3665">
        <v>294</v>
      </c>
      <c r="E3665" t="s">
        <v>38</v>
      </c>
      <c r="F3665" t="s">
        <v>39</v>
      </c>
      <c r="G3665" t="s">
        <v>15</v>
      </c>
      <c r="H3665">
        <v>8.3491741870841948E-2</v>
      </c>
      <c r="I3665">
        <v>3</v>
      </c>
      <c r="J3665" t="s">
        <v>23</v>
      </c>
      <c r="K3665" s="59" t="s">
        <v>17</v>
      </c>
    </row>
    <row r="3666" spans="1:11" x14ac:dyDescent="0.2">
      <c r="A3666" t="s">
        <v>3705</v>
      </c>
      <c r="B3666">
        <v>2022</v>
      </c>
      <c r="C3666" t="s">
        <v>33</v>
      </c>
      <c r="D3666">
        <v>353</v>
      </c>
      <c r="E3666" t="s">
        <v>53</v>
      </c>
      <c r="F3666" t="s">
        <v>54</v>
      </c>
      <c r="G3666" t="s">
        <v>15</v>
      </c>
      <c r="H3666">
        <v>0.46058692577733279</v>
      </c>
      <c r="I3666">
        <v>3</v>
      </c>
      <c r="J3666" t="s">
        <v>16</v>
      </c>
      <c r="K3666" s="59" t="s">
        <v>4376</v>
      </c>
    </row>
    <row r="3667" spans="1:11" x14ac:dyDescent="0.2">
      <c r="A3667" t="s">
        <v>3706</v>
      </c>
      <c r="B3667">
        <v>2023</v>
      </c>
      <c r="C3667" t="s">
        <v>33</v>
      </c>
      <c r="D3667">
        <v>383</v>
      </c>
      <c r="E3667" t="s">
        <v>29</v>
      </c>
      <c r="F3667" t="s">
        <v>30</v>
      </c>
      <c r="G3667" t="s">
        <v>15</v>
      </c>
      <c r="H3667">
        <v>0.21436445001295959</v>
      </c>
      <c r="I3667">
        <v>4</v>
      </c>
      <c r="J3667" t="s">
        <v>16</v>
      </c>
      <c r="K3667" s="59" t="s">
        <v>4376</v>
      </c>
    </row>
    <row r="3668" spans="1:11" x14ac:dyDescent="0.2">
      <c r="A3668" t="s">
        <v>3707</v>
      </c>
      <c r="B3668">
        <v>2021</v>
      </c>
      <c r="C3668" t="s">
        <v>19</v>
      </c>
      <c r="D3668">
        <v>382</v>
      </c>
      <c r="E3668" t="s">
        <v>29</v>
      </c>
      <c r="F3668" t="s">
        <v>30</v>
      </c>
      <c r="G3668" t="s">
        <v>15</v>
      </c>
      <c r="H3668">
        <v>-0.1911280323988247</v>
      </c>
      <c r="I3668">
        <v>4</v>
      </c>
      <c r="J3668" t="s">
        <v>23</v>
      </c>
      <c r="K3668" s="59" t="s">
        <v>17</v>
      </c>
    </row>
    <row r="3669" spans="1:11" x14ac:dyDescent="0.2">
      <c r="A3669" t="s">
        <v>3708</v>
      </c>
      <c r="B3669">
        <v>2023</v>
      </c>
      <c r="C3669" t="s">
        <v>33</v>
      </c>
      <c r="D3669">
        <v>383</v>
      </c>
      <c r="E3669" t="s">
        <v>29</v>
      </c>
      <c r="F3669" t="s">
        <v>30</v>
      </c>
      <c r="G3669" t="s">
        <v>15</v>
      </c>
      <c r="H3669">
        <v>0.21436445001295959</v>
      </c>
      <c r="I3669">
        <v>4</v>
      </c>
      <c r="J3669" t="s">
        <v>16</v>
      </c>
      <c r="K3669" s="59" t="s">
        <v>23</v>
      </c>
    </row>
    <row r="3670" spans="1:11" x14ac:dyDescent="0.2">
      <c r="A3670" t="s">
        <v>3709</v>
      </c>
      <c r="B3670">
        <v>2023</v>
      </c>
      <c r="C3670" t="s">
        <v>19</v>
      </c>
      <c r="D3670">
        <v>160</v>
      </c>
      <c r="E3670" t="s">
        <v>25</v>
      </c>
      <c r="F3670" t="s">
        <v>26</v>
      </c>
      <c r="G3670" t="s">
        <v>15</v>
      </c>
      <c r="H3670">
        <v>-1.220346911220314</v>
      </c>
      <c r="I3670">
        <v>2</v>
      </c>
      <c r="J3670" t="s">
        <v>23</v>
      </c>
      <c r="K3670" s="59" t="s">
        <v>17</v>
      </c>
    </row>
    <row r="3671" spans="1:11" x14ac:dyDescent="0.2">
      <c r="A3671" t="s">
        <v>3710</v>
      </c>
      <c r="B3671">
        <v>2023</v>
      </c>
      <c r="C3671" t="s">
        <v>19</v>
      </c>
      <c r="D3671">
        <v>139</v>
      </c>
      <c r="E3671" t="s">
        <v>25</v>
      </c>
      <c r="F3671" t="s">
        <v>26</v>
      </c>
      <c r="G3671" t="s">
        <v>48</v>
      </c>
      <c r="H3671">
        <v>0.14625153776993091</v>
      </c>
      <c r="I3671">
        <v>2</v>
      </c>
      <c r="J3671" t="s">
        <v>23</v>
      </c>
      <c r="K3671" s="59" t="s">
        <v>4376</v>
      </c>
    </row>
    <row r="3672" spans="1:11" x14ac:dyDescent="0.2">
      <c r="A3672" t="s">
        <v>3711</v>
      </c>
      <c r="B3672">
        <v>2023</v>
      </c>
      <c r="C3672" t="s">
        <v>19</v>
      </c>
      <c r="D3672">
        <v>143</v>
      </c>
      <c r="E3672" t="s">
        <v>25</v>
      </c>
      <c r="F3672" t="s">
        <v>26</v>
      </c>
      <c r="G3672" t="s">
        <v>48</v>
      </c>
      <c r="H3672">
        <v>-1.0561643324643699</v>
      </c>
      <c r="I3672">
        <v>2</v>
      </c>
      <c r="J3672" t="s">
        <v>23</v>
      </c>
      <c r="K3672" s="59" t="s">
        <v>4376</v>
      </c>
    </row>
    <row r="3673" spans="1:11" x14ac:dyDescent="0.2">
      <c r="A3673" t="s">
        <v>3712</v>
      </c>
      <c r="B3673">
        <v>2021</v>
      </c>
      <c r="C3673" t="s">
        <v>12</v>
      </c>
      <c r="D3673">
        <v>345</v>
      </c>
      <c r="E3673" t="s">
        <v>38</v>
      </c>
      <c r="F3673" t="s">
        <v>39</v>
      </c>
      <c r="G3673" t="s">
        <v>15</v>
      </c>
      <c r="H3673">
        <v>0.86028662546152379</v>
      </c>
      <c r="I3673">
        <v>3</v>
      </c>
      <c r="J3673" t="s">
        <v>17</v>
      </c>
      <c r="K3673" s="59" t="s">
        <v>4376</v>
      </c>
    </row>
    <row r="3674" spans="1:11" x14ac:dyDescent="0.2">
      <c r="A3674" t="s">
        <v>3713</v>
      </c>
      <c r="B3674">
        <v>2023</v>
      </c>
      <c r="C3674" t="s">
        <v>33</v>
      </c>
      <c r="D3674">
        <v>383</v>
      </c>
      <c r="E3674" t="s">
        <v>29</v>
      </c>
      <c r="F3674" t="s">
        <v>30</v>
      </c>
      <c r="G3674" t="s">
        <v>15</v>
      </c>
      <c r="H3674">
        <v>0.21436445001295959</v>
      </c>
      <c r="I3674">
        <v>4</v>
      </c>
      <c r="J3674" t="s">
        <v>16</v>
      </c>
      <c r="K3674" s="59" t="s">
        <v>4376</v>
      </c>
    </row>
    <row r="3675" spans="1:11" x14ac:dyDescent="0.2">
      <c r="A3675" t="s">
        <v>3714</v>
      </c>
      <c r="B3675">
        <v>2024</v>
      </c>
      <c r="C3675" t="s">
        <v>33</v>
      </c>
      <c r="D3675">
        <v>124</v>
      </c>
      <c r="E3675" t="s">
        <v>38</v>
      </c>
      <c r="F3675" t="s">
        <v>39</v>
      </c>
      <c r="G3675" t="s">
        <v>15</v>
      </c>
      <c r="H3675">
        <v>0.80168146858277878</v>
      </c>
      <c r="I3675">
        <v>3</v>
      </c>
      <c r="J3675" t="s">
        <v>23</v>
      </c>
      <c r="K3675" s="59" t="s">
        <v>4376</v>
      </c>
    </row>
    <row r="3676" spans="1:11" x14ac:dyDescent="0.2">
      <c r="A3676" t="s">
        <v>3715</v>
      </c>
      <c r="B3676">
        <v>2022</v>
      </c>
      <c r="C3676" t="s">
        <v>33</v>
      </c>
      <c r="D3676">
        <v>353</v>
      </c>
      <c r="E3676" t="s">
        <v>53</v>
      </c>
      <c r="F3676" t="s">
        <v>54</v>
      </c>
      <c r="G3676" t="s">
        <v>15</v>
      </c>
      <c r="H3676">
        <v>0.46058692577733279</v>
      </c>
      <c r="I3676">
        <v>3</v>
      </c>
      <c r="J3676" t="s">
        <v>16</v>
      </c>
      <c r="K3676" s="59" t="s">
        <v>4376</v>
      </c>
    </row>
    <row r="3677" spans="1:11" x14ac:dyDescent="0.2">
      <c r="A3677" t="s">
        <v>3716</v>
      </c>
      <c r="B3677">
        <v>2024</v>
      </c>
      <c r="C3677" t="s">
        <v>33</v>
      </c>
      <c r="D3677">
        <v>125</v>
      </c>
      <c r="E3677" t="s">
        <v>38</v>
      </c>
      <c r="F3677" t="s">
        <v>39</v>
      </c>
      <c r="G3677" t="s">
        <v>15</v>
      </c>
      <c r="H3677">
        <v>1.207133472294913</v>
      </c>
      <c r="I3677">
        <v>3</v>
      </c>
      <c r="J3677" t="s">
        <v>23</v>
      </c>
      <c r="K3677" s="59" t="s">
        <v>4376</v>
      </c>
    </row>
    <row r="3678" spans="1:11" x14ac:dyDescent="0.2">
      <c r="A3678" t="s">
        <v>3717</v>
      </c>
      <c r="B3678">
        <v>2022</v>
      </c>
      <c r="C3678" t="s">
        <v>33</v>
      </c>
      <c r="D3678">
        <v>353</v>
      </c>
      <c r="E3678" t="s">
        <v>53</v>
      </c>
      <c r="F3678" t="s">
        <v>54</v>
      </c>
      <c r="G3678" t="s">
        <v>15</v>
      </c>
      <c r="H3678">
        <v>0.46058692577733279</v>
      </c>
      <c r="I3678">
        <v>3</v>
      </c>
      <c r="J3678" t="s">
        <v>16</v>
      </c>
      <c r="K3678" s="59" t="s">
        <v>4376</v>
      </c>
    </row>
    <row r="3679" spans="1:11" x14ac:dyDescent="0.2">
      <c r="A3679" t="s">
        <v>3718</v>
      </c>
      <c r="B3679">
        <v>2024</v>
      </c>
      <c r="C3679" t="s">
        <v>33</v>
      </c>
      <c r="D3679">
        <v>124</v>
      </c>
      <c r="E3679" t="s">
        <v>38</v>
      </c>
      <c r="F3679" t="s">
        <v>39</v>
      </c>
      <c r="G3679" t="s">
        <v>15</v>
      </c>
      <c r="H3679">
        <v>0.80168146858277878</v>
      </c>
      <c r="I3679">
        <v>3</v>
      </c>
      <c r="J3679" t="s">
        <v>23</v>
      </c>
      <c r="K3679" s="59" t="s">
        <v>17</v>
      </c>
    </row>
    <row r="3680" spans="1:11" x14ac:dyDescent="0.2">
      <c r="A3680" t="s">
        <v>3719</v>
      </c>
      <c r="B3680">
        <v>2021</v>
      </c>
      <c r="C3680" t="s">
        <v>33</v>
      </c>
      <c r="D3680">
        <v>367</v>
      </c>
      <c r="E3680" t="s">
        <v>38</v>
      </c>
      <c r="F3680" t="s">
        <v>39</v>
      </c>
      <c r="G3680" t="s">
        <v>15</v>
      </c>
      <c r="H3680">
        <v>0.69029355547504967</v>
      </c>
      <c r="I3680">
        <v>3</v>
      </c>
      <c r="J3680" t="s">
        <v>23</v>
      </c>
      <c r="K3680" s="59" t="s">
        <v>4376</v>
      </c>
    </row>
    <row r="3681" spans="1:11" x14ac:dyDescent="0.2">
      <c r="A3681" t="s">
        <v>3720</v>
      </c>
      <c r="B3681">
        <v>2022</v>
      </c>
      <c r="C3681" t="s">
        <v>33</v>
      </c>
      <c r="D3681">
        <v>108</v>
      </c>
      <c r="E3681" t="s">
        <v>25</v>
      </c>
      <c r="F3681" t="s">
        <v>26</v>
      </c>
      <c r="G3681" t="s">
        <v>80</v>
      </c>
      <c r="H3681">
        <v>-0.60180623657460774</v>
      </c>
      <c r="I3681">
        <v>2</v>
      </c>
      <c r="J3681" t="s">
        <v>17</v>
      </c>
      <c r="K3681" s="59" t="s">
        <v>17</v>
      </c>
    </row>
    <row r="3682" spans="1:11" x14ac:dyDescent="0.2">
      <c r="A3682" t="s">
        <v>3721</v>
      </c>
      <c r="B3682">
        <v>2023</v>
      </c>
      <c r="C3682" t="s">
        <v>19</v>
      </c>
      <c r="D3682">
        <v>395</v>
      </c>
      <c r="E3682" t="s">
        <v>38</v>
      </c>
      <c r="F3682" t="s">
        <v>39</v>
      </c>
      <c r="G3682" t="s">
        <v>15</v>
      </c>
      <c r="H3682">
        <v>1.173666381899163E-3</v>
      </c>
      <c r="I3682">
        <v>3</v>
      </c>
      <c r="J3682" t="s">
        <v>16</v>
      </c>
      <c r="K3682" s="59" t="s">
        <v>17</v>
      </c>
    </row>
    <row r="3683" spans="1:11" x14ac:dyDescent="0.2">
      <c r="A3683" t="s">
        <v>3722</v>
      </c>
      <c r="B3683">
        <v>2021</v>
      </c>
      <c r="C3683" t="s">
        <v>19</v>
      </c>
      <c r="D3683">
        <v>299</v>
      </c>
      <c r="E3683" t="s">
        <v>29</v>
      </c>
      <c r="F3683" t="s">
        <v>30</v>
      </c>
      <c r="G3683" t="s">
        <v>15</v>
      </c>
      <c r="H3683">
        <v>0.80990009027964627</v>
      </c>
      <c r="I3683">
        <v>4</v>
      </c>
      <c r="J3683" t="s">
        <v>23</v>
      </c>
      <c r="K3683" s="59" t="s">
        <v>17</v>
      </c>
    </row>
    <row r="3684" spans="1:11" x14ac:dyDescent="0.2">
      <c r="A3684" t="s">
        <v>3723</v>
      </c>
      <c r="B3684">
        <v>2024</v>
      </c>
      <c r="C3684" t="s">
        <v>12</v>
      </c>
      <c r="D3684">
        <v>124</v>
      </c>
      <c r="E3684" t="s">
        <v>38</v>
      </c>
      <c r="F3684" t="s">
        <v>39</v>
      </c>
      <c r="G3684" t="s">
        <v>15</v>
      </c>
      <c r="H3684">
        <v>0.80168146858277878</v>
      </c>
      <c r="I3684">
        <v>3</v>
      </c>
      <c r="J3684" t="s">
        <v>23</v>
      </c>
      <c r="K3684" s="59" t="s">
        <v>4376</v>
      </c>
    </row>
    <row r="3685" spans="1:11" x14ac:dyDescent="0.2">
      <c r="A3685" t="s">
        <v>3724</v>
      </c>
      <c r="B3685">
        <v>2021</v>
      </c>
      <c r="C3685" t="s">
        <v>12</v>
      </c>
      <c r="D3685">
        <v>345</v>
      </c>
      <c r="E3685" t="s">
        <v>38</v>
      </c>
      <c r="F3685" t="s">
        <v>39</v>
      </c>
      <c r="G3685" t="s">
        <v>15</v>
      </c>
      <c r="H3685">
        <v>0.86028662546152379</v>
      </c>
      <c r="I3685">
        <v>3</v>
      </c>
      <c r="J3685" t="s">
        <v>17</v>
      </c>
      <c r="K3685" s="59" t="s">
        <v>4376</v>
      </c>
    </row>
    <row r="3686" spans="1:11" x14ac:dyDescent="0.2">
      <c r="A3686" t="s">
        <v>3725</v>
      </c>
      <c r="B3686">
        <v>2021</v>
      </c>
      <c r="C3686" t="s">
        <v>12</v>
      </c>
      <c r="D3686">
        <v>382</v>
      </c>
      <c r="E3686" t="s">
        <v>29</v>
      </c>
      <c r="F3686" t="s">
        <v>30</v>
      </c>
      <c r="G3686" t="s">
        <v>15</v>
      </c>
      <c r="H3686">
        <v>-0.1911280323988247</v>
      </c>
      <c r="I3686">
        <v>4</v>
      </c>
      <c r="J3686" t="s">
        <v>17</v>
      </c>
      <c r="K3686" s="59" t="s">
        <v>17</v>
      </c>
    </row>
    <row r="3687" spans="1:11" x14ac:dyDescent="0.2">
      <c r="A3687" t="s">
        <v>3726</v>
      </c>
      <c r="B3687">
        <v>2024</v>
      </c>
      <c r="C3687" t="s">
        <v>12</v>
      </c>
      <c r="D3687">
        <v>124</v>
      </c>
      <c r="E3687" t="s">
        <v>38</v>
      </c>
      <c r="F3687" t="s">
        <v>39</v>
      </c>
      <c r="G3687" t="s">
        <v>15</v>
      </c>
      <c r="H3687">
        <v>0.80168146858277878</v>
      </c>
      <c r="I3687">
        <v>3</v>
      </c>
      <c r="J3687" t="s">
        <v>23</v>
      </c>
      <c r="K3687" s="59" t="s">
        <v>23</v>
      </c>
    </row>
    <row r="3688" spans="1:11" x14ac:dyDescent="0.2">
      <c r="A3688" t="s">
        <v>3727</v>
      </c>
      <c r="B3688">
        <v>2023</v>
      </c>
      <c r="C3688" t="s">
        <v>33</v>
      </c>
      <c r="D3688">
        <v>383</v>
      </c>
      <c r="E3688" t="s">
        <v>29</v>
      </c>
      <c r="F3688" t="s">
        <v>30</v>
      </c>
      <c r="G3688" t="s">
        <v>15</v>
      </c>
      <c r="H3688">
        <v>0.21436445001295959</v>
      </c>
      <c r="I3688">
        <v>4</v>
      </c>
      <c r="J3688" t="s">
        <v>16</v>
      </c>
      <c r="K3688" s="59" t="s">
        <v>17</v>
      </c>
    </row>
    <row r="3689" spans="1:11" x14ac:dyDescent="0.2">
      <c r="A3689" t="s">
        <v>3728</v>
      </c>
      <c r="B3689">
        <v>2024</v>
      </c>
      <c r="C3689" t="s">
        <v>12</v>
      </c>
      <c r="D3689">
        <v>124</v>
      </c>
      <c r="E3689" t="s">
        <v>38</v>
      </c>
      <c r="F3689" t="s">
        <v>39</v>
      </c>
      <c r="G3689" t="s">
        <v>15</v>
      </c>
      <c r="H3689">
        <v>0.80168146858277878</v>
      </c>
      <c r="I3689">
        <v>3</v>
      </c>
      <c r="J3689" t="s">
        <v>23</v>
      </c>
      <c r="K3689" s="59" t="s">
        <v>4376</v>
      </c>
    </row>
    <row r="3690" spans="1:11" x14ac:dyDescent="0.2">
      <c r="A3690" t="s">
        <v>3729</v>
      </c>
      <c r="B3690">
        <v>2022</v>
      </c>
      <c r="C3690" t="s">
        <v>33</v>
      </c>
      <c r="D3690">
        <v>353</v>
      </c>
      <c r="E3690" t="s">
        <v>53</v>
      </c>
      <c r="F3690" t="s">
        <v>54</v>
      </c>
      <c r="G3690" t="s">
        <v>15</v>
      </c>
      <c r="H3690">
        <v>0.46058692577733279</v>
      </c>
      <c r="I3690">
        <v>3</v>
      </c>
      <c r="J3690" t="s">
        <v>16</v>
      </c>
      <c r="K3690" s="59" t="s">
        <v>4376</v>
      </c>
    </row>
    <row r="3691" spans="1:11" x14ac:dyDescent="0.2">
      <c r="A3691" t="s">
        <v>3730</v>
      </c>
      <c r="B3691">
        <v>2024</v>
      </c>
      <c r="C3691" t="s">
        <v>19</v>
      </c>
      <c r="D3691">
        <v>124</v>
      </c>
      <c r="E3691" t="s">
        <v>38</v>
      </c>
      <c r="F3691" t="s">
        <v>39</v>
      </c>
      <c r="G3691" t="s">
        <v>15</v>
      </c>
      <c r="H3691">
        <v>0.80168146858277878</v>
      </c>
      <c r="I3691">
        <v>3</v>
      </c>
      <c r="J3691" t="s">
        <v>23</v>
      </c>
      <c r="K3691" s="59" t="s">
        <v>17</v>
      </c>
    </row>
    <row r="3692" spans="1:11" x14ac:dyDescent="0.2">
      <c r="A3692" t="s">
        <v>3731</v>
      </c>
      <c r="B3692">
        <v>2023</v>
      </c>
      <c r="C3692" t="s">
        <v>33</v>
      </c>
      <c r="D3692">
        <v>383</v>
      </c>
      <c r="E3692" t="s">
        <v>29</v>
      </c>
      <c r="F3692" t="s">
        <v>30</v>
      </c>
      <c r="G3692" t="s">
        <v>15</v>
      </c>
      <c r="H3692">
        <v>0.21436445001295959</v>
      </c>
      <c r="I3692">
        <v>4</v>
      </c>
      <c r="J3692" t="s">
        <v>16</v>
      </c>
      <c r="K3692" s="59" t="s">
        <v>17</v>
      </c>
    </row>
    <row r="3693" spans="1:11" x14ac:dyDescent="0.2">
      <c r="A3693" t="s">
        <v>3732</v>
      </c>
      <c r="B3693">
        <v>2022</v>
      </c>
      <c r="C3693" t="s">
        <v>33</v>
      </c>
      <c r="D3693">
        <v>164</v>
      </c>
      <c r="E3693" t="s">
        <v>20</v>
      </c>
      <c r="F3693" t="s">
        <v>21</v>
      </c>
      <c r="G3693" t="s">
        <v>80</v>
      </c>
      <c r="H3693">
        <v>0.77431967692122372</v>
      </c>
      <c r="I3693">
        <v>3</v>
      </c>
      <c r="J3693" t="s">
        <v>23</v>
      </c>
      <c r="K3693" s="59" t="s">
        <v>17</v>
      </c>
    </row>
    <row r="3694" spans="1:11" x14ac:dyDescent="0.2">
      <c r="A3694" t="s">
        <v>3733</v>
      </c>
      <c r="B3694">
        <v>2023</v>
      </c>
      <c r="C3694" t="s">
        <v>33</v>
      </c>
      <c r="D3694">
        <v>383</v>
      </c>
      <c r="E3694" t="s">
        <v>29</v>
      </c>
      <c r="F3694" t="s">
        <v>30</v>
      </c>
      <c r="G3694" t="s">
        <v>15</v>
      </c>
      <c r="H3694">
        <v>0.21436445001295959</v>
      </c>
      <c r="I3694">
        <v>4</v>
      </c>
      <c r="J3694" t="s">
        <v>16</v>
      </c>
      <c r="K3694" s="59" t="s">
        <v>4376</v>
      </c>
    </row>
    <row r="3695" spans="1:11" x14ac:dyDescent="0.2">
      <c r="A3695" t="s">
        <v>3734</v>
      </c>
      <c r="B3695">
        <v>2024</v>
      </c>
      <c r="C3695" t="s">
        <v>19</v>
      </c>
      <c r="D3695">
        <v>125</v>
      </c>
      <c r="E3695" t="s">
        <v>38</v>
      </c>
      <c r="F3695" t="s">
        <v>39</v>
      </c>
      <c r="G3695" t="s">
        <v>15</v>
      </c>
      <c r="H3695">
        <v>0.80168146858277878</v>
      </c>
      <c r="I3695">
        <v>3</v>
      </c>
      <c r="J3695" t="s">
        <v>23</v>
      </c>
      <c r="K3695" s="59" t="s">
        <v>17</v>
      </c>
    </row>
    <row r="3696" spans="1:11" x14ac:dyDescent="0.2">
      <c r="A3696" t="s">
        <v>3735</v>
      </c>
      <c r="B3696">
        <v>2024</v>
      </c>
      <c r="C3696" t="s">
        <v>12</v>
      </c>
      <c r="D3696">
        <v>124</v>
      </c>
      <c r="E3696" t="s">
        <v>38</v>
      </c>
      <c r="F3696" t="s">
        <v>39</v>
      </c>
      <c r="G3696" t="s">
        <v>15</v>
      </c>
      <c r="H3696">
        <v>0.80168146858277878</v>
      </c>
      <c r="I3696">
        <v>3</v>
      </c>
      <c r="J3696" t="s">
        <v>23</v>
      </c>
      <c r="K3696" s="59" t="s">
        <v>4376</v>
      </c>
    </row>
    <row r="3697" spans="1:11" x14ac:dyDescent="0.2">
      <c r="A3697" t="s">
        <v>3736</v>
      </c>
      <c r="B3697">
        <v>2021</v>
      </c>
      <c r="C3697" t="s">
        <v>19</v>
      </c>
      <c r="D3697">
        <v>177</v>
      </c>
      <c r="E3697" t="s">
        <v>38</v>
      </c>
      <c r="F3697" t="s">
        <v>39</v>
      </c>
      <c r="G3697" t="s">
        <v>15</v>
      </c>
      <c r="H3697">
        <v>-0.1443732067455335</v>
      </c>
      <c r="I3697">
        <v>3</v>
      </c>
      <c r="J3697" t="s">
        <v>23</v>
      </c>
      <c r="K3697" s="59" t="s">
        <v>17</v>
      </c>
    </row>
    <row r="3698" spans="1:11" x14ac:dyDescent="0.2">
      <c r="A3698" t="s">
        <v>3737</v>
      </c>
      <c r="B3698">
        <v>2024</v>
      </c>
      <c r="C3698" t="s">
        <v>12</v>
      </c>
      <c r="D3698">
        <v>124</v>
      </c>
      <c r="E3698" t="s">
        <v>38</v>
      </c>
      <c r="F3698" t="s">
        <v>39</v>
      </c>
      <c r="G3698" t="s">
        <v>15</v>
      </c>
      <c r="H3698">
        <v>0.80168146858277878</v>
      </c>
      <c r="I3698">
        <v>3</v>
      </c>
      <c r="J3698" t="s">
        <v>23</v>
      </c>
      <c r="K3698" s="59" t="s">
        <v>4376</v>
      </c>
    </row>
    <row r="3699" spans="1:11" x14ac:dyDescent="0.2">
      <c r="A3699" t="s">
        <v>3738</v>
      </c>
      <c r="B3699">
        <v>2022</v>
      </c>
      <c r="C3699" t="s">
        <v>33</v>
      </c>
      <c r="D3699">
        <v>353</v>
      </c>
      <c r="E3699" t="s">
        <v>53</v>
      </c>
      <c r="F3699" t="s">
        <v>54</v>
      </c>
      <c r="G3699" t="s">
        <v>15</v>
      </c>
      <c r="H3699">
        <v>0.46058692577733279</v>
      </c>
      <c r="I3699">
        <v>3</v>
      </c>
      <c r="J3699" t="s">
        <v>16</v>
      </c>
      <c r="K3699" s="59" t="s">
        <v>4376</v>
      </c>
    </row>
    <row r="3700" spans="1:11" x14ac:dyDescent="0.2">
      <c r="A3700" t="s">
        <v>3739</v>
      </c>
      <c r="B3700">
        <v>2024</v>
      </c>
      <c r="C3700" t="s">
        <v>19</v>
      </c>
      <c r="D3700">
        <v>125</v>
      </c>
      <c r="E3700" t="s">
        <v>38</v>
      </c>
      <c r="F3700" t="s">
        <v>39</v>
      </c>
      <c r="G3700" t="s">
        <v>15</v>
      </c>
      <c r="H3700">
        <v>0.80514687032390808</v>
      </c>
      <c r="I3700">
        <v>3</v>
      </c>
      <c r="J3700" t="s">
        <v>23</v>
      </c>
      <c r="K3700" s="59" t="s">
        <v>23</v>
      </c>
    </row>
    <row r="3701" spans="1:11" x14ac:dyDescent="0.2">
      <c r="A3701" t="s">
        <v>3740</v>
      </c>
      <c r="B3701">
        <v>2024</v>
      </c>
      <c r="C3701" t="s">
        <v>12</v>
      </c>
      <c r="D3701">
        <v>126</v>
      </c>
      <c r="E3701" t="s">
        <v>38</v>
      </c>
      <c r="F3701" t="s">
        <v>39</v>
      </c>
      <c r="G3701" t="s">
        <v>15</v>
      </c>
      <c r="H3701">
        <v>0.80855353644230632</v>
      </c>
      <c r="I3701">
        <v>3</v>
      </c>
      <c r="J3701" t="s">
        <v>23</v>
      </c>
      <c r="K3701" s="59" t="s">
        <v>4376</v>
      </c>
    </row>
    <row r="3702" spans="1:11" x14ac:dyDescent="0.2">
      <c r="A3702" t="s">
        <v>3741</v>
      </c>
      <c r="B3702">
        <v>2022</v>
      </c>
      <c r="C3702" t="s">
        <v>33</v>
      </c>
      <c r="D3702">
        <v>353</v>
      </c>
      <c r="E3702" t="s">
        <v>53</v>
      </c>
      <c r="F3702" t="s">
        <v>54</v>
      </c>
      <c r="G3702" t="s">
        <v>15</v>
      </c>
      <c r="H3702">
        <v>0.46058692577733279</v>
      </c>
      <c r="I3702">
        <v>3</v>
      </c>
      <c r="J3702" t="s">
        <v>16</v>
      </c>
      <c r="K3702" s="59" t="s">
        <v>4376</v>
      </c>
    </row>
    <row r="3703" spans="1:11" x14ac:dyDescent="0.2">
      <c r="A3703" t="s">
        <v>3742</v>
      </c>
      <c r="B3703">
        <v>2023</v>
      </c>
      <c r="C3703" t="s">
        <v>33</v>
      </c>
      <c r="D3703">
        <v>383</v>
      </c>
      <c r="E3703" t="s">
        <v>29</v>
      </c>
      <c r="F3703" t="s">
        <v>30</v>
      </c>
      <c r="G3703" t="s">
        <v>15</v>
      </c>
      <c r="H3703">
        <v>0.21436445001295959</v>
      </c>
      <c r="I3703">
        <v>4</v>
      </c>
      <c r="J3703" t="s">
        <v>16</v>
      </c>
      <c r="K3703" s="59" t="s">
        <v>4376</v>
      </c>
    </row>
    <row r="3704" spans="1:11" x14ac:dyDescent="0.2">
      <c r="A3704" t="s">
        <v>3743</v>
      </c>
      <c r="B3704">
        <v>2024</v>
      </c>
      <c r="C3704" t="s">
        <v>19</v>
      </c>
      <c r="D3704">
        <v>125</v>
      </c>
      <c r="E3704" t="s">
        <v>38</v>
      </c>
      <c r="F3704" t="s">
        <v>39</v>
      </c>
      <c r="G3704" t="s">
        <v>15</v>
      </c>
      <c r="H3704">
        <v>0.40316026835290347</v>
      </c>
      <c r="I3704">
        <v>3</v>
      </c>
      <c r="J3704" t="s">
        <v>23</v>
      </c>
      <c r="K3704" s="59" t="s">
        <v>17</v>
      </c>
    </row>
    <row r="3705" spans="1:11" x14ac:dyDescent="0.2">
      <c r="A3705" t="s">
        <v>3744</v>
      </c>
      <c r="B3705">
        <v>2024</v>
      </c>
      <c r="C3705" t="s">
        <v>19</v>
      </c>
      <c r="D3705">
        <v>124</v>
      </c>
      <c r="E3705" t="s">
        <v>38</v>
      </c>
      <c r="F3705" t="s">
        <v>39</v>
      </c>
      <c r="G3705" t="s">
        <v>15</v>
      </c>
      <c r="H3705">
        <v>0.80168146858277878</v>
      </c>
      <c r="I3705">
        <v>3</v>
      </c>
      <c r="J3705" t="s">
        <v>23</v>
      </c>
      <c r="K3705" s="59" t="s">
        <v>17</v>
      </c>
    </row>
    <row r="3706" spans="1:11" x14ac:dyDescent="0.2">
      <c r="A3706" t="s">
        <v>3745</v>
      </c>
      <c r="B3706">
        <v>2024</v>
      </c>
      <c r="C3706" t="s">
        <v>19</v>
      </c>
      <c r="D3706">
        <v>124</v>
      </c>
      <c r="E3706" t="s">
        <v>38</v>
      </c>
      <c r="F3706" t="s">
        <v>39</v>
      </c>
      <c r="G3706" t="s">
        <v>15</v>
      </c>
      <c r="H3706">
        <v>0.80168146858277878</v>
      </c>
      <c r="I3706">
        <v>3</v>
      </c>
      <c r="J3706" t="s">
        <v>23</v>
      </c>
      <c r="K3706" s="59" t="s">
        <v>17</v>
      </c>
    </row>
    <row r="3707" spans="1:11" x14ac:dyDescent="0.2">
      <c r="A3707" t="s">
        <v>3746</v>
      </c>
      <c r="B3707">
        <v>2024</v>
      </c>
      <c r="C3707" t="s">
        <v>19</v>
      </c>
      <c r="D3707">
        <v>124</v>
      </c>
      <c r="E3707" t="s">
        <v>38</v>
      </c>
      <c r="F3707" t="s">
        <v>39</v>
      </c>
      <c r="G3707" t="s">
        <v>15</v>
      </c>
      <c r="H3707">
        <v>0.80168146858277878</v>
      </c>
      <c r="I3707">
        <v>3</v>
      </c>
      <c r="J3707" t="s">
        <v>23</v>
      </c>
      <c r="K3707" s="59" t="s">
        <v>17</v>
      </c>
    </row>
    <row r="3708" spans="1:11" x14ac:dyDescent="0.2">
      <c r="A3708" t="s">
        <v>3747</v>
      </c>
      <c r="B3708">
        <v>2024</v>
      </c>
      <c r="C3708" t="s">
        <v>12</v>
      </c>
      <c r="D3708">
        <v>124</v>
      </c>
      <c r="E3708" t="s">
        <v>38</v>
      </c>
      <c r="F3708" t="s">
        <v>39</v>
      </c>
      <c r="G3708" t="s">
        <v>15</v>
      </c>
      <c r="H3708">
        <v>0.80168146858277878</v>
      </c>
      <c r="I3708">
        <v>3</v>
      </c>
      <c r="J3708" t="s">
        <v>23</v>
      </c>
      <c r="K3708" s="59" t="s">
        <v>23</v>
      </c>
    </row>
    <row r="3709" spans="1:11" x14ac:dyDescent="0.2">
      <c r="A3709" t="s">
        <v>3748</v>
      </c>
      <c r="B3709">
        <v>2021</v>
      </c>
      <c r="C3709" t="s">
        <v>33</v>
      </c>
      <c r="D3709">
        <v>335</v>
      </c>
      <c r="E3709" t="s">
        <v>38</v>
      </c>
      <c r="F3709" t="s">
        <v>39</v>
      </c>
      <c r="G3709" t="s">
        <v>15</v>
      </c>
      <c r="H3709">
        <v>0.41364151410981631</v>
      </c>
      <c r="I3709">
        <v>3</v>
      </c>
      <c r="J3709" t="s">
        <v>23</v>
      </c>
      <c r="K3709" s="59" t="s">
        <v>17</v>
      </c>
    </row>
    <row r="3710" spans="1:11" x14ac:dyDescent="0.2">
      <c r="A3710" t="s">
        <v>3749</v>
      </c>
      <c r="B3710">
        <v>2021</v>
      </c>
      <c r="C3710" t="s">
        <v>19</v>
      </c>
      <c r="D3710">
        <v>294</v>
      </c>
      <c r="E3710" t="s">
        <v>38</v>
      </c>
      <c r="F3710" t="s">
        <v>39</v>
      </c>
      <c r="G3710" t="s">
        <v>15</v>
      </c>
      <c r="H3710">
        <v>8.3491741870841948E-2</v>
      </c>
      <c r="I3710">
        <v>3</v>
      </c>
      <c r="J3710" t="s">
        <v>23</v>
      </c>
      <c r="K3710" s="59" t="s">
        <v>17</v>
      </c>
    </row>
    <row r="3711" spans="1:11" x14ac:dyDescent="0.2">
      <c r="A3711" t="s">
        <v>3750</v>
      </c>
      <c r="B3711">
        <v>2022</v>
      </c>
      <c r="C3711" t="s">
        <v>33</v>
      </c>
      <c r="D3711">
        <v>353</v>
      </c>
      <c r="E3711" t="s">
        <v>53</v>
      </c>
      <c r="F3711" t="s">
        <v>54</v>
      </c>
      <c r="G3711" t="s">
        <v>15</v>
      </c>
      <c r="H3711">
        <v>0.46058692577733279</v>
      </c>
      <c r="I3711">
        <v>3</v>
      </c>
      <c r="J3711" t="s">
        <v>16</v>
      </c>
      <c r="K3711" s="59" t="s">
        <v>4376</v>
      </c>
    </row>
    <row r="3712" spans="1:11" x14ac:dyDescent="0.2">
      <c r="A3712" t="s">
        <v>3751</v>
      </c>
      <c r="B3712">
        <v>2021</v>
      </c>
      <c r="C3712" t="s">
        <v>19</v>
      </c>
      <c r="D3712">
        <v>440</v>
      </c>
      <c r="E3712" t="s">
        <v>38</v>
      </c>
      <c r="F3712" t="s">
        <v>39</v>
      </c>
      <c r="G3712" t="s">
        <v>15</v>
      </c>
      <c r="H3712">
        <v>0.54780030737985386</v>
      </c>
      <c r="I3712">
        <v>3</v>
      </c>
      <c r="J3712" t="s">
        <v>23</v>
      </c>
      <c r="K3712" s="59" t="s">
        <v>17</v>
      </c>
    </row>
    <row r="3713" spans="1:11" x14ac:dyDescent="0.2">
      <c r="A3713" t="s">
        <v>3752</v>
      </c>
      <c r="B3713">
        <v>2024</v>
      </c>
      <c r="C3713" t="s">
        <v>12</v>
      </c>
      <c r="D3713">
        <v>124</v>
      </c>
      <c r="E3713" t="s">
        <v>38</v>
      </c>
      <c r="F3713" t="s">
        <v>39</v>
      </c>
      <c r="G3713" t="s">
        <v>15</v>
      </c>
      <c r="H3713">
        <v>0.80168146858277878</v>
      </c>
      <c r="I3713">
        <v>3</v>
      </c>
      <c r="J3713" t="s">
        <v>23</v>
      </c>
      <c r="K3713" s="59" t="s">
        <v>4376</v>
      </c>
    </row>
    <row r="3714" spans="1:11" x14ac:dyDescent="0.2">
      <c r="A3714" t="s">
        <v>3753</v>
      </c>
      <c r="B3714">
        <v>2024</v>
      </c>
      <c r="C3714" t="s">
        <v>12</v>
      </c>
      <c r="D3714">
        <v>124</v>
      </c>
      <c r="E3714" t="s">
        <v>38</v>
      </c>
      <c r="F3714" t="s">
        <v>39</v>
      </c>
      <c r="G3714" t="s">
        <v>15</v>
      </c>
      <c r="H3714">
        <v>0.80168146858277878</v>
      </c>
      <c r="I3714">
        <v>3</v>
      </c>
      <c r="J3714" t="s">
        <v>23</v>
      </c>
      <c r="K3714" s="59" t="s">
        <v>4376</v>
      </c>
    </row>
    <row r="3715" spans="1:11" x14ac:dyDescent="0.2">
      <c r="A3715" t="s">
        <v>3754</v>
      </c>
      <c r="B3715">
        <v>2023</v>
      </c>
      <c r="C3715" t="s">
        <v>33</v>
      </c>
      <c r="D3715">
        <v>383</v>
      </c>
      <c r="E3715" t="s">
        <v>29</v>
      </c>
      <c r="F3715" t="s">
        <v>30</v>
      </c>
      <c r="G3715" t="s">
        <v>15</v>
      </c>
      <c r="H3715">
        <v>0.21436445001295959</v>
      </c>
      <c r="I3715">
        <v>4</v>
      </c>
      <c r="J3715" t="s">
        <v>16</v>
      </c>
      <c r="K3715" s="59" t="s">
        <v>4376</v>
      </c>
    </row>
    <row r="3716" spans="1:11" x14ac:dyDescent="0.2">
      <c r="A3716" t="s">
        <v>3755</v>
      </c>
      <c r="B3716">
        <v>2021</v>
      </c>
      <c r="C3716" t="s">
        <v>19</v>
      </c>
      <c r="D3716">
        <v>260</v>
      </c>
      <c r="E3716" t="s">
        <v>29</v>
      </c>
      <c r="F3716" t="s">
        <v>30</v>
      </c>
      <c r="G3716" t="s">
        <v>15</v>
      </c>
      <c r="H3716">
        <v>0.93786382097464049</v>
      </c>
      <c r="I3716">
        <v>4</v>
      </c>
      <c r="J3716" t="s">
        <v>23</v>
      </c>
      <c r="K3716" s="59" t="s">
        <v>23</v>
      </c>
    </row>
    <row r="3717" spans="1:11" x14ac:dyDescent="0.2">
      <c r="A3717" t="s">
        <v>3756</v>
      </c>
      <c r="B3717">
        <v>2023</v>
      </c>
      <c r="C3717" t="s">
        <v>33</v>
      </c>
      <c r="D3717">
        <v>383</v>
      </c>
      <c r="E3717" t="s">
        <v>29</v>
      </c>
      <c r="F3717" t="s">
        <v>30</v>
      </c>
      <c r="G3717" t="s">
        <v>15</v>
      </c>
      <c r="H3717">
        <v>0.21436445001295959</v>
      </c>
      <c r="I3717">
        <v>4</v>
      </c>
      <c r="J3717" t="s">
        <v>16</v>
      </c>
      <c r="K3717" s="59" t="s">
        <v>17</v>
      </c>
    </row>
    <row r="3718" spans="1:11" x14ac:dyDescent="0.2">
      <c r="A3718" t="s">
        <v>3757</v>
      </c>
      <c r="B3718">
        <v>2024</v>
      </c>
      <c r="C3718" t="s">
        <v>19</v>
      </c>
      <c r="D3718">
        <v>124</v>
      </c>
      <c r="E3718" t="s">
        <v>38</v>
      </c>
      <c r="F3718" t="s">
        <v>39</v>
      </c>
      <c r="G3718" t="s">
        <v>15</v>
      </c>
      <c r="H3718">
        <v>0.80168146858277878</v>
      </c>
      <c r="I3718">
        <v>3</v>
      </c>
      <c r="J3718" t="s">
        <v>23</v>
      </c>
      <c r="K3718" s="59" t="s">
        <v>23</v>
      </c>
    </row>
    <row r="3719" spans="1:11" x14ac:dyDescent="0.2">
      <c r="A3719" t="s">
        <v>3758</v>
      </c>
      <c r="B3719">
        <v>2024</v>
      </c>
      <c r="C3719" t="s">
        <v>12</v>
      </c>
      <c r="D3719">
        <v>124</v>
      </c>
      <c r="E3719" t="s">
        <v>38</v>
      </c>
      <c r="F3719" t="s">
        <v>39</v>
      </c>
      <c r="G3719" t="s">
        <v>15</v>
      </c>
      <c r="H3719">
        <v>0.80168146858277878</v>
      </c>
      <c r="I3719">
        <v>3</v>
      </c>
      <c r="J3719" t="s">
        <v>23</v>
      </c>
      <c r="K3719" s="59" t="s">
        <v>23</v>
      </c>
    </row>
    <row r="3720" spans="1:11" x14ac:dyDescent="0.2">
      <c r="A3720" t="s">
        <v>3759</v>
      </c>
      <c r="B3720">
        <v>2024</v>
      </c>
      <c r="C3720" t="s">
        <v>19</v>
      </c>
      <c r="D3720">
        <v>126</v>
      </c>
      <c r="E3720" t="s">
        <v>38</v>
      </c>
      <c r="F3720" t="s">
        <v>39</v>
      </c>
      <c r="G3720" t="s">
        <v>15</v>
      </c>
      <c r="H3720">
        <v>0.80855353644230632</v>
      </c>
      <c r="I3720">
        <v>3</v>
      </c>
      <c r="J3720" t="s">
        <v>23</v>
      </c>
      <c r="K3720" s="59" t="s">
        <v>16</v>
      </c>
    </row>
    <row r="3721" spans="1:11" x14ac:dyDescent="0.2">
      <c r="A3721" t="s">
        <v>3760</v>
      </c>
      <c r="B3721">
        <v>2021</v>
      </c>
      <c r="C3721" t="s">
        <v>19</v>
      </c>
      <c r="D3721">
        <v>41</v>
      </c>
      <c r="E3721" t="s">
        <v>25</v>
      </c>
      <c r="F3721" t="s">
        <v>26</v>
      </c>
      <c r="G3721" t="s">
        <v>15</v>
      </c>
      <c r="H3721">
        <v>1.173666381899163E-3</v>
      </c>
      <c r="I3721">
        <v>2</v>
      </c>
      <c r="J3721" t="s">
        <v>16</v>
      </c>
      <c r="K3721" s="59" t="s">
        <v>16</v>
      </c>
    </row>
    <row r="3722" spans="1:11" x14ac:dyDescent="0.2">
      <c r="A3722" t="s">
        <v>3761</v>
      </c>
      <c r="B3722">
        <v>2021</v>
      </c>
      <c r="C3722" t="s">
        <v>19</v>
      </c>
      <c r="D3722">
        <v>358</v>
      </c>
      <c r="E3722" t="s">
        <v>38</v>
      </c>
      <c r="F3722" t="s">
        <v>39</v>
      </c>
      <c r="G3722" t="s">
        <v>15</v>
      </c>
      <c r="H3722">
        <v>-8.0497963125178221E-2</v>
      </c>
      <c r="I3722">
        <v>3</v>
      </c>
      <c r="J3722" t="s">
        <v>17</v>
      </c>
      <c r="K3722" s="59" t="s">
        <v>23</v>
      </c>
    </row>
    <row r="3723" spans="1:11" x14ac:dyDescent="0.2">
      <c r="A3723" t="s">
        <v>3762</v>
      </c>
      <c r="B3723">
        <v>2022</v>
      </c>
      <c r="C3723" t="s">
        <v>33</v>
      </c>
      <c r="D3723">
        <v>353</v>
      </c>
      <c r="E3723" t="s">
        <v>53</v>
      </c>
      <c r="F3723" t="s">
        <v>54</v>
      </c>
      <c r="G3723" t="s">
        <v>15</v>
      </c>
      <c r="H3723">
        <v>0.46058692577733279</v>
      </c>
      <c r="I3723">
        <v>3</v>
      </c>
      <c r="J3723" t="s">
        <v>16</v>
      </c>
      <c r="K3723" s="59" t="s">
        <v>4376</v>
      </c>
    </row>
    <row r="3724" spans="1:11" x14ac:dyDescent="0.2">
      <c r="A3724" t="s">
        <v>3763</v>
      </c>
      <c r="B3724">
        <v>2024</v>
      </c>
      <c r="C3724" t="s">
        <v>12</v>
      </c>
      <c r="D3724">
        <v>124</v>
      </c>
      <c r="E3724" t="s">
        <v>38</v>
      </c>
      <c r="F3724" t="s">
        <v>39</v>
      </c>
      <c r="G3724" t="s">
        <v>15</v>
      </c>
      <c r="H3724">
        <v>0.80168146858277878</v>
      </c>
      <c r="I3724">
        <v>3</v>
      </c>
      <c r="J3724" t="s">
        <v>23</v>
      </c>
      <c r="K3724" s="59" t="s">
        <v>23</v>
      </c>
    </row>
    <row r="3725" spans="1:11" x14ac:dyDescent="0.2">
      <c r="A3725" t="s">
        <v>3764</v>
      </c>
      <c r="B3725">
        <v>2021</v>
      </c>
      <c r="C3725" t="s">
        <v>19</v>
      </c>
      <c r="D3725">
        <v>345</v>
      </c>
      <c r="E3725" t="s">
        <v>38</v>
      </c>
      <c r="F3725" t="s">
        <v>39</v>
      </c>
      <c r="G3725" t="s">
        <v>15</v>
      </c>
      <c r="H3725">
        <v>0.86028662546152379</v>
      </c>
      <c r="I3725">
        <v>3</v>
      </c>
      <c r="J3725" t="s">
        <v>17</v>
      </c>
      <c r="K3725" s="59" t="s">
        <v>17</v>
      </c>
    </row>
    <row r="3726" spans="1:11" x14ac:dyDescent="0.2">
      <c r="A3726" t="s">
        <v>3765</v>
      </c>
      <c r="B3726">
        <v>2024</v>
      </c>
      <c r="C3726" t="s">
        <v>33</v>
      </c>
      <c r="D3726">
        <v>83</v>
      </c>
      <c r="E3726" t="s">
        <v>25</v>
      </c>
      <c r="F3726" t="s">
        <v>26</v>
      </c>
      <c r="G3726" t="s">
        <v>15</v>
      </c>
      <c r="H3726">
        <v>1.207133472294913</v>
      </c>
      <c r="I3726">
        <v>2</v>
      </c>
      <c r="J3726" t="s">
        <v>23</v>
      </c>
      <c r="K3726" s="59" t="s">
        <v>4376</v>
      </c>
    </row>
    <row r="3727" spans="1:11" x14ac:dyDescent="0.2">
      <c r="A3727" t="s">
        <v>3766</v>
      </c>
      <c r="B3727">
        <v>2024</v>
      </c>
      <c r="C3727" t="s">
        <v>33</v>
      </c>
      <c r="D3727">
        <v>85</v>
      </c>
      <c r="E3727" t="s">
        <v>20</v>
      </c>
      <c r="F3727" t="s">
        <v>21</v>
      </c>
      <c r="G3727" t="s">
        <v>36</v>
      </c>
      <c r="H3727">
        <v>-1.592416077146011</v>
      </c>
      <c r="I3727">
        <v>3</v>
      </c>
      <c r="J3727" t="s">
        <v>23</v>
      </c>
      <c r="K3727" s="59" t="s">
        <v>4376</v>
      </c>
    </row>
    <row r="3728" spans="1:11" x14ac:dyDescent="0.2">
      <c r="A3728" t="s">
        <v>3767</v>
      </c>
      <c r="B3728">
        <v>2021</v>
      </c>
      <c r="C3728" t="s">
        <v>19</v>
      </c>
      <c r="D3728">
        <v>291</v>
      </c>
      <c r="E3728" t="s">
        <v>38</v>
      </c>
      <c r="F3728" t="s">
        <v>39</v>
      </c>
      <c r="G3728" t="s">
        <v>15</v>
      </c>
      <c r="H3728">
        <v>0.45125509394586322</v>
      </c>
      <c r="I3728">
        <v>3</v>
      </c>
      <c r="J3728" t="s">
        <v>23</v>
      </c>
      <c r="K3728" s="59" t="s">
        <v>17</v>
      </c>
    </row>
    <row r="3729" spans="1:11" x14ac:dyDescent="0.2">
      <c r="A3729" t="s">
        <v>3768</v>
      </c>
      <c r="B3729">
        <v>2024</v>
      </c>
      <c r="C3729" t="s">
        <v>12</v>
      </c>
      <c r="D3729">
        <v>125</v>
      </c>
      <c r="E3729" t="s">
        <v>38</v>
      </c>
      <c r="F3729" t="s">
        <v>39</v>
      </c>
      <c r="G3729" t="s">
        <v>15</v>
      </c>
      <c r="H3729">
        <v>0.80168146858277878</v>
      </c>
      <c r="I3729">
        <v>3</v>
      </c>
      <c r="J3729" t="s">
        <v>23</v>
      </c>
      <c r="K3729" s="59" t="s">
        <v>16</v>
      </c>
    </row>
    <row r="3730" spans="1:11" x14ac:dyDescent="0.2">
      <c r="A3730" t="s">
        <v>3769</v>
      </c>
      <c r="B3730">
        <v>2023</v>
      </c>
      <c r="C3730" t="s">
        <v>33</v>
      </c>
      <c r="D3730">
        <v>383</v>
      </c>
      <c r="E3730" t="s">
        <v>29</v>
      </c>
      <c r="F3730" t="s">
        <v>30</v>
      </c>
      <c r="G3730" t="s">
        <v>15</v>
      </c>
      <c r="H3730">
        <v>0.21436445001295959</v>
      </c>
      <c r="I3730">
        <v>4</v>
      </c>
      <c r="J3730" t="s">
        <v>16</v>
      </c>
      <c r="K3730" s="59" t="s">
        <v>4376</v>
      </c>
    </row>
    <row r="3731" spans="1:11" x14ac:dyDescent="0.2">
      <c r="A3731" t="s">
        <v>3770</v>
      </c>
      <c r="B3731">
        <v>2024</v>
      </c>
      <c r="C3731" t="s">
        <v>12</v>
      </c>
      <c r="D3731">
        <v>124</v>
      </c>
      <c r="E3731" t="s">
        <v>38</v>
      </c>
      <c r="F3731" t="s">
        <v>39</v>
      </c>
      <c r="G3731" t="s">
        <v>15</v>
      </c>
      <c r="H3731">
        <v>0.80168146858277878</v>
      </c>
      <c r="I3731">
        <v>3</v>
      </c>
      <c r="J3731" t="s">
        <v>23</v>
      </c>
      <c r="K3731" s="59" t="s">
        <v>17</v>
      </c>
    </row>
    <row r="3732" spans="1:11" x14ac:dyDescent="0.2">
      <c r="A3732" t="s">
        <v>3771</v>
      </c>
      <c r="B3732">
        <v>2023</v>
      </c>
      <c r="C3732" t="s">
        <v>33</v>
      </c>
      <c r="D3732">
        <v>383</v>
      </c>
      <c r="E3732" t="s">
        <v>29</v>
      </c>
      <c r="F3732" t="s">
        <v>30</v>
      </c>
      <c r="G3732" t="s">
        <v>15</v>
      </c>
      <c r="H3732">
        <v>0.21436445001295959</v>
      </c>
      <c r="I3732">
        <v>4</v>
      </c>
      <c r="J3732" t="s">
        <v>16</v>
      </c>
      <c r="K3732" s="59" t="s">
        <v>4376</v>
      </c>
    </row>
    <row r="3733" spans="1:11" x14ac:dyDescent="0.2">
      <c r="A3733" t="s">
        <v>3772</v>
      </c>
      <c r="B3733">
        <v>2022</v>
      </c>
      <c r="C3733" t="s">
        <v>33</v>
      </c>
      <c r="D3733">
        <v>353</v>
      </c>
      <c r="E3733" t="s">
        <v>53</v>
      </c>
      <c r="F3733" t="s">
        <v>54</v>
      </c>
      <c r="G3733" t="s">
        <v>15</v>
      </c>
      <c r="H3733">
        <v>0.46058692577733279</v>
      </c>
      <c r="I3733">
        <v>3</v>
      </c>
      <c r="J3733" t="s">
        <v>16</v>
      </c>
      <c r="K3733" s="59" t="s">
        <v>4376</v>
      </c>
    </row>
    <row r="3734" spans="1:11" x14ac:dyDescent="0.2">
      <c r="A3734" t="s">
        <v>3773</v>
      </c>
      <c r="B3734">
        <v>2024</v>
      </c>
      <c r="C3734" t="s">
        <v>12</v>
      </c>
      <c r="D3734">
        <v>74</v>
      </c>
      <c r="E3734" t="s">
        <v>38</v>
      </c>
      <c r="F3734" t="s">
        <v>39</v>
      </c>
      <c r="G3734" t="s">
        <v>15</v>
      </c>
      <c r="H3734">
        <v>-6.4013350153939511E-2</v>
      </c>
      <c r="I3734">
        <v>3</v>
      </c>
      <c r="J3734" t="s">
        <v>23</v>
      </c>
      <c r="K3734" s="59" t="s">
        <v>23</v>
      </c>
    </row>
    <row r="3735" spans="1:11" x14ac:dyDescent="0.2">
      <c r="A3735" t="s">
        <v>3774</v>
      </c>
      <c r="B3735">
        <v>2024</v>
      </c>
      <c r="C3735" t="s">
        <v>33</v>
      </c>
      <c r="D3735">
        <v>83</v>
      </c>
      <c r="E3735" t="s">
        <v>25</v>
      </c>
      <c r="F3735" t="s">
        <v>26</v>
      </c>
      <c r="G3735" t="s">
        <v>15</v>
      </c>
      <c r="H3735">
        <v>1.207133472294913</v>
      </c>
      <c r="I3735">
        <v>2</v>
      </c>
      <c r="J3735" t="s">
        <v>23</v>
      </c>
      <c r="K3735" s="59" t="s">
        <v>4376</v>
      </c>
    </row>
    <row r="3736" spans="1:11" x14ac:dyDescent="0.2">
      <c r="A3736" t="s">
        <v>3775</v>
      </c>
      <c r="B3736">
        <v>2021</v>
      </c>
      <c r="C3736" t="s">
        <v>19</v>
      </c>
      <c r="D3736">
        <v>105</v>
      </c>
      <c r="E3736" t="s">
        <v>20</v>
      </c>
      <c r="F3736" t="s">
        <v>21</v>
      </c>
      <c r="G3736" t="s">
        <v>15</v>
      </c>
      <c r="H3736">
        <v>-0.36061427539200491</v>
      </c>
      <c r="I3736">
        <v>3</v>
      </c>
      <c r="J3736" t="s">
        <v>23</v>
      </c>
      <c r="K3736" s="59" t="s">
        <v>23</v>
      </c>
    </row>
    <row r="3737" spans="1:11" x14ac:dyDescent="0.2">
      <c r="A3737" t="s">
        <v>3776</v>
      </c>
      <c r="B3737">
        <v>2023</v>
      </c>
      <c r="C3737" t="s">
        <v>33</v>
      </c>
      <c r="D3737">
        <v>383</v>
      </c>
      <c r="E3737" t="s">
        <v>29</v>
      </c>
      <c r="F3737" t="s">
        <v>30</v>
      </c>
      <c r="G3737" t="s">
        <v>15</v>
      </c>
      <c r="H3737">
        <v>0.21436445001295959</v>
      </c>
      <c r="I3737">
        <v>4</v>
      </c>
      <c r="J3737" t="s">
        <v>16</v>
      </c>
      <c r="K3737" s="59" t="s">
        <v>4376</v>
      </c>
    </row>
    <row r="3738" spans="1:11" x14ac:dyDescent="0.2">
      <c r="A3738" t="s">
        <v>3777</v>
      </c>
      <c r="B3738">
        <v>2023</v>
      </c>
      <c r="C3738" t="s">
        <v>33</v>
      </c>
      <c r="D3738">
        <v>107</v>
      </c>
      <c r="E3738" t="s">
        <v>20</v>
      </c>
      <c r="F3738" t="s">
        <v>21</v>
      </c>
      <c r="G3738" t="s">
        <v>147</v>
      </c>
      <c r="H3738">
        <v>-0.65553711901627654</v>
      </c>
      <c r="I3738">
        <v>3</v>
      </c>
      <c r="J3738" t="s">
        <v>23</v>
      </c>
      <c r="K3738" s="59" t="s">
        <v>23</v>
      </c>
    </row>
    <row r="3739" spans="1:11" x14ac:dyDescent="0.2">
      <c r="A3739" t="s">
        <v>3778</v>
      </c>
      <c r="B3739">
        <v>2024</v>
      </c>
      <c r="C3739" t="s">
        <v>33</v>
      </c>
      <c r="D3739">
        <v>85</v>
      </c>
      <c r="E3739" t="s">
        <v>25</v>
      </c>
      <c r="F3739" t="s">
        <v>26</v>
      </c>
      <c r="G3739" t="s">
        <v>15</v>
      </c>
      <c r="H3739">
        <v>1.207133472294913</v>
      </c>
      <c r="I3739">
        <v>2</v>
      </c>
      <c r="J3739" t="s">
        <v>23</v>
      </c>
      <c r="K3739" s="59" t="s">
        <v>23</v>
      </c>
    </row>
    <row r="3740" spans="1:11" x14ac:dyDescent="0.2">
      <c r="A3740" t="s">
        <v>3779</v>
      </c>
      <c r="B3740">
        <v>2022</v>
      </c>
      <c r="C3740" t="s">
        <v>33</v>
      </c>
      <c r="D3740">
        <v>492</v>
      </c>
      <c r="E3740" t="s">
        <v>20</v>
      </c>
      <c r="F3740" t="s">
        <v>21</v>
      </c>
      <c r="G3740" t="s">
        <v>15</v>
      </c>
      <c r="H3740">
        <v>0.43187359706511819</v>
      </c>
      <c r="I3740">
        <v>3</v>
      </c>
      <c r="J3740" t="s">
        <v>23</v>
      </c>
      <c r="K3740" s="59" t="s">
        <v>16</v>
      </c>
    </row>
    <row r="3741" spans="1:11" x14ac:dyDescent="0.2">
      <c r="A3741" t="s">
        <v>3780</v>
      </c>
      <c r="B3741">
        <v>2022</v>
      </c>
      <c r="C3741" t="s">
        <v>33</v>
      </c>
      <c r="D3741">
        <v>353</v>
      </c>
      <c r="E3741" t="s">
        <v>53</v>
      </c>
      <c r="F3741" t="s">
        <v>54</v>
      </c>
      <c r="G3741" t="s">
        <v>15</v>
      </c>
      <c r="H3741">
        <v>0.46058692577733279</v>
      </c>
      <c r="I3741">
        <v>3</v>
      </c>
      <c r="J3741" t="s">
        <v>16</v>
      </c>
      <c r="K3741" s="59" t="s">
        <v>4376</v>
      </c>
    </row>
    <row r="3742" spans="1:11" x14ac:dyDescent="0.2">
      <c r="A3742" t="s">
        <v>3781</v>
      </c>
      <c r="B3742">
        <v>2022</v>
      </c>
      <c r="C3742" t="s">
        <v>33</v>
      </c>
      <c r="D3742">
        <v>352</v>
      </c>
      <c r="E3742" t="s">
        <v>53</v>
      </c>
      <c r="F3742" t="s">
        <v>54</v>
      </c>
      <c r="G3742" t="s">
        <v>36</v>
      </c>
      <c r="H3742">
        <v>5.4377775466296963E-2</v>
      </c>
      <c r="I3742">
        <v>3</v>
      </c>
      <c r="J3742" t="s">
        <v>16</v>
      </c>
      <c r="K3742" s="59" t="s">
        <v>17</v>
      </c>
    </row>
    <row r="3743" spans="1:11" x14ac:dyDescent="0.2">
      <c r="A3743" t="s">
        <v>3782</v>
      </c>
      <c r="B3743">
        <v>2018</v>
      </c>
      <c r="C3743" t="s">
        <v>19</v>
      </c>
      <c r="D3743">
        <v>149</v>
      </c>
      <c r="E3743" t="s">
        <v>20</v>
      </c>
      <c r="F3743" t="s">
        <v>21</v>
      </c>
      <c r="G3743" t="s">
        <v>15</v>
      </c>
      <c r="H3743">
        <v>-8.1426320324471585E-2</v>
      </c>
      <c r="I3743">
        <v>3</v>
      </c>
      <c r="J3743" t="s">
        <v>23</v>
      </c>
      <c r="K3743" s="59" t="s">
        <v>23</v>
      </c>
    </row>
    <row r="3744" spans="1:11" x14ac:dyDescent="0.2">
      <c r="A3744" t="s">
        <v>3783</v>
      </c>
      <c r="B3744">
        <v>2022</v>
      </c>
      <c r="C3744" t="s">
        <v>33</v>
      </c>
      <c r="D3744">
        <v>353</v>
      </c>
      <c r="E3744" t="s">
        <v>53</v>
      </c>
      <c r="F3744" t="s">
        <v>54</v>
      </c>
      <c r="G3744" t="s">
        <v>15</v>
      </c>
      <c r="H3744">
        <v>0.46058692577733279</v>
      </c>
      <c r="I3744">
        <v>3</v>
      </c>
      <c r="J3744" t="s">
        <v>16</v>
      </c>
      <c r="K3744" s="59" t="s">
        <v>4376</v>
      </c>
    </row>
    <row r="3745" spans="1:11" x14ac:dyDescent="0.2">
      <c r="A3745" t="s">
        <v>3784</v>
      </c>
      <c r="B3745">
        <v>2022</v>
      </c>
      <c r="C3745" t="s">
        <v>33</v>
      </c>
      <c r="D3745">
        <v>337</v>
      </c>
      <c r="E3745" t="s">
        <v>20</v>
      </c>
      <c r="F3745" t="s">
        <v>21</v>
      </c>
      <c r="G3745" t="s">
        <v>48</v>
      </c>
      <c r="H3745">
        <v>0.81519653537318315</v>
      </c>
      <c r="I3745">
        <v>3</v>
      </c>
      <c r="J3745" t="s">
        <v>23</v>
      </c>
      <c r="K3745" s="59" t="s">
        <v>23</v>
      </c>
    </row>
    <row r="3746" spans="1:11" x14ac:dyDescent="0.2">
      <c r="A3746" t="s">
        <v>3785</v>
      </c>
      <c r="B3746">
        <v>2024</v>
      </c>
      <c r="C3746" t="s">
        <v>33</v>
      </c>
      <c r="D3746">
        <v>83</v>
      </c>
      <c r="E3746" t="s">
        <v>25</v>
      </c>
      <c r="F3746" t="s">
        <v>26</v>
      </c>
      <c r="G3746" t="s">
        <v>15</v>
      </c>
      <c r="H3746">
        <v>1.207133472294913</v>
      </c>
      <c r="I3746">
        <v>2</v>
      </c>
      <c r="J3746" t="s">
        <v>23</v>
      </c>
      <c r="K3746" s="59" t="s">
        <v>4376</v>
      </c>
    </row>
    <row r="3747" spans="1:11" x14ac:dyDescent="0.2">
      <c r="A3747" t="s">
        <v>3786</v>
      </c>
      <c r="B3747">
        <v>2023</v>
      </c>
      <c r="C3747" t="s">
        <v>33</v>
      </c>
      <c r="D3747">
        <v>383</v>
      </c>
      <c r="E3747" t="s">
        <v>29</v>
      </c>
      <c r="F3747" t="s">
        <v>30</v>
      </c>
      <c r="G3747" t="s">
        <v>15</v>
      </c>
      <c r="H3747">
        <v>0.21436445001295959</v>
      </c>
      <c r="I3747">
        <v>4</v>
      </c>
      <c r="J3747" t="s">
        <v>16</v>
      </c>
      <c r="K3747" s="59" t="s">
        <v>4376</v>
      </c>
    </row>
    <row r="3748" spans="1:11" x14ac:dyDescent="0.2">
      <c r="A3748" t="s">
        <v>3787</v>
      </c>
      <c r="B3748">
        <v>2023</v>
      </c>
      <c r="C3748" t="s">
        <v>33</v>
      </c>
      <c r="D3748">
        <v>383</v>
      </c>
      <c r="E3748" t="s">
        <v>29</v>
      </c>
      <c r="F3748" t="s">
        <v>30</v>
      </c>
      <c r="G3748" t="s">
        <v>15</v>
      </c>
      <c r="H3748">
        <v>0.21436445001295959</v>
      </c>
      <c r="I3748">
        <v>4</v>
      </c>
      <c r="J3748" t="s">
        <v>16</v>
      </c>
      <c r="K3748" s="59" t="s">
        <v>23</v>
      </c>
    </row>
    <row r="3749" spans="1:11" x14ac:dyDescent="0.2">
      <c r="A3749" t="s">
        <v>3788</v>
      </c>
      <c r="B3749">
        <v>2022</v>
      </c>
      <c r="C3749" t="s">
        <v>33</v>
      </c>
      <c r="D3749">
        <v>353</v>
      </c>
      <c r="E3749" t="s">
        <v>53</v>
      </c>
      <c r="F3749" t="s">
        <v>54</v>
      </c>
      <c r="G3749" t="s">
        <v>15</v>
      </c>
      <c r="H3749">
        <v>0.46058692577733279</v>
      </c>
      <c r="I3749">
        <v>3</v>
      </c>
      <c r="J3749" t="s">
        <v>16</v>
      </c>
      <c r="K3749" s="59" t="s">
        <v>4376</v>
      </c>
    </row>
    <row r="3750" spans="1:11" x14ac:dyDescent="0.2">
      <c r="A3750" t="s">
        <v>3789</v>
      </c>
      <c r="B3750">
        <v>2023</v>
      </c>
      <c r="C3750" t="s">
        <v>33</v>
      </c>
      <c r="D3750">
        <v>383</v>
      </c>
      <c r="E3750" t="s">
        <v>29</v>
      </c>
      <c r="F3750" t="s">
        <v>30</v>
      </c>
      <c r="G3750" t="s">
        <v>15</v>
      </c>
      <c r="H3750">
        <v>0.21436445001295959</v>
      </c>
      <c r="I3750">
        <v>4</v>
      </c>
      <c r="J3750" t="s">
        <v>16</v>
      </c>
      <c r="K3750" s="59" t="s">
        <v>17</v>
      </c>
    </row>
    <row r="3751" spans="1:11" x14ac:dyDescent="0.2">
      <c r="A3751" t="s">
        <v>3790</v>
      </c>
      <c r="B3751">
        <v>2023</v>
      </c>
      <c r="C3751" t="s">
        <v>33</v>
      </c>
      <c r="D3751">
        <v>385</v>
      </c>
      <c r="E3751" t="s">
        <v>29</v>
      </c>
      <c r="F3751" t="s">
        <v>30</v>
      </c>
      <c r="G3751" t="s">
        <v>15</v>
      </c>
      <c r="H3751">
        <v>0.21957583595669691</v>
      </c>
      <c r="I3751">
        <v>4</v>
      </c>
      <c r="J3751" t="s">
        <v>16</v>
      </c>
      <c r="K3751" s="59" t="s">
        <v>4376</v>
      </c>
    </row>
    <row r="3752" spans="1:11" x14ac:dyDescent="0.2">
      <c r="A3752" t="s">
        <v>3791</v>
      </c>
      <c r="B3752">
        <v>2021</v>
      </c>
      <c r="C3752" t="s">
        <v>12</v>
      </c>
      <c r="D3752">
        <v>235</v>
      </c>
      <c r="E3752" t="s">
        <v>25</v>
      </c>
      <c r="F3752" t="s">
        <v>26</v>
      </c>
      <c r="G3752" t="s">
        <v>15</v>
      </c>
      <c r="H3752">
        <v>0.57441016605355566</v>
      </c>
      <c r="I3752">
        <v>2</v>
      </c>
      <c r="J3752" t="s">
        <v>23</v>
      </c>
      <c r="K3752" s="59" t="s">
        <v>17</v>
      </c>
    </row>
    <row r="3753" spans="1:11" x14ac:dyDescent="0.2">
      <c r="A3753" t="s">
        <v>3792</v>
      </c>
      <c r="B3753">
        <v>2024</v>
      </c>
      <c r="C3753" t="s">
        <v>33</v>
      </c>
      <c r="D3753">
        <v>73</v>
      </c>
      <c r="E3753" t="s">
        <v>25</v>
      </c>
      <c r="F3753" t="s">
        <v>26</v>
      </c>
      <c r="G3753" t="s">
        <v>15</v>
      </c>
      <c r="H3753">
        <v>1.207133472294913</v>
      </c>
      <c r="I3753">
        <v>2</v>
      </c>
      <c r="J3753" t="s">
        <v>23</v>
      </c>
      <c r="K3753" s="59" t="s">
        <v>17</v>
      </c>
    </row>
    <row r="3754" spans="1:11" x14ac:dyDescent="0.2">
      <c r="A3754" t="s">
        <v>3793</v>
      </c>
      <c r="B3754">
        <v>2022</v>
      </c>
      <c r="C3754" t="s">
        <v>33</v>
      </c>
      <c r="D3754">
        <v>353</v>
      </c>
      <c r="E3754" t="s">
        <v>53</v>
      </c>
      <c r="F3754" t="s">
        <v>54</v>
      </c>
      <c r="G3754" t="s">
        <v>15</v>
      </c>
      <c r="H3754">
        <v>0.46058692577733279</v>
      </c>
      <c r="I3754">
        <v>3</v>
      </c>
      <c r="J3754" t="s">
        <v>16</v>
      </c>
      <c r="K3754" s="59" t="s">
        <v>4376</v>
      </c>
    </row>
    <row r="3755" spans="1:11" x14ac:dyDescent="0.2">
      <c r="A3755" t="s">
        <v>3794</v>
      </c>
      <c r="B3755">
        <v>2024</v>
      </c>
      <c r="C3755" t="s">
        <v>33</v>
      </c>
      <c r="D3755">
        <v>598</v>
      </c>
      <c r="E3755" t="s">
        <v>53</v>
      </c>
      <c r="F3755" t="s">
        <v>54</v>
      </c>
      <c r="G3755" t="s">
        <v>15</v>
      </c>
      <c r="H3755">
        <v>-0.340911879999171</v>
      </c>
      <c r="I3755">
        <v>3</v>
      </c>
      <c r="J3755" t="s">
        <v>16</v>
      </c>
      <c r="K3755" s="59" t="s">
        <v>4376</v>
      </c>
    </row>
    <row r="3756" spans="1:11" x14ac:dyDescent="0.2">
      <c r="A3756" t="s">
        <v>3795</v>
      </c>
      <c r="B3756">
        <v>2024</v>
      </c>
      <c r="C3756" t="s">
        <v>33</v>
      </c>
      <c r="D3756">
        <v>598</v>
      </c>
      <c r="E3756" t="s">
        <v>53</v>
      </c>
      <c r="F3756" t="s">
        <v>54</v>
      </c>
      <c r="G3756" t="s">
        <v>15</v>
      </c>
      <c r="H3756">
        <v>-0.340911879999171</v>
      </c>
      <c r="I3756">
        <v>3</v>
      </c>
      <c r="J3756" t="s">
        <v>16</v>
      </c>
      <c r="K3756" s="59" t="s">
        <v>4376</v>
      </c>
    </row>
    <row r="3757" spans="1:11" x14ac:dyDescent="0.2">
      <c r="A3757" t="s">
        <v>3796</v>
      </c>
      <c r="B3757">
        <v>2024</v>
      </c>
      <c r="C3757" t="s">
        <v>33</v>
      </c>
      <c r="D3757">
        <v>598</v>
      </c>
      <c r="E3757" t="s">
        <v>53</v>
      </c>
      <c r="F3757" t="s">
        <v>54</v>
      </c>
      <c r="G3757" t="s">
        <v>15</v>
      </c>
      <c r="H3757">
        <v>-0.340911879999171</v>
      </c>
      <c r="I3757">
        <v>3</v>
      </c>
      <c r="J3757" t="s">
        <v>16</v>
      </c>
      <c r="K3757" s="59" t="s">
        <v>4376</v>
      </c>
    </row>
    <row r="3758" spans="1:11" x14ac:dyDescent="0.2">
      <c r="A3758" t="s">
        <v>3797</v>
      </c>
      <c r="B3758">
        <v>2024</v>
      </c>
      <c r="C3758" t="s">
        <v>33</v>
      </c>
      <c r="D3758">
        <v>598</v>
      </c>
      <c r="E3758" t="s">
        <v>53</v>
      </c>
      <c r="F3758" t="s">
        <v>54</v>
      </c>
      <c r="G3758" t="s">
        <v>15</v>
      </c>
      <c r="H3758">
        <v>-0.340911879999171</v>
      </c>
      <c r="I3758">
        <v>3</v>
      </c>
      <c r="J3758" t="s">
        <v>16</v>
      </c>
      <c r="K3758" s="59" t="s">
        <v>4376</v>
      </c>
    </row>
    <row r="3759" spans="1:11" x14ac:dyDescent="0.2">
      <c r="A3759" t="s">
        <v>3798</v>
      </c>
      <c r="B3759">
        <v>2021</v>
      </c>
      <c r="C3759" t="s">
        <v>19</v>
      </c>
      <c r="D3759">
        <v>382</v>
      </c>
      <c r="E3759" t="s">
        <v>29</v>
      </c>
      <c r="F3759" t="s">
        <v>30</v>
      </c>
      <c r="G3759" t="s">
        <v>15</v>
      </c>
      <c r="H3759">
        <v>-0.1911280323988247</v>
      </c>
      <c r="I3759">
        <v>4</v>
      </c>
      <c r="J3759" t="s">
        <v>23</v>
      </c>
      <c r="K3759" s="59" t="s">
        <v>17</v>
      </c>
    </row>
    <row r="3760" spans="1:11" x14ac:dyDescent="0.2">
      <c r="A3760" t="s">
        <v>3799</v>
      </c>
      <c r="B3760">
        <v>2022</v>
      </c>
      <c r="C3760" t="s">
        <v>12</v>
      </c>
      <c r="D3760">
        <v>545</v>
      </c>
      <c r="E3760" t="s">
        <v>13</v>
      </c>
      <c r="F3760" t="s">
        <v>14</v>
      </c>
      <c r="G3760" t="s">
        <v>44</v>
      </c>
      <c r="H3760">
        <v>0.88309112287143565</v>
      </c>
      <c r="I3760">
        <v>4</v>
      </c>
      <c r="J3760" t="s">
        <v>16</v>
      </c>
      <c r="K3760" s="59" t="s">
        <v>17</v>
      </c>
    </row>
    <row r="3761" spans="1:11" x14ac:dyDescent="0.2">
      <c r="A3761" t="s">
        <v>3800</v>
      </c>
      <c r="B3761">
        <v>2023</v>
      </c>
      <c r="C3761" t="s">
        <v>33</v>
      </c>
      <c r="D3761">
        <v>383</v>
      </c>
      <c r="E3761" t="s">
        <v>29</v>
      </c>
      <c r="F3761" t="s">
        <v>30</v>
      </c>
      <c r="G3761" t="s">
        <v>15</v>
      </c>
      <c r="H3761">
        <v>0.21436445001295959</v>
      </c>
      <c r="I3761">
        <v>4</v>
      </c>
      <c r="J3761" t="s">
        <v>16</v>
      </c>
      <c r="K3761" s="59" t="s">
        <v>4376</v>
      </c>
    </row>
    <row r="3762" spans="1:11" x14ac:dyDescent="0.2">
      <c r="A3762" t="s">
        <v>3801</v>
      </c>
      <c r="B3762">
        <v>2023</v>
      </c>
      <c r="C3762" t="s">
        <v>33</v>
      </c>
      <c r="D3762">
        <v>383</v>
      </c>
      <c r="E3762" t="s">
        <v>29</v>
      </c>
      <c r="F3762" t="s">
        <v>30</v>
      </c>
      <c r="G3762" t="s">
        <v>15</v>
      </c>
      <c r="H3762">
        <v>0.21436445001295959</v>
      </c>
      <c r="I3762">
        <v>4</v>
      </c>
      <c r="J3762" t="s">
        <v>16</v>
      </c>
      <c r="K3762" s="59" t="s">
        <v>4376</v>
      </c>
    </row>
    <row r="3763" spans="1:11" x14ac:dyDescent="0.2">
      <c r="A3763" t="s">
        <v>3802</v>
      </c>
      <c r="B3763">
        <v>2024</v>
      </c>
      <c r="C3763" t="s">
        <v>33</v>
      </c>
      <c r="D3763">
        <v>598</v>
      </c>
      <c r="E3763" t="s">
        <v>53</v>
      </c>
      <c r="F3763" t="s">
        <v>54</v>
      </c>
      <c r="G3763" t="s">
        <v>15</v>
      </c>
      <c r="H3763">
        <v>-0.340911879999171</v>
      </c>
      <c r="I3763">
        <v>3</v>
      </c>
      <c r="J3763" t="s">
        <v>16</v>
      </c>
      <c r="K3763" s="59" t="s">
        <v>4376</v>
      </c>
    </row>
    <row r="3764" spans="1:11" x14ac:dyDescent="0.2">
      <c r="A3764" t="s">
        <v>3803</v>
      </c>
      <c r="B3764">
        <v>2022</v>
      </c>
      <c r="C3764" t="s">
        <v>33</v>
      </c>
      <c r="D3764">
        <v>353</v>
      </c>
      <c r="E3764" t="s">
        <v>53</v>
      </c>
      <c r="F3764" t="s">
        <v>54</v>
      </c>
      <c r="G3764" t="s">
        <v>15</v>
      </c>
      <c r="H3764">
        <v>0.46058692577733279</v>
      </c>
      <c r="I3764">
        <v>3</v>
      </c>
      <c r="J3764" t="s">
        <v>16</v>
      </c>
      <c r="K3764" s="59" t="s">
        <v>4376</v>
      </c>
    </row>
    <row r="3765" spans="1:11" x14ac:dyDescent="0.2">
      <c r="A3765" t="s">
        <v>3804</v>
      </c>
      <c r="B3765">
        <v>2022</v>
      </c>
      <c r="C3765" t="s">
        <v>33</v>
      </c>
      <c r="D3765">
        <v>68</v>
      </c>
      <c r="E3765" t="s">
        <v>25</v>
      </c>
      <c r="F3765" t="s">
        <v>26</v>
      </c>
      <c r="G3765" t="s">
        <v>15</v>
      </c>
      <c r="H3765">
        <v>-2.2511336181909352</v>
      </c>
      <c r="I3765">
        <v>2</v>
      </c>
      <c r="J3765" t="s">
        <v>23</v>
      </c>
      <c r="K3765" s="59" t="s">
        <v>4376</v>
      </c>
    </row>
    <row r="3766" spans="1:11" x14ac:dyDescent="0.2">
      <c r="A3766" t="s">
        <v>3805</v>
      </c>
      <c r="B3766">
        <v>2024</v>
      </c>
      <c r="C3766" t="s">
        <v>33</v>
      </c>
      <c r="D3766">
        <v>598</v>
      </c>
      <c r="E3766" t="s">
        <v>53</v>
      </c>
      <c r="F3766" t="s">
        <v>54</v>
      </c>
      <c r="G3766" t="s">
        <v>15</v>
      </c>
      <c r="H3766">
        <v>-0.340911879999171</v>
      </c>
      <c r="I3766">
        <v>3</v>
      </c>
      <c r="J3766" t="s">
        <v>16</v>
      </c>
      <c r="K3766" s="59" t="s">
        <v>4376</v>
      </c>
    </row>
    <row r="3767" spans="1:11" x14ac:dyDescent="0.2">
      <c r="A3767" t="s">
        <v>3806</v>
      </c>
      <c r="B3767">
        <v>2024</v>
      </c>
      <c r="C3767" t="s">
        <v>33</v>
      </c>
      <c r="D3767">
        <v>598</v>
      </c>
      <c r="E3767" t="s">
        <v>53</v>
      </c>
      <c r="F3767" t="s">
        <v>54</v>
      </c>
      <c r="G3767" t="s">
        <v>15</v>
      </c>
      <c r="H3767">
        <v>-0.340911879999171</v>
      </c>
      <c r="I3767">
        <v>3</v>
      </c>
      <c r="J3767" t="s">
        <v>16</v>
      </c>
      <c r="K3767" s="59" t="s">
        <v>4376</v>
      </c>
    </row>
    <row r="3768" spans="1:11" x14ac:dyDescent="0.2">
      <c r="A3768" t="s">
        <v>3807</v>
      </c>
      <c r="B3768">
        <v>2024</v>
      </c>
      <c r="C3768" t="s">
        <v>33</v>
      </c>
      <c r="D3768">
        <v>596</v>
      </c>
      <c r="E3768" t="s">
        <v>53</v>
      </c>
      <c r="F3768" t="s">
        <v>54</v>
      </c>
      <c r="G3768" t="s">
        <v>15</v>
      </c>
      <c r="H3768">
        <v>-0.34369613422991568</v>
      </c>
      <c r="I3768">
        <v>3</v>
      </c>
      <c r="J3768" t="s">
        <v>16</v>
      </c>
      <c r="K3768" s="59" t="s">
        <v>23</v>
      </c>
    </row>
    <row r="3769" spans="1:11" x14ac:dyDescent="0.2">
      <c r="A3769" t="s">
        <v>3808</v>
      </c>
      <c r="B3769">
        <v>2022</v>
      </c>
      <c r="C3769" t="s">
        <v>33</v>
      </c>
      <c r="D3769">
        <v>274</v>
      </c>
      <c r="E3769" t="s">
        <v>53</v>
      </c>
      <c r="F3769" t="s">
        <v>54</v>
      </c>
      <c r="G3769" t="s">
        <v>36</v>
      </c>
      <c r="H3769">
        <v>0.15022487834867609</v>
      </c>
      <c r="I3769">
        <v>3</v>
      </c>
      <c r="J3769" t="s">
        <v>16</v>
      </c>
      <c r="K3769" s="59" t="s">
        <v>4376</v>
      </c>
    </row>
    <row r="3770" spans="1:11" x14ac:dyDescent="0.2">
      <c r="A3770" t="s">
        <v>3809</v>
      </c>
      <c r="B3770">
        <v>2021</v>
      </c>
      <c r="C3770" t="s">
        <v>19</v>
      </c>
      <c r="D3770">
        <v>367</v>
      </c>
      <c r="E3770" t="s">
        <v>38</v>
      </c>
      <c r="F3770" t="s">
        <v>39</v>
      </c>
      <c r="G3770" t="s">
        <v>15</v>
      </c>
      <c r="H3770">
        <v>0.69029355547504967</v>
      </c>
      <c r="I3770">
        <v>3</v>
      </c>
      <c r="J3770" t="s">
        <v>23</v>
      </c>
      <c r="K3770" s="59" t="s">
        <v>17</v>
      </c>
    </row>
    <row r="3771" spans="1:11" x14ac:dyDescent="0.2">
      <c r="A3771" t="s">
        <v>3810</v>
      </c>
      <c r="B3771">
        <v>2023</v>
      </c>
      <c r="C3771" t="s">
        <v>33</v>
      </c>
      <c r="D3771">
        <v>383</v>
      </c>
      <c r="E3771" t="s">
        <v>29</v>
      </c>
      <c r="F3771" t="s">
        <v>30</v>
      </c>
      <c r="G3771" t="s">
        <v>15</v>
      </c>
      <c r="H3771">
        <v>0.21436445001295959</v>
      </c>
      <c r="I3771">
        <v>4</v>
      </c>
      <c r="J3771" t="s">
        <v>16</v>
      </c>
      <c r="K3771" s="59" t="s">
        <v>4376</v>
      </c>
    </row>
    <row r="3772" spans="1:11" x14ac:dyDescent="0.2">
      <c r="A3772" t="s">
        <v>3811</v>
      </c>
      <c r="B3772">
        <v>2021</v>
      </c>
      <c r="C3772" t="s">
        <v>19</v>
      </c>
      <c r="D3772">
        <v>85</v>
      </c>
      <c r="E3772" t="s">
        <v>25</v>
      </c>
      <c r="F3772" t="s">
        <v>26</v>
      </c>
      <c r="G3772" t="s">
        <v>15</v>
      </c>
      <c r="H3772">
        <v>-1.0594897773729199</v>
      </c>
      <c r="I3772">
        <v>2</v>
      </c>
      <c r="J3772" t="s">
        <v>23</v>
      </c>
      <c r="K3772" s="59" t="s">
        <v>23</v>
      </c>
    </row>
    <row r="3773" spans="1:11" x14ac:dyDescent="0.2">
      <c r="A3773" t="s">
        <v>3812</v>
      </c>
      <c r="B3773">
        <v>2024</v>
      </c>
      <c r="C3773" t="s">
        <v>33</v>
      </c>
      <c r="D3773">
        <v>596</v>
      </c>
      <c r="E3773" t="s">
        <v>53</v>
      </c>
      <c r="F3773" t="s">
        <v>54</v>
      </c>
      <c r="G3773" t="s">
        <v>15</v>
      </c>
      <c r="H3773">
        <v>-0.34369613422991568</v>
      </c>
      <c r="I3773">
        <v>3</v>
      </c>
      <c r="J3773" t="s">
        <v>16</v>
      </c>
      <c r="K3773" s="59" t="s">
        <v>4376</v>
      </c>
    </row>
    <row r="3774" spans="1:11" x14ac:dyDescent="0.2">
      <c r="A3774" t="s">
        <v>3813</v>
      </c>
      <c r="B3774">
        <v>2022</v>
      </c>
      <c r="C3774" t="s">
        <v>33</v>
      </c>
      <c r="D3774">
        <v>353</v>
      </c>
      <c r="E3774" t="s">
        <v>53</v>
      </c>
      <c r="F3774" t="s">
        <v>54</v>
      </c>
      <c r="G3774" t="s">
        <v>15</v>
      </c>
      <c r="H3774">
        <v>0.46058692577733279</v>
      </c>
      <c r="I3774">
        <v>3</v>
      </c>
      <c r="J3774" t="s">
        <v>16</v>
      </c>
      <c r="K3774" s="59" t="s">
        <v>4376</v>
      </c>
    </row>
    <row r="3775" spans="1:11" x14ac:dyDescent="0.2">
      <c r="A3775" t="s">
        <v>3814</v>
      </c>
      <c r="B3775">
        <v>2021</v>
      </c>
      <c r="C3775" t="s">
        <v>19</v>
      </c>
      <c r="D3775">
        <v>275</v>
      </c>
      <c r="E3775" t="s">
        <v>29</v>
      </c>
      <c r="F3775" t="s">
        <v>30</v>
      </c>
      <c r="G3775" t="s">
        <v>15</v>
      </c>
      <c r="H3775">
        <v>1.1203577667033859</v>
      </c>
      <c r="I3775">
        <v>4</v>
      </c>
      <c r="J3775" t="s">
        <v>23</v>
      </c>
      <c r="K3775" s="59" t="s">
        <v>17</v>
      </c>
    </row>
    <row r="3776" spans="1:11" x14ac:dyDescent="0.2">
      <c r="A3776" t="s">
        <v>3815</v>
      </c>
      <c r="B3776">
        <v>2024</v>
      </c>
      <c r="C3776" t="s">
        <v>33</v>
      </c>
      <c r="D3776">
        <v>596</v>
      </c>
      <c r="E3776" t="s">
        <v>53</v>
      </c>
      <c r="F3776" t="s">
        <v>54</v>
      </c>
      <c r="G3776" t="s">
        <v>15</v>
      </c>
      <c r="H3776">
        <v>-0.34369613422991568</v>
      </c>
      <c r="I3776">
        <v>3</v>
      </c>
      <c r="J3776" t="s">
        <v>16</v>
      </c>
      <c r="K3776" s="59" t="s">
        <v>4376</v>
      </c>
    </row>
    <row r="3777" spans="1:11" x14ac:dyDescent="0.2">
      <c r="A3777" t="s">
        <v>3816</v>
      </c>
      <c r="B3777">
        <v>2024</v>
      </c>
      <c r="C3777" t="s">
        <v>33</v>
      </c>
      <c r="D3777">
        <v>596</v>
      </c>
      <c r="E3777" t="s">
        <v>53</v>
      </c>
      <c r="F3777" t="s">
        <v>54</v>
      </c>
      <c r="G3777" t="s">
        <v>15</v>
      </c>
      <c r="H3777">
        <v>-0.34369613422991568</v>
      </c>
      <c r="I3777">
        <v>3</v>
      </c>
      <c r="J3777" t="s">
        <v>16</v>
      </c>
      <c r="K3777" s="59" t="s">
        <v>4376</v>
      </c>
    </row>
    <row r="3778" spans="1:11" x14ac:dyDescent="0.2">
      <c r="A3778" t="s">
        <v>3817</v>
      </c>
      <c r="B3778">
        <v>2024</v>
      </c>
      <c r="C3778" t="s">
        <v>33</v>
      </c>
      <c r="D3778">
        <v>596</v>
      </c>
      <c r="E3778" t="s">
        <v>53</v>
      </c>
      <c r="F3778" t="s">
        <v>54</v>
      </c>
      <c r="G3778" t="s">
        <v>15</v>
      </c>
      <c r="H3778">
        <v>-0.34369613422991568</v>
      </c>
      <c r="I3778">
        <v>3</v>
      </c>
      <c r="J3778" t="s">
        <v>16</v>
      </c>
      <c r="K3778" s="59" t="s">
        <v>4376</v>
      </c>
    </row>
    <row r="3779" spans="1:11" x14ac:dyDescent="0.2">
      <c r="A3779" t="s">
        <v>3818</v>
      </c>
      <c r="B3779">
        <v>2023</v>
      </c>
      <c r="C3779" t="s">
        <v>19</v>
      </c>
      <c r="D3779">
        <v>394</v>
      </c>
      <c r="E3779" t="s">
        <v>38</v>
      </c>
      <c r="F3779" t="s">
        <v>39</v>
      </c>
      <c r="G3779" t="s">
        <v>15</v>
      </c>
      <c r="H3779">
        <v>-1.9264873608078889E-3</v>
      </c>
      <c r="I3779">
        <v>3</v>
      </c>
      <c r="J3779" t="s">
        <v>16</v>
      </c>
      <c r="K3779" s="59" t="s">
        <v>23</v>
      </c>
    </row>
    <row r="3780" spans="1:11" x14ac:dyDescent="0.2">
      <c r="A3780" t="s">
        <v>3819</v>
      </c>
      <c r="B3780">
        <v>2021</v>
      </c>
      <c r="C3780" t="s">
        <v>19</v>
      </c>
      <c r="D3780">
        <v>141</v>
      </c>
      <c r="E3780" t="s">
        <v>25</v>
      </c>
      <c r="F3780" t="s">
        <v>26</v>
      </c>
      <c r="G3780" t="s">
        <v>80</v>
      </c>
      <c r="H3780">
        <v>1.4520940578709931</v>
      </c>
      <c r="I3780">
        <v>2</v>
      </c>
      <c r="J3780" t="s">
        <v>23</v>
      </c>
      <c r="K3780" s="59" t="s">
        <v>17</v>
      </c>
    </row>
    <row r="3781" spans="1:11" x14ac:dyDescent="0.2">
      <c r="A3781" t="s">
        <v>3820</v>
      </c>
      <c r="B3781">
        <v>2024</v>
      </c>
      <c r="C3781" t="s">
        <v>33</v>
      </c>
      <c r="D3781">
        <v>596</v>
      </c>
      <c r="E3781" t="s">
        <v>53</v>
      </c>
      <c r="F3781" t="s">
        <v>54</v>
      </c>
      <c r="G3781" t="s">
        <v>15</v>
      </c>
      <c r="H3781">
        <v>-0.34369613422991568</v>
      </c>
      <c r="I3781">
        <v>3</v>
      </c>
      <c r="J3781" t="s">
        <v>16</v>
      </c>
      <c r="K3781" s="59" t="s">
        <v>4376</v>
      </c>
    </row>
    <row r="3782" spans="1:11" x14ac:dyDescent="0.2">
      <c r="A3782" t="s">
        <v>3821</v>
      </c>
      <c r="B3782">
        <v>2021</v>
      </c>
      <c r="C3782" t="s">
        <v>12</v>
      </c>
      <c r="D3782">
        <v>41</v>
      </c>
      <c r="E3782" t="s">
        <v>13</v>
      </c>
      <c r="F3782" t="s">
        <v>14</v>
      </c>
      <c r="G3782" t="s">
        <v>34</v>
      </c>
      <c r="H3782">
        <v>-2.2342640226275892</v>
      </c>
      <c r="I3782">
        <v>4</v>
      </c>
      <c r="J3782" t="s">
        <v>17</v>
      </c>
      <c r="K3782" s="59" t="s">
        <v>4376</v>
      </c>
    </row>
    <row r="3783" spans="1:11" x14ac:dyDescent="0.2">
      <c r="A3783" t="s">
        <v>3822</v>
      </c>
      <c r="B3783">
        <v>2023</v>
      </c>
      <c r="C3783" t="s">
        <v>33</v>
      </c>
      <c r="D3783">
        <v>385</v>
      </c>
      <c r="E3783" t="s">
        <v>29</v>
      </c>
      <c r="F3783" t="s">
        <v>30</v>
      </c>
      <c r="G3783" t="s">
        <v>15</v>
      </c>
      <c r="H3783">
        <v>0.21957583595669691</v>
      </c>
      <c r="I3783">
        <v>4</v>
      </c>
      <c r="J3783" t="s">
        <v>16</v>
      </c>
      <c r="K3783" s="59" t="s">
        <v>4376</v>
      </c>
    </row>
    <row r="3784" spans="1:11" x14ac:dyDescent="0.2">
      <c r="A3784" t="s">
        <v>3823</v>
      </c>
      <c r="B3784">
        <v>2022</v>
      </c>
      <c r="C3784" t="s">
        <v>33</v>
      </c>
      <c r="D3784">
        <v>353</v>
      </c>
      <c r="E3784" t="s">
        <v>53</v>
      </c>
      <c r="F3784" t="s">
        <v>54</v>
      </c>
      <c r="G3784" t="s">
        <v>15</v>
      </c>
      <c r="H3784">
        <v>0.46058692577733279</v>
      </c>
      <c r="I3784">
        <v>3</v>
      </c>
      <c r="J3784" t="s">
        <v>16</v>
      </c>
      <c r="K3784" s="59" t="s">
        <v>4376</v>
      </c>
    </row>
    <row r="3785" spans="1:11" x14ac:dyDescent="0.2">
      <c r="A3785" t="s">
        <v>3824</v>
      </c>
      <c r="B3785">
        <v>2024</v>
      </c>
      <c r="C3785" t="s">
        <v>33</v>
      </c>
      <c r="D3785">
        <v>596</v>
      </c>
      <c r="E3785" t="s">
        <v>53</v>
      </c>
      <c r="F3785" t="s">
        <v>54</v>
      </c>
      <c r="G3785" t="s">
        <v>15</v>
      </c>
      <c r="H3785">
        <v>-0.34369613422991568</v>
      </c>
      <c r="I3785">
        <v>3</v>
      </c>
      <c r="J3785" t="s">
        <v>16</v>
      </c>
      <c r="K3785" s="59" t="s">
        <v>4376</v>
      </c>
    </row>
    <row r="3786" spans="1:11" x14ac:dyDescent="0.2">
      <c r="A3786" t="s">
        <v>3825</v>
      </c>
      <c r="B3786">
        <v>2021</v>
      </c>
      <c r="C3786" t="s">
        <v>19</v>
      </c>
      <c r="D3786">
        <v>315</v>
      </c>
      <c r="E3786" t="s">
        <v>29</v>
      </c>
      <c r="F3786" t="s">
        <v>30</v>
      </c>
      <c r="G3786" t="s">
        <v>15</v>
      </c>
      <c r="H3786">
        <v>0.71130963643007428</v>
      </c>
      <c r="I3786">
        <v>4</v>
      </c>
      <c r="J3786" t="s">
        <v>16</v>
      </c>
      <c r="K3786" s="59" t="s">
        <v>17</v>
      </c>
    </row>
    <row r="3787" spans="1:11" x14ac:dyDescent="0.2">
      <c r="A3787" t="s">
        <v>3826</v>
      </c>
      <c r="B3787">
        <v>2024</v>
      </c>
      <c r="C3787" t="s">
        <v>33</v>
      </c>
      <c r="D3787">
        <v>596</v>
      </c>
      <c r="E3787" t="s">
        <v>53</v>
      </c>
      <c r="F3787" t="s">
        <v>54</v>
      </c>
      <c r="G3787" t="s">
        <v>15</v>
      </c>
      <c r="H3787">
        <v>-0.34369613422991568</v>
      </c>
      <c r="I3787">
        <v>3</v>
      </c>
      <c r="J3787" t="s">
        <v>16</v>
      </c>
      <c r="K3787" s="59" t="s">
        <v>4376</v>
      </c>
    </row>
    <row r="3788" spans="1:11" x14ac:dyDescent="0.2">
      <c r="A3788" t="s">
        <v>3827</v>
      </c>
      <c r="B3788">
        <v>2024</v>
      </c>
      <c r="C3788" t="s">
        <v>33</v>
      </c>
      <c r="D3788">
        <v>596</v>
      </c>
      <c r="E3788" t="s">
        <v>53</v>
      </c>
      <c r="F3788" t="s">
        <v>54</v>
      </c>
      <c r="G3788" t="s">
        <v>15</v>
      </c>
      <c r="H3788">
        <v>-0.34369613422991568</v>
      </c>
      <c r="I3788">
        <v>3</v>
      </c>
      <c r="J3788" t="s">
        <v>16</v>
      </c>
      <c r="K3788" s="59" t="s">
        <v>4376</v>
      </c>
    </row>
    <row r="3789" spans="1:11" x14ac:dyDescent="0.2">
      <c r="A3789" t="s">
        <v>3828</v>
      </c>
      <c r="B3789">
        <v>2024</v>
      </c>
      <c r="C3789" t="s">
        <v>33</v>
      </c>
      <c r="D3789">
        <v>596</v>
      </c>
      <c r="E3789" t="s">
        <v>53</v>
      </c>
      <c r="F3789" t="s">
        <v>54</v>
      </c>
      <c r="G3789" t="s">
        <v>15</v>
      </c>
      <c r="H3789">
        <v>-0.34369613422991568</v>
      </c>
      <c r="I3789">
        <v>3</v>
      </c>
      <c r="J3789" t="s">
        <v>16</v>
      </c>
      <c r="K3789" s="59" t="s">
        <v>4376</v>
      </c>
    </row>
    <row r="3790" spans="1:11" x14ac:dyDescent="0.2">
      <c r="A3790" t="s">
        <v>3829</v>
      </c>
      <c r="B3790">
        <v>2024</v>
      </c>
      <c r="C3790" t="s">
        <v>33</v>
      </c>
      <c r="D3790">
        <v>596</v>
      </c>
      <c r="E3790" t="s">
        <v>53</v>
      </c>
      <c r="F3790" t="s">
        <v>54</v>
      </c>
      <c r="G3790" t="s">
        <v>15</v>
      </c>
      <c r="H3790">
        <v>-0.34369613422991568</v>
      </c>
      <c r="I3790">
        <v>3</v>
      </c>
      <c r="J3790" t="s">
        <v>16</v>
      </c>
      <c r="K3790" s="59" t="s">
        <v>4376</v>
      </c>
    </row>
    <row r="3791" spans="1:11" x14ac:dyDescent="0.2">
      <c r="A3791" t="s">
        <v>3830</v>
      </c>
      <c r="B3791">
        <v>2022</v>
      </c>
      <c r="C3791" t="s">
        <v>33</v>
      </c>
      <c r="D3791">
        <v>353</v>
      </c>
      <c r="E3791" t="s">
        <v>53</v>
      </c>
      <c r="F3791" t="s">
        <v>54</v>
      </c>
      <c r="G3791" t="s">
        <v>15</v>
      </c>
      <c r="H3791">
        <v>0.46058692577733279</v>
      </c>
      <c r="I3791">
        <v>3</v>
      </c>
      <c r="J3791" t="s">
        <v>16</v>
      </c>
      <c r="K3791" s="59" t="s">
        <v>4376</v>
      </c>
    </row>
    <row r="3792" spans="1:11" x14ac:dyDescent="0.2">
      <c r="A3792" t="s">
        <v>3831</v>
      </c>
      <c r="B3792">
        <v>2024</v>
      </c>
      <c r="C3792" t="s">
        <v>33</v>
      </c>
      <c r="D3792">
        <v>596</v>
      </c>
      <c r="E3792" t="s">
        <v>53</v>
      </c>
      <c r="F3792" t="s">
        <v>54</v>
      </c>
      <c r="G3792" t="s">
        <v>15</v>
      </c>
      <c r="H3792">
        <v>-0.34369613422991568</v>
      </c>
      <c r="I3792">
        <v>3</v>
      </c>
      <c r="J3792" t="s">
        <v>16</v>
      </c>
      <c r="K3792" s="59" t="s">
        <v>4376</v>
      </c>
    </row>
    <row r="3793" spans="1:11" x14ac:dyDescent="0.2">
      <c r="A3793" t="s">
        <v>3832</v>
      </c>
      <c r="B3793">
        <v>2021</v>
      </c>
      <c r="C3793" t="s">
        <v>33</v>
      </c>
      <c r="D3793">
        <v>350</v>
      </c>
      <c r="E3793" t="s">
        <v>25</v>
      </c>
      <c r="F3793" t="s">
        <v>26</v>
      </c>
      <c r="G3793" t="s">
        <v>36</v>
      </c>
      <c r="H3793">
        <v>1.137764102928235</v>
      </c>
      <c r="I3793">
        <v>2</v>
      </c>
      <c r="J3793" t="s">
        <v>16</v>
      </c>
      <c r="K3793" s="59" t="s">
        <v>16</v>
      </c>
    </row>
    <row r="3794" spans="1:11" x14ac:dyDescent="0.2">
      <c r="A3794" t="s">
        <v>3833</v>
      </c>
      <c r="B3794">
        <v>2023</v>
      </c>
      <c r="C3794" t="s">
        <v>33</v>
      </c>
      <c r="D3794">
        <v>383</v>
      </c>
      <c r="E3794" t="s">
        <v>29</v>
      </c>
      <c r="F3794" t="s">
        <v>30</v>
      </c>
      <c r="G3794" t="s">
        <v>15</v>
      </c>
      <c r="H3794">
        <v>0.21436445001295959</v>
      </c>
      <c r="I3794">
        <v>4</v>
      </c>
      <c r="J3794" t="s">
        <v>16</v>
      </c>
      <c r="K3794" s="59" t="s">
        <v>23</v>
      </c>
    </row>
    <row r="3795" spans="1:11" x14ac:dyDescent="0.2">
      <c r="A3795" t="s">
        <v>3834</v>
      </c>
      <c r="B3795">
        <v>2021</v>
      </c>
      <c r="C3795" t="s">
        <v>19</v>
      </c>
      <c r="D3795">
        <v>382</v>
      </c>
      <c r="E3795" t="s">
        <v>29</v>
      </c>
      <c r="F3795" t="s">
        <v>30</v>
      </c>
      <c r="G3795" t="s">
        <v>15</v>
      </c>
      <c r="H3795">
        <v>-0.1911280323988247</v>
      </c>
      <c r="I3795">
        <v>4</v>
      </c>
      <c r="J3795" t="s">
        <v>17</v>
      </c>
      <c r="K3795" s="59" t="s">
        <v>16</v>
      </c>
    </row>
    <row r="3796" spans="1:11" x14ac:dyDescent="0.2">
      <c r="A3796" t="s">
        <v>3835</v>
      </c>
      <c r="B3796">
        <v>2022</v>
      </c>
      <c r="C3796" t="s">
        <v>33</v>
      </c>
      <c r="D3796">
        <v>353</v>
      </c>
      <c r="E3796" t="s">
        <v>53</v>
      </c>
      <c r="F3796" t="s">
        <v>54</v>
      </c>
      <c r="G3796" t="s">
        <v>15</v>
      </c>
      <c r="H3796">
        <v>0.46058692577733279</v>
      </c>
      <c r="I3796">
        <v>3</v>
      </c>
      <c r="J3796" t="s">
        <v>16</v>
      </c>
      <c r="K3796" s="59" t="s">
        <v>4376</v>
      </c>
    </row>
    <row r="3797" spans="1:11" x14ac:dyDescent="0.2">
      <c r="A3797" t="s">
        <v>3836</v>
      </c>
      <c r="B3797">
        <v>2024</v>
      </c>
      <c r="C3797" t="s">
        <v>33</v>
      </c>
      <c r="D3797">
        <v>596</v>
      </c>
      <c r="E3797" t="s">
        <v>53</v>
      </c>
      <c r="F3797" t="s">
        <v>54</v>
      </c>
      <c r="G3797" t="s">
        <v>15</v>
      </c>
      <c r="H3797">
        <v>-0.34369613422991568</v>
      </c>
      <c r="I3797">
        <v>3</v>
      </c>
      <c r="J3797" t="s">
        <v>16</v>
      </c>
      <c r="K3797" s="59" t="s">
        <v>4376</v>
      </c>
    </row>
    <row r="3798" spans="1:11" x14ac:dyDescent="0.2">
      <c r="A3798" t="s">
        <v>3837</v>
      </c>
      <c r="B3798">
        <v>2024</v>
      </c>
      <c r="C3798" t="s">
        <v>33</v>
      </c>
      <c r="D3798">
        <v>596</v>
      </c>
      <c r="E3798" t="s">
        <v>53</v>
      </c>
      <c r="F3798" t="s">
        <v>54</v>
      </c>
      <c r="G3798" t="s">
        <v>15</v>
      </c>
      <c r="H3798">
        <v>-0.34369613422991568</v>
      </c>
      <c r="I3798">
        <v>3</v>
      </c>
      <c r="J3798" t="s">
        <v>16</v>
      </c>
      <c r="K3798" s="59" t="s">
        <v>4376</v>
      </c>
    </row>
    <row r="3799" spans="1:11" x14ac:dyDescent="0.2">
      <c r="A3799" t="s">
        <v>3838</v>
      </c>
      <c r="B3799">
        <v>2024</v>
      </c>
      <c r="C3799" t="s">
        <v>33</v>
      </c>
      <c r="D3799">
        <v>596</v>
      </c>
      <c r="E3799" t="s">
        <v>53</v>
      </c>
      <c r="F3799" t="s">
        <v>54</v>
      </c>
      <c r="G3799" t="s">
        <v>15</v>
      </c>
      <c r="H3799">
        <v>-0.34369613422991568</v>
      </c>
      <c r="I3799">
        <v>3</v>
      </c>
      <c r="J3799" t="s">
        <v>16</v>
      </c>
      <c r="K3799" s="59" t="s">
        <v>4376</v>
      </c>
    </row>
    <row r="3800" spans="1:11" x14ac:dyDescent="0.2">
      <c r="A3800" t="s">
        <v>3839</v>
      </c>
      <c r="B3800">
        <v>2024</v>
      </c>
      <c r="C3800" t="s">
        <v>33</v>
      </c>
      <c r="D3800">
        <v>596</v>
      </c>
      <c r="E3800" t="s">
        <v>53</v>
      </c>
      <c r="F3800" t="s">
        <v>54</v>
      </c>
      <c r="G3800" t="s">
        <v>15</v>
      </c>
      <c r="H3800">
        <v>-0.34369613422991568</v>
      </c>
      <c r="I3800">
        <v>3</v>
      </c>
      <c r="J3800" t="s">
        <v>16</v>
      </c>
      <c r="K3800" s="59" t="s">
        <v>4376</v>
      </c>
    </row>
    <row r="3801" spans="1:11" x14ac:dyDescent="0.2">
      <c r="A3801" t="s">
        <v>3840</v>
      </c>
      <c r="B3801">
        <v>2023</v>
      </c>
      <c r="C3801" t="s">
        <v>33</v>
      </c>
      <c r="D3801">
        <v>383</v>
      </c>
      <c r="E3801" t="s">
        <v>29</v>
      </c>
      <c r="F3801" t="s">
        <v>30</v>
      </c>
      <c r="G3801" t="s">
        <v>15</v>
      </c>
      <c r="H3801">
        <v>0.21436445001295959</v>
      </c>
      <c r="I3801">
        <v>4</v>
      </c>
      <c r="J3801" t="s">
        <v>16</v>
      </c>
      <c r="K3801" s="59" t="s">
        <v>4376</v>
      </c>
    </row>
    <row r="3802" spans="1:11" x14ac:dyDescent="0.2">
      <c r="A3802" t="s">
        <v>3841</v>
      </c>
      <c r="B3802">
        <v>2021</v>
      </c>
      <c r="C3802" t="s">
        <v>33</v>
      </c>
      <c r="D3802">
        <v>320</v>
      </c>
      <c r="E3802" t="s">
        <v>38</v>
      </c>
      <c r="F3802" t="s">
        <v>39</v>
      </c>
      <c r="G3802" t="s">
        <v>15</v>
      </c>
      <c r="H3802">
        <v>0.46994801100012379</v>
      </c>
      <c r="I3802">
        <v>3</v>
      </c>
      <c r="J3802" t="s">
        <v>16</v>
      </c>
      <c r="K3802" s="59" t="s">
        <v>4376</v>
      </c>
    </row>
    <row r="3803" spans="1:11" x14ac:dyDescent="0.2">
      <c r="A3803" t="s">
        <v>3842</v>
      </c>
      <c r="B3803">
        <v>2023</v>
      </c>
      <c r="C3803" t="s">
        <v>33</v>
      </c>
      <c r="D3803">
        <v>383</v>
      </c>
      <c r="E3803" t="s">
        <v>29</v>
      </c>
      <c r="F3803" t="s">
        <v>30</v>
      </c>
      <c r="G3803" t="s">
        <v>15</v>
      </c>
      <c r="H3803">
        <v>0.21436445001295959</v>
      </c>
      <c r="I3803">
        <v>4</v>
      </c>
      <c r="J3803" t="s">
        <v>16</v>
      </c>
      <c r="K3803" s="59" t="s">
        <v>4376</v>
      </c>
    </row>
    <row r="3804" spans="1:11" x14ac:dyDescent="0.2">
      <c r="A3804" t="s">
        <v>3843</v>
      </c>
      <c r="B3804">
        <v>2024</v>
      </c>
      <c r="C3804" t="s">
        <v>33</v>
      </c>
      <c r="D3804">
        <v>596</v>
      </c>
      <c r="E3804" t="s">
        <v>53</v>
      </c>
      <c r="F3804" t="s">
        <v>54</v>
      </c>
      <c r="G3804" t="s">
        <v>15</v>
      </c>
      <c r="H3804">
        <v>-0.34369613422991568</v>
      </c>
      <c r="I3804">
        <v>3</v>
      </c>
      <c r="J3804" t="s">
        <v>16</v>
      </c>
      <c r="K3804" s="59" t="s">
        <v>4376</v>
      </c>
    </row>
    <row r="3805" spans="1:11" x14ac:dyDescent="0.2">
      <c r="A3805" t="s">
        <v>3844</v>
      </c>
      <c r="B3805">
        <v>2021</v>
      </c>
      <c r="C3805" t="s">
        <v>19</v>
      </c>
      <c r="D3805">
        <v>307</v>
      </c>
      <c r="E3805" t="s">
        <v>38</v>
      </c>
      <c r="F3805" t="s">
        <v>39</v>
      </c>
      <c r="G3805" t="s">
        <v>15</v>
      </c>
      <c r="H3805">
        <v>0.64722356240672774</v>
      </c>
      <c r="I3805">
        <v>3</v>
      </c>
      <c r="J3805" t="s">
        <v>23</v>
      </c>
      <c r="K3805" s="59" t="s">
        <v>17</v>
      </c>
    </row>
    <row r="3806" spans="1:11" x14ac:dyDescent="0.2">
      <c r="A3806" t="s">
        <v>3845</v>
      </c>
      <c r="B3806">
        <v>2021</v>
      </c>
      <c r="C3806" t="s">
        <v>19</v>
      </c>
      <c r="D3806">
        <v>258</v>
      </c>
      <c r="E3806" t="s">
        <v>25</v>
      </c>
      <c r="F3806" t="s">
        <v>26</v>
      </c>
      <c r="G3806" t="s">
        <v>15</v>
      </c>
      <c r="H3806">
        <v>0.43610998982593668</v>
      </c>
      <c r="I3806">
        <v>2</v>
      </c>
      <c r="J3806" t="s">
        <v>23</v>
      </c>
      <c r="K3806" s="59" t="s">
        <v>16</v>
      </c>
    </row>
    <row r="3807" spans="1:11" x14ac:dyDescent="0.2">
      <c r="A3807" t="s">
        <v>3846</v>
      </c>
      <c r="B3807">
        <v>2022</v>
      </c>
      <c r="C3807" t="s">
        <v>33</v>
      </c>
      <c r="D3807">
        <v>353</v>
      </c>
      <c r="E3807" t="s">
        <v>53</v>
      </c>
      <c r="F3807" t="s">
        <v>54</v>
      </c>
      <c r="G3807" t="s">
        <v>15</v>
      </c>
      <c r="H3807">
        <v>0.46058692577733279</v>
      </c>
      <c r="I3807">
        <v>3</v>
      </c>
      <c r="J3807" t="s">
        <v>16</v>
      </c>
      <c r="K3807" s="59" t="s">
        <v>4376</v>
      </c>
    </row>
    <row r="3808" spans="1:11" x14ac:dyDescent="0.2">
      <c r="A3808" t="s">
        <v>3847</v>
      </c>
      <c r="B3808">
        <v>2024</v>
      </c>
      <c r="C3808" t="s">
        <v>33</v>
      </c>
      <c r="D3808">
        <v>596</v>
      </c>
      <c r="E3808" t="s">
        <v>53</v>
      </c>
      <c r="F3808" t="s">
        <v>54</v>
      </c>
      <c r="G3808" t="s">
        <v>15</v>
      </c>
      <c r="H3808">
        <v>-0.34369613422991568</v>
      </c>
      <c r="I3808">
        <v>3</v>
      </c>
      <c r="J3808" t="s">
        <v>16</v>
      </c>
      <c r="K3808" s="59" t="s">
        <v>4376</v>
      </c>
    </row>
    <row r="3809" spans="1:11" x14ac:dyDescent="0.2">
      <c r="A3809" t="s">
        <v>3848</v>
      </c>
      <c r="B3809">
        <v>2022</v>
      </c>
      <c r="C3809" t="s">
        <v>33</v>
      </c>
      <c r="D3809">
        <v>353</v>
      </c>
      <c r="E3809" t="s">
        <v>53</v>
      </c>
      <c r="F3809" t="s">
        <v>54</v>
      </c>
      <c r="G3809" t="s">
        <v>15</v>
      </c>
      <c r="H3809">
        <v>0.46058692577733279</v>
      </c>
      <c r="I3809">
        <v>3</v>
      </c>
      <c r="J3809" t="s">
        <v>16</v>
      </c>
      <c r="K3809" s="59" t="s">
        <v>4376</v>
      </c>
    </row>
    <row r="3810" spans="1:11" x14ac:dyDescent="0.2">
      <c r="A3810" t="s">
        <v>3849</v>
      </c>
      <c r="B3810">
        <v>2024</v>
      </c>
      <c r="C3810" t="s">
        <v>33</v>
      </c>
      <c r="D3810">
        <v>596</v>
      </c>
      <c r="E3810" t="s">
        <v>53</v>
      </c>
      <c r="F3810" t="s">
        <v>54</v>
      </c>
      <c r="G3810" t="s">
        <v>15</v>
      </c>
      <c r="H3810">
        <v>-0.34369613422991568</v>
      </c>
      <c r="I3810">
        <v>3</v>
      </c>
      <c r="J3810" t="s">
        <v>16</v>
      </c>
      <c r="K3810" s="59" t="s">
        <v>4376</v>
      </c>
    </row>
    <row r="3811" spans="1:11" x14ac:dyDescent="0.2">
      <c r="A3811" t="s">
        <v>3850</v>
      </c>
      <c r="B3811">
        <v>2024</v>
      </c>
      <c r="C3811" t="s">
        <v>33</v>
      </c>
      <c r="D3811">
        <v>596</v>
      </c>
      <c r="E3811" t="s">
        <v>53</v>
      </c>
      <c r="F3811" t="s">
        <v>54</v>
      </c>
      <c r="G3811" t="s">
        <v>15</v>
      </c>
      <c r="H3811">
        <v>-0.34369613422991568</v>
      </c>
      <c r="I3811">
        <v>3</v>
      </c>
      <c r="J3811" t="s">
        <v>16</v>
      </c>
      <c r="K3811" s="59" t="s">
        <v>4376</v>
      </c>
    </row>
    <row r="3812" spans="1:11" x14ac:dyDescent="0.2">
      <c r="A3812" t="s">
        <v>3851</v>
      </c>
      <c r="B3812">
        <v>2024</v>
      </c>
      <c r="C3812" t="s">
        <v>33</v>
      </c>
      <c r="D3812">
        <v>596</v>
      </c>
      <c r="E3812" t="s">
        <v>53</v>
      </c>
      <c r="F3812" t="s">
        <v>54</v>
      </c>
      <c r="G3812" t="s">
        <v>15</v>
      </c>
      <c r="H3812">
        <v>-0.34369613422991568</v>
      </c>
      <c r="I3812">
        <v>3</v>
      </c>
      <c r="J3812" t="s">
        <v>16</v>
      </c>
      <c r="K3812" s="59" t="s">
        <v>4376</v>
      </c>
    </row>
    <row r="3813" spans="1:11" x14ac:dyDescent="0.2">
      <c r="A3813" t="s">
        <v>3852</v>
      </c>
      <c r="B3813">
        <v>2024</v>
      </c>
      <c r="C3813" t="s">
        <v>33</v>
      </c>
      <c r="D3813">
        <v>596</v>
      </c>
      <c r="E3813" t="s">
        <v>53</v>
      </c>
      <c r="F3813" t="s">
        <v>54</v>
      </c>
      <c r="G3813" t="s">
        <v>15</v>
      </c>
      <c r="H3813">
        <v>-0.34369613422991568</v>
      </c>
      <c r="I3813">
        <v>3</v>
      </c>
      <c r="J3813" t="s">
        <v>16</v>
      </c>
      <c r="K3813" s="59" t="s">
        <v>4376</v>
      </c>
    </row>
    <row r="3814" spans="1:11" x14ac:dyDescent="0.2">
      <c r="A3814" t="s">
        <v>3853</v>
      </c>
      <c r="B3814">
        <v>2021</v>
      </c>
      <c r="C3814" t="s">
        <v>12</v>
      </c>
      <c r="D3814">
        <v>311</v>
      </c>
      <c r="E3814" t="s">
        <v>29</v>
      </c>
      <c r="F3814" t="s">
        <v>30</v>
      </c>
      <c r="G3814" t="s">
        <v>15</v>
      </c>
      <c r="H3814">
        <v>0.53094834150343062</v>
      </c>
      <c r="I3814">
        <v>4</v>
      </c>
      <c r="J3814" t="s">
        <v>16</v>
      </c>
      <c r="K3814" s="59" t="s">
        <v>17</v>
      </c>
    </row>
    <row r="3815" spans="1:11" x14ac:dyDescent="0.2">
      <c r="A3815" t="s">
        <v>3854</v>
      </c>
      <c r="B3815">
        <v>2021</v>
      </c>
      <c r="C3815" t="s">
        <v>19</v>
      </c>
      <c r="D3815">
        <v>310</v>
      </c>
      <c r="E3815" t="s">
        <v>29</v>
      </c>
      <c r="F3815" t="s">
        <v>30</v>
      </c>
      <c r="G3815" t="s">
        <v>15</v>
      </c>
      <c r="H3815">
        <v>0.53094834150343062</v>
      </c>
      <c r="I3815">
        <v>4</v>
      </c>
      <c r="J3815" t="s">
        <v>16</v>
      </c>
      <c r="K3815" s="59" t="s">
        <v>17</v>
      </c>
    </row>
    <row r="3816" spans="1:11" x14ac:dyDescent="0.2">
      <c r="A3816" t="s">
        <v>3855</v>
      </c>
      <c r="B3816">
        <v>2024</v>
      </c>
      <c r="C3816" t="s">
        <v>33</v>
      </c>
      <c r="D3816">
        <v>596</v>
      </c>
      <c r="E3816" t="s">
        <v>53</v>
      </c>
      <c r="F3816" t="s">
        <v>54</v>
      </c>
      <c r="G3816" t="s">
        <v>15</v>
      </c>
      <c r="H3816">
        <v>-0.34369613422991568</v>
      </c>
      <c r="I3816">
        <v>3</v>
      </c>
      <c r="J3816" t="s">
        <v>16</v>
      </c>
      <c r="K3816" s="59" t="s">
        <v>4376</v>
      </c>
    </row>
    <row r="3817" spans="1:11" x14ac:dyDescent="0.2">
      <c r="A3817" t="s">
        <v>3856</v>
      </c>
      <c r="B3817">
        <v>2023</v>
      </c>
      <c r="C3817" t="s">
        <v>33</v>
      </c>
      <c r="D3817">
        <v>383</v>
      </c>
      <c r="E3817" t="s">
        <v>29</v>
      </c>
      <c r="F3817" t="s">
        <v>30</v>
      </c>
      <c r="G3817" t="s">
        <v>15</v>
      </c>
      <c r="H3817">
        <v>0.21436445001295959</v>
      </c>
      <c r="I3817">
        <v>4</v>
      </c>
      <c r="J3817" t="s">
        <v>16</v>
      </c>
      <c r="K3817" s="59" t="s">
        <v>4376</v>
      </c>
    </row>
    <row r="3818" spans="1:11" x14ac:dyDescent="0.2">
      <c r="A3818" t="s">
        <v>3857</v>
      </c>
      <c r="B3818">
        <v>2021</v>
      </c>
      <c r="C3818" t="s">
        <v>19</v>
      </c>
      <c r="D3818">
        <v>276</v>
      </c>
      <c r="E3818" t="s">
        <v>25</v>
      </c>
      <c r="F3818" t="s">
        <v>26</v>
      </c>
      <c r="G3818" t="s">
        <v>15</v>
      </c>
      <c r="H3818">
        <v>0.48632991014000798</v>
      </c>
      <c r="I3818">
        <v>2</v>
      </c>
      <c r="J3818" t="s">
        <v>23</v>
      </c>
      <c r="K3818" s="59" t="s">
        <v>16</v>
      </c>
    </row>
    <row r="3819" spans="1:11" x14ac:dyDescent="0.2">
      <c r="A3819" t="s">
        <v>3858</v>
      </c>
      <c r="B3819">
        <v>2022</v>
      </c>
      <c r="C3819" t="s">
        <v>33</v>
      </c>
      <c r="D3819">
        <v>353</v>
      </c>
      <c r="E3819" t="s">
        <v>53</v>
      </c>
      <c r="F3819" t="s">
        <v>54</v>
      </c>
      <c r="G3819" t="s">
        <v>15</v>
      </c>
      <c r="H3819">
        <v>0.46058692577733279</v>
      </c>
      <c r="I3819">
        <v>3</v>
      </c>
      <c r="J3819" t="s">
        <v>16</v>
      </c>
      <c r="K3819" s="59" t="s">
        <v>4376</v>
      </c>
    </row>
    <row r="3820" spans="1:11" x14ac:dyDescent="0.2">
      <c r="A3820" t="s">
        <v>3859</v>
      </c>
      <c r="B3820">
        <v>2021</v>
      </c>
      <c r="C3820" t="s">
        <v>19</v>
      </c>
      <c r="D3820">
        <v>283</v>
      </c>
      <c r="E3820" t="s">
        <v>29</v>
      </c>
      <c r="F3820" t="s">
        <v>30</v>
      </c>
      <c r="G3820" t="s">
        <v>15</v>
      </c>
      <c r="H3820">
        <v>0.95244521003530502</v>
      </c>
      <c r="I3820">
        <v>4</v>
      </c>
      <c r="J3820" t="s">
        <v>23</v>
      </c>
      <c r="K3820" s="59" t="s">
        <v>17</v>
      </c>
    </row>
    <row r="3821" spans="1:11" x14ac:dyDescent="0.2">
      <c r="A3821" t="s">
        <v>3860</v>
      </c>
      <c r="B3821">
        <v>2023</v>
      </c>
      <c r="C3821" t="s">
        <v>33</v>
      </c>
      <c r="D3821">
        <v>383</v>
      </c>
      <c r="E3821" t="s">
        <v>29</v>
      </c>
      <c r="F3821" t="s">
        <v>30</v>
      </c>
      <c r="G3821" t="s">
        <v>15</v>
      </c>
      <c r="H3821">
        <v>0.21436445001295959</v>
      </c>
      <c r="I3821">
        <v>4</v>
      </c>
      <c r="J3821" t="s">
        <v>16</v>
      </c>
      <c r="K3821" s="59" t="s">
        <v>16</v>
      </c>
    </row>
    <row r="3822" spans="1:11" x14ac:dyDescent="0.2">
      <c r="A3822" t="s">
        <v>3861</v>
      </c>
      <c r="B3822">
        <v>2024</v>
      </c>
      <c r="C3822" t="s">
        <v>33</v>
      </c>
      <c r="D3822">
        <v>596</v>
      </c>
      <c r="E3822" t="s">
        <v>53</v>
      </c>
      <c r="F3822" t="s">
        <v>54</v>
      </c>
      <c r="G3822" t="s">
        <v>15</v>
      </c>
      <c r="H3822">
        <v>-0.34369613422991568</v>
      </c>
      <c r="I3822">
        <v>3</v>
      </c>
      <c r="J3822" t="s">
        <v>16</v>
      </c>
      <c r="K3822" s="59" t="s">
        <v>4376</v>
      </c>
    </row>
    <row r="3823" spans="1:11" x14ac:dyDescent="0.2">
      <c r="A3823" t="s">
        <v>3862</v>
      </c>
      <c r="B3823">
        <v>2024</v>
      </c>
      <c r="C3823" t="s">
        <v>33</v>
      </c>
      <c r="D3823">
        <v>596</v>
      </c>
      <c r="E3823" t="s">
        <v>53</v>
      </c>
      <c r="F3823" t="s">
        <v>54</v>
      </c>
      <c r="G3823" t="s">
        <v>15</v>
      </c>
      <c r="H3823">
        <v>-0.34369613422991568</v>
      </c>
      <c r="I3823">
        <v>3</v>
      </c>
      <c r="J3823" t="s">
        <v>16</v>
      </c>
      <c r="K3823" s="59" t="s">
        <v>4376</v>
      </c>
    </row>
    <row r="3824" spans="1:11" x14ac:dyDescent="0.2">
      <c r="A3824" t="s">
        <v>3863</v>
      </c>
      <c r="B3824">
        <v>2024</v>
      </c>
      <c r="C3824" t="s">
        <v>33</v>
      </c>
      <c r="D3824">
        <v>596</v>
      </c>
      <c r="E3824" t="s">
        <v>53</v>
      </c>
      <c r="F3824" t="s">
        <v>54</v>
      </c>
      <c r="G3824" t="s">
        <v>15</v>
      </c>
      <c r="H3824">
        <v>-0.34369613422991568</v>
      </c>
      <c r="I3824">
        <v>3</v>
      </c>
      <c r="J3824" t="s">
        <v>16</v>
      </c>
      <c r="K3824" s="59" t="s">
        <v>4376</v>
      </c>
    </row>
    <row r="3825" spans="1:11" x14ac:dyDescent="0.2">
      <c r="A3825" t="s">
        <v>3864</v>
      </c>
      <c r="B3825">
        <v>2024</v>
      </c>
      <c r="C3825" t="s">
        <v>33</v>
      </c>
      <c r="D3825">
        <v>596</v>
      </c>
      <c r="E3825" t="s">
        <v>53</v>
      </c>
      <c r="F3825" t="s">
        <v>54</v>
      </c>
      <c r="G3825" t="s">
        <v>15</v>
      </c>
      <c r="H3825">
        <v>-0.34369613422991568</v>
      </c>
      <c r="I3825">
        <v>3</v>
      </c>
      <c r="J3825" t="s">
        <v>16</v>
      </c>
      <c r="K3825" s="59" t="s">
        <v>4376</v>
      </c>
    </row>
    <row r="3826" spans="1:11" x14ac:dyDescent="0.2">
      <c r="A3826" t="s">
        <v>3865</v>
      </c>
      <c r="B3826">
        <v>2024</v>
      </c>
      <c r="C3826" t="s">
        <v>33</v>
      </c>
      <c r="D3826">
        <v>596</v>
      </c>
      <c r="E3826" t="s">
        <v>53</v>
      </c>
      <c r="F3826" t="s">
        <v>54</v>
      </c>
      <c r="G3826" t="s">
        <v>15</v>
      </c>
      <c r="H3826">
        <v>-0.34369613422991568</v>
      </c>
      <c r="I3826">
        <v>3</v>
      </c>
      <c r="J3826" t="s">
        <v>16</v>
      </c>
      <c r="K3826" s="59" t="s">
        <v>4376</v>
      </c>
    </row>
    <row r="3827" spans="1:11" x14ac:dyDescent="0.2">
      <c r="A3827" t="s">
        <v>3866</v>
      </c>
      <c r="B3827">
        <v>2021</v>
      </c>
      <c r="C3827" t="s">
        <v>19</v>
      </c>
      <c r="D3827">
        <v>283</v>
      </c>
      <c r="E3827" t="s">
        <v>25</v>
      </c>
      <c r="F3827" t="s">
        <v>26</v>
      </c>
      <c r="G3827" t="s">
        <v>15</v>
      </c>
      <c r="H3827">
        <v>1.382627623155388</v>
      </c>
      <c r="I3827">
        <v>2</v>
      </c>
      <c r="J3827" t="s">
        <v>23</v>
      </c>
      <c r="K3827" s="59" t="s">
        <v>16</v>
      </c>
    </row>
    <row r="3828" spans="1:11" x14ac:dyDescent="0.2">
      <c r="A3828" t="s">
        <v>3867</v>
      </c>
      <c r="B3828">
        <v>2021</v>
      </c>
      <c r="C3828" t="s">
        <v>19</v>
      </c>
      <c r="D3828">
        <v>311</v>
      </c>
      <c r="E3828" t="s">
        <v>29</v>
      </c>
      <c r="F3828" t="s">
        <v>30</v>
      </c>
      <c r="G3828" t="s">
        <v>15</v>
      </c>
      <c r="H3828">
        <v>0.53094834150343062</v>
      </c>
      <c r="I3828">
        <v>4</v>
      </c>
      <c r="J3828" t="s">
        <v>16</v>
      </c>
      <c r="K3828" s="59" t="s">
        <v>17</v>
      </c>
    </row>
    <row r="3829" spans="1:11" x14ac:dyDescent="0.2">
      <c r="A3829" t="s">
        <v>3868</v>
      </c>
      <c r="B3829">
        <v>2024</v>
      </c>
      <c r="C3829" t="s">
        <v>33</v>
      </c>
      <c r="D3829">
        <v>596</v>
      </c>
      <c r="E3829" t="s">
        <v>53</v>
      </c>
      <c r="F3829" t="s">
        <v>54</v>
      </c>
      <c r="G3829" t="s">
        <v>15</v>
      </c>
      <c r="H3829">
        <v>-0.34369613422991568</v>
      </c>
      <c r="I3829">
        <v>3</v>
      </c>
      <c r="J3829" t="s">
        <v>16</v>
      </c>
      <c r="K3829" s="59" t="s">
        <v>4376</v>
      </c>
    </row>
    <row r="3830" spans="1:11" x14ac:dyDescent="0.2">
      <c r="A3830" t="s">
        <v>3869</v>
      </c>
      <c r="B3830">
        <v>2022</v>
      </c>
      <c r="C3830" t="s">
        <v>33</v>
      </c>
      <c r="D3830">
        <v>353</v>
      </c>
      <c r="E3830" t="s">
        <v>53</v>
      </c>
      <c r="F3830" t="s">
        <v>54</v>
      </c>
      <c r="G3830" t="s">
        <v>15</v>
      </c>
      <c r="H3830">
        <v>0.46058692577733279</v>
      </c>
      <c r="I3830">
        <v>3</v>
      </c>
      <c r="J3830" t="s">
        <v>16</v>
      </c>
      <c r="K3830" s="59" t="s">
        <v>4376</v>
      </c>
    </row>
    <row r="3831" spans="1:11" x14ac:dyDescent="0.2">
      <c r="A3831" t="s">
        <v>3870</v>
      </c>
      <c r="B3831">
        <v>2023</v>
      </c>
      <c r="C3831" t="s">
        <v>33</v>
      </c>
      <c r="D3831">
        <v>382</v>
      </c>
      <c r="E3831" t="s">
        <v>29</v>
      </c>
      <c r="F3831" t="s">
        <v>30</v>
      </c>
      <c r="G3831" t="s">
        <v>15</v>
      </c>
      <c r="H3831">
        <v>0.33616250135773618</v>
      </c>
      <c r="I3831">
        <v>4</v>
      </c>
      <c r="J3831" t="s">
        <v>16</v>
      </c>
      <c r="K3831" s="59" t="s">
        <v>17</v>
      </c>
    </row>
    <row r="3832" spans="1:11" x14ac:dyDescent="0.2">
      <c r="A3832" t="s">
        <v>3871</v>
      </c>
      <c r="B3832">
        <v>2024</v>
      </c>
      <c r="C3832" t="s">
        <v>33</v>
      </c>
      <c r="D3832">
        <v>596</v>
      </c>
      <c r="E3832" t="s">
        <v>53</v>
      </c>
      <c r="F3832" t="s">
        <v>54</v>
      </c>
      <c r="G3832" t="s">
        <v>15</v>
      </c>
      <c r="H3832">
        <v>-0.34369613422991568</v>
      </c>
      <c r="I3832">
        <v>3</v>
      </c>
      <c r="J3832" t="s">
        <v>16</v>
      </c>
      <c r="K3832" s="59" t="s">
        <v>4376</v>
      </c>
    </row>
    <row r="3833" spans="1:11" x14ac:dyDescent="0.2">
      <c r="A3833" t="s">
        <v>3872</v>
      </c>
      <c r="B3833">
        <v>2021</v>
      </c>
      <c r="C3833" t="s">
        <v>12</v>
      </c>
      <c r="D3833">
        <v>319</v>
      </c>
      <c r="E3833" t="s">
        <v>38</v>
      </c>
      <c r="F3833" t="s">
        <v>39</v>
      </c>
      <c r="G3833" t="s">
        <v>15</v>
      </c>
      <c r="H3833">
        <v>0.6155305486394721</v>
      </c>
      <c r="I3833">
        <v>3</v>
      </c>
      <c r="J3833" t="s">
        <v>16</v>
      </c>
      <c r="K3833" s="59" t="s">
        <v>17</v>
      </c>
    </row>
    <row r="3834" spans="1:11" x14ac:dyDescent="0.2">
      <c r="A3834" t="s">
        <v>3873</v>
      </c>
      <c r="B3834">
        <v>2024</v>
      </c>
      <c r="C3834" t="s">
        <v>33</v>
      </c>
      <c r="D3834">
        <v>596</v>
      </c>
      <c r="E3834" t="s">
        <v>53</v>
      </c>
      <c r="F3834" t="s">
        <v>54</v>
      </c>
      <c r="G3834" t="s">
        <v>15</v>
      </c>
      <c r="H3834">
        <v>-0.34369613422991568</v>
      </c>
      <c r="I3834">
        <v>3</v>
      </c>
      <c r="J3834" t="s">
        <v>16</v>
      </c>
      <c r="K3834" s="59" t="s">
        <v>4376</v>
      </c>
    </row>
    <row r="3835" spans="1:11" x14ac:dyDescent="0.2">
      <c r="A3835" t="s">
        <v>3874</v>
      </c>
      <c r="B3835">
        <v>2022</v>
      </c>
      <c r="C3835" t="s">
        <v>33</v>
      </c>
      <c r="D3835">
        <v>353</v>
      </c>
      <c r="E3835" t="s">
        <v>53</v>
      </c>
      <c r="F3835" t="s">
        <v>54</v>
      </c>
      <c r="G3835" t="s">
        <v>15</v>
      </c>
      <c r="H3835">
        <v>0.46058692577733279</v>
      </c>
      <c r="I3835">
        <v>3</v>
      </c>
      <c r="J3835" t="s">
        <v>16</v>
      </c>
      <c r="K3835" s="59" t="s">
        <v>4376</v>
      </c>
    </row>
    <row r="3836" spans="1:11" x14ac:dyDescent="0.2">
      <c r="A3836" t="s">
        <v>3875</v>
      </c>
      <c r="B3836">
        <v>2024</v>
      </c>
      <c r="C3836" t="s">
        <v>33</v>
      </c>
      <c r="D3836">
        <v>596</v>
      </c>
      <c r="E3836" t="s">
        <v>53</v>
      </c>
      <c r="F3836" t="s">
        <v>54</v>
      </c>
      <c r="G3836" t="s">
        <v>15</v>
      </c>
      <c r="H3836">
        <v>-0.34369613422991568</v>
      </c>
      <c r="I3836">
        <v>3</v>
      </c>
      <c r="J3836" t="s">
        <v>16</v>
      </c>
      <c r="K3836" s="59" t="s">
        <v>4376</v>
      </c>
    </row>
    <row r="3837" spans="1:11" x14ac:dyDescent="0.2">
      <c r="A3837" t="s">
        <v>3876</v>
      </c>
      <c r="B3837">
        <v>2024</v>
      </c>
      <c r="C3837" t="s">
        <v>33</v>
      </c>
      <c r="D3837">
        <v>596</v>
      </c>
      <c r="E3837" t="s">
        <v>53</v>
      </c>
      <c r="F3837" t="s">
        <v>54</v>
      </c>
      <c r="G3837" t="s">
        <v>15</v>
      </c>
      <c r="H3837">
        <v>-0.34369613422991568</v>
      </c>
      <c r="I3837">
        <v>3</v>
      </c>
      <c r="J3837" t="s">
        <v>16</v>
      </c>
      <c r="K3837" s="59" t="s">
        <v>4376</v>
      </c>
    </row>
    <row r="3838" spans="1:11" x14ac:dyDescent="0.2">
      <c r="A3838" t="s">
        <v>3877</v>
      </c>
      <c r="B3838">
        <v>2024</v>
      </c>
      <c r="C3838" t="s">
        <v>33</v>
      </c>
      <c r="D3838">
        <v>596</v>
      </c>
      <c r="E3838" t="s">
        <v>53</v>
      </c>
      <c r="F3838" t="s">
        <v>54</v>
      </c>
      <c r="G3838" t="s">
        <v>15</v>
      </c>
      <c r="H3838">
        <v>-0.34369613422991568</v>
      </c>
      <c r="I3838">
        <v>3</v>
      </c>
      <c r="J3838" t="s">
        <v>16</v>
      </c>
      <c r="K3838" s="59" t="s">
        <v>4376</v>
      </c>
    </row>
    <row r="3839" spans="1:11" x14ac:dyDescent="0.2">
      <c r="A3839" t="s">
        <v>3878</v>
      </c>
      <c r="B3839">
        <v>2023</v>
      </c>
      <c r="C3839" t="s">
        <v>33</v>
      </c>
      <c r="D3839">
        <v>383</v>
      </c>
      <c r="E3839" t="s">
        <v>29</v>
      </c>
      <c r="F3839" t="s">
        <v>30</v>
      </c>
      <c r="G3839" t="s">
        <v>15</v>
      </c>
      <c r="H3839">
        <v>0.21436445001295959</v>
      </c>
      <c r="I3839">
        <v>4</v>
      </c>
      <c r="J3839" t="s">
        <v>16</v>
      </c>
      <c r="K3839" s="59" t="s">
        <v>4376</v>
      </c>
    </row>
    <row r="3840" spans="1:11" x14ac:dyDescent="0.2">
      <c r="A3840" t="s">
        <v>3879</v>
      </c>
      <c r="B3840">
        <v>2021</v>
      </c>
      <c r="C3840" t="s">
        <v>19</v>
      </c>
      <c r="D3840">
        <v>181</v>
      </c>
      <c r="E3840" t="s">
        <v>25</v>
      </c>
      <c r="F3840" t="s">
        <v>26</v>
      </c>
      <c r="G3840" t="s">
        <v>15</v>
      </c>
      <c r="H3840">
        <v>0.37714937057830922</v>
      </c>
      <c r="I3840">
        <v>2</v>
      </c>
      <c r="J3840" t="s">
        <v>23</v>
      </c>
      <c r="K3840" s="59" t="s">
        <v>16</v>
      </c>
    </row>
    <row r="3841" spans="1:11" x14ac:dyDescent="0.2">
      <c r="A3841" t="s">
        <v>3880</v>
      </c>
      <c r="B3841">
        <v>2024</v>
      </c>
      <c r="C3841" t="s">
        <v>33</v>
      </c>
      <c r="D3841">
        <v>617</v>
      </c>
      <c r="E3841" t="s">
        <v>53</v>
      </c>
      <c r="F3841" t="s">
        <v>54</v>
      </c>
      <c r="G3841" t="s">
        <v>15</v>
      </c>
      <c r="H3841">
        <v>-0.12422943301980099</v>
      </c>
      <c r="I3841">
        <v>3</v>
      </c>
      <c r="J3841" t="s">
        <v>16</v>
      </c>
      <c r="K3841" s="59" t="s">
        <v>4376</v>
      </c>
    </row>
    <row r="3842" spans="1:11" x14ac:dyDescent="0.2">
      <c r="A3842" t="s">
        <v>3881</v>
      </c>
      <c r="B3842">
        <v>2021</v>
      </c>
      <c r="C3842" t="s">
        <v>19</v>
      </c>
      <c r="D3842">
        <v>151</v>
      </c>
      <c r="E3842" t="s">
        <v>20</v>
      </c>
      <c r="F3842" t="s">
        <v>21</v>
      </c>
      <c r="G3842" t="s">
        <v>15</v>
      </c>
      <c r="H3842">
        <v>0.78341786481196185</v>
      </c>
      <c r="I3842">
        <v>3</v>
      </c>
      <c r="J3842" t="s">
        <v>23</v>
      </c>
      <c r="K3842" s="59" t="s">
        <v>17</v>
      </c>
    </row>
    <row r="3843" spans="1:11" x14ac:dyDescent="0.2">
      <c r="A3843" t="s">
        <v>3882</v>
      </c>
      <c r="B3843">
        <v>2023</v>
      </c>
      <c r="C3843" t="s">
        <v>33</v>
      </c>
      <c r="D3843">
        <v>383</v>
      </c>
      <c r="E3843" t="s">
        <v>29</v>
      </c>
      <c r="F3843" t="s">
        <v>30</v>
      </c>
      <c r="G3843" t="s">
        <v>15</v>
      </c>
      <c r="H3843">
        <v>0.21436445001295959</v>
      </c>
      <c r="I3843">
        <v>4</v>
      </c>
      <c r="J3843" t="s">
        <v>16</v>
      </c>
      <c r="K3843" s="59" t="s">
        <v>4376</v>
      </c>
    </row>
    <row r="3844" spans="1:11" x14ac:dyDescent="0.2">
      <c r="A3844" t="s">
        <v>3883</v>
      </c>
      <c r="B3844">
        <v>2022</v>
      </c>
      <c r="C3844" t="s">
        <v>19</v>
      </c>
      <c r="D3844">
        <v>289</v>
      </c>
      <c r="E3844" t="s">
        <v>53</v>
      </c>
      <c r="F3844" t="s">
        <v>54</v>
      </c>
      <c r="G3844" t="s">
        <v>15</v>
      </c>
      <c r="H3844">
        <v>0.87591915940331022</v>
      </c>
      <c r="I3844">
        <v>3</v>
      </c>
      <c r="J3844" t="s">
        <v>23</v>
      </c>
      <c r="K3844" s="59" t="s">
        <v>16</v>
      </c>
    </row>
    <row r="3845" spans="1:11" x14ac:dyDescent="0.2">
      <c r="A3845" t="s">
        <v>3884</v>
      </c>
      <c r="B3845">
        <v>2022</v>
      </c>
      <c r="C3845" t="s">
        <v>33</v>
      </c>
      <c r="D3845">
        <v>353</v>
      </c>
      <c r="E3845" t="s">
        <v>53</v>
      </c>
      <c r="F3845" t="s">
        <v>54</v>
      </c>
      <c r="G3845" t="s">
        <v>15</v>
      </c>
      <c r="H3845">
        <v>0.46058692577733279</v>
      </c>
      <c r="I3845">
        <v>3</v>
      </c>
      <c r="J3845" t="s">
        <v>16</v>
      </c>
      <c r="K3845" s="59" t="s">
        <v>4376</v>
      </c>
    </row>
    <row r="3846" spans="1:11" x14ac:dyDescent="0.2">
      <c r="A3846" t="s">
        <v>3885</v>
      </c>
      <c r="B3846">
        <v>2024</v>
      </c>
      <c r="C3846" t="s">
        <v>33</v>
      </c>
      <c r="D3846">
        <v>596</v>
      </c>
      <c r="E3846" t="s">
        <v>53</v>
      </c>
      <c r="F3846" t="s">
        <v>54</v>
      </c>
      <c r="G3846" t="s">
        <v>15</v>
      </c>
      <c r="H3846">
        <v>-0.34369613422991568</v>
      </c>
      <c r="I3846">
        <v>3</v>
      </c>
      <c r="J3846" t="s">
        <v>16</v>
      </c>
      <c r="K3846" s="59" t="s">
        <v>4376</v>
      </c>
    </row>
    <row r="3847" spans="1:11" x14ac:dyDescent="0.2">
      <c r="A3847" t="s">
        <v>3886</v>
      </c>
      <c r="B3847">
        <v>2024</v>
      </c>
      <c r="C3847" t="s">
        <v>33</v>
      </c>
      <c r="D3847">
        <v>596</v>
      </c>
      <c r="E3847" t="s">
        <v>53</v>
      </c>
      <c r="F3847" t="s">
        <v>54</v>
      </c>
      <c r="G3847" t="s">
        <v>15</v>
      </c>
      <c r="H3847">
        <v>-0.34369613422991568</v>
      </c>
      <c r="I3847">
        <v>3</v>
      </c>
      <c r="J3847" t="s">
        <v>16</v>
      </c>
      <c r="K3847" s="59" t="s">
        <v>4376</v>
      </c>
    </row>
    <row r="3848" spans="1:11" x14ac:dyDescent="0.2">
      <c r="A3848" t="s">
        <v>3887</v>
      </c>
      <c r="B3848">
        <v>2024</v>
      </c>
      <c r="C3848" t="s">
        <v>33</v>
      </c>
      <c r="D3848">
        <v>596</v>
      </c>
      <c r="E3848" t="s">
        <v>53</v>
      </c>
      <c r="F3848" t="s">
        <v>54</v>
      </c>
      <c r="G3848" t="s">
        <v>15</v>
      </c>
      <c r="H3848">
        <v>-0.34369613422991568</v>
      </c>
      <c r="I3848">
        <v>3</v>
      </c>
      <c r="J3848" t="s">
        <v>16</v>
      </c>
      <c r="K3848" s="59" t="s">
        <v>4376</v>
      </c>
    </row>
    <row r="3849" spans="1:11" x14ac:dyDescent="0.2">
      <c r="A3849" t="s">
        <v>3888</v>
      </c>
      <c r="B3849">
        <v>2024</v>
      </c>
      <c r="C3849" t="s">
        <v>33</v>
      </c>
      <c r="D3849">
        <v>617</v>
      </c>
      <c r="E3849" t="s">
        <v>53</v>
      </c>
      <c r="F3849" t="s">
        <v>54</v>
      </c>
      <c r="G3849" t="s">
        <v>15</v>
      </c>
      <c r="H3849">
        <v>-0.12422943301980099</v>
      </c>
      <c r="I3849">
        <v>3</v>
      </c>
      <c r="J3849" t="s">
        <v>16</v>
      </c>
      <c r="K3849" s="59" t="s">
        <v>4376</v>
      </c>
    </row>
    <row r="3850" spans="1:11" x14ac:dyDescent="0.2">
      <c r="A3850" t="s">
        <v>3889</v>
      </c>
      <c r="B3850">
        <v>2024</v>
      </c>
      <c r="C3850" t="s">
        <v>33</v>
      </c>
      <c r="D3850">
        <v>617</v>
      </c>
      <c r="E3850" t="s">
        <v>53</v>
      </c>
      <c r="F3850" t="s">
        <v>54</v>
      </c>
      <c r="G3850" t="s">
        <v>15</v>
      </c>
      <c r="H3850">
        <v>-0.12422943301980099</v>
      </c>
      <c r="I3850">
        <v>3</v>
      </c>
      <c r="J3850" t="s">
        <v>16</v>
      </c>
      <c r="K3850" s="59" t="s">
        <v>4376</v>
      </c>
    </row>
    <row r="3851" spans="1:11" x14ac:dyDescent="0.2">
      <c r="A3851" t="s">
        <v>3890</v>
      </c>
      <c r="B3851">
        <v>2021</v>
      </c>
      <c r="C3851" t="s">
        <v>33</v>
      </c>
      <c r="D3851">
        <v>181</v>
      </c>
      <c r="E3851" t="s">
        <v>25</v>
      </c>
      <c r="F3851" t="s">
        <v>26</v>
      </c>
      <c r="G3851" t="s">
        <v>15</v>
      </c>
      <c r="H3851">
        <v>0.37714937057830922</v>
      </c>
      <c r="I3851">
        <v>2</v>
      </c>
      <c r="J3851" t="s">
        <v>23</v>
      </c>
      <c r="K3851" s="59" t="s">
        <v>17</v>
      </c>
    </row>
    <row r="3852" spans="1:11" x14ac:dyDescent="0.2">
      <c r="A3852" t="s">
        <v>3891</v>
      </c>
      <c r="B3852">
        <v>2021</v>
      </c>
      <c r="C3852" t="s">
        <v>33</v>
      </c>
      <c r="D3852">
        <v>42</v>
      </c>
      <c r="E3852" t="s">
        <v>25</v>
      </c>
      <c r="F3852" t="s">
        <v>26</v>
      </c>
      <c r="G3852" t="s">
        <v>15</v>
      </c>
      <c r="H3852">
        <v>1.207133472294913</v>
      </c>
      <c r="I3852">
        <v>2</v>
      </c>
      <c r="J3852" t="s">
        <v>23</v>
      </c>
      <c r="K3852" s="59" t="s">
        <v>17</v>
      </c>
    </row>
    <row r="3853" spans="1:11" x14ac:dyDescent="0.2">
      <c r="A3853" t="s">
        <v>3892</v>
      </c>
      <c r="B3853">
        <v>2023</v>
      </c>
      <c r="C3853" t="s">
        <v>33</v>
      </c>
      <c r="D3853">
        <v>383</v>
      </c>
      <c r="E3853" t="s">
        <v>29</v>
      </c>
      <c r="F3853" t="s">
        <v>30</v>
      </c>
      <c r="G3853" t="s">
        <v>15</v>
      </c>
      <c r="H3853">
        <v>0.21436445001295959</v>
      </c>
      <c r="I3853">
        <v>4</v>
      </c>
      <c r="J3853" t="s">
        <v>16</v>
      </c>
      <c r="K3853" s="59" t="s">
        <v>4376</v>
      </c>
    </row>
    <row r="3854" spans="1:11" x14ac:dyDescent="0.2">
      <c r="A3854" t="s">
        <v>3893</v>
      </c>
      <c r="B3854">
        <v>2024</v>
      </c>
      <c r="C3854" t="s">
        <v>33</v>
      </c>
      <c r="D3854">
        <v>617</v>
      </c>
      <c r="E3854" t="s">
        <v>53</v>
      </c>
      <c r="F3854" t="s">
        <v>54</v>
      </c>
      <c r="G3854" t="s">
        <v>15</v>
      </c>
      <c r="H3854">
        <v>-0.12422943301980099</v>
      </c>
      <c r="I3854">
        <v>3</v>
      </c>
      <c r="J3854" t="s">
        <v>16</v>
      </c>
      <c r="K3854" s="59" t="s">
        <v>4376</v>
      </c>
    </row>
    <row r="3855" spans="1:11" x14ac:dyDescent="0.2">
      <c r="A3855" t="s">
        <v>3894</v>
      </c>
      <c r="B3855">
        <v>2021</v>
      </c>
      <c r="C3855" t="s">
        <v>19</v>
      </c>
      <c r="D3855">
        <v>398</v>
      </c>
      <c r="E3855" t="s">
        <v>29</v>
      </c>
      <c r="F3855" t="s">
        <v>30</v>
      </c>
      <c r="G3855" t="s">
        <v>15</v>
      </c>
      <c r="H3855">
        <v>0.43743819565275671</v>
      </c>
      <c r="I3855">
        <v>4</v>
      </c>
      <c r="J3855" t="s">
        <v>23</v>
      </c>
      <c r="K3855" s="59" t="s">
        <v>16</v>
      </c>
    </row>
    <row r="3856" spans="1:11" x14ac:dyDescent="0.2">
      <c r="A3856" t="s">
        <v>3895</v>
      </c>
      <c r="B3856">
        <v>2021</v>
      </c>
      <c r="C3856" t="s">
        <v>19</v>
      </c>
      <c r="D3856">
        <v>101</v>
      </c>
      <c r="E3856" t="s">
        <v>20</v>
      </c>
      <c r="F3856" t="s">
        <v>21</v>
      </c>
      <c r="G3856" t="s">
        <v>15</v>
      </c>
      <c r="H3856">
        <v>0.23739259743702551</v>
      </c>
      <c r="I3856">
        <v>3</v>
      </c>
      <c r="J3856" t="s">
        <v>23</v>
      </c>
      <c r="K3856" s="59" t="s">
        <v>23</v>
      </c>
    </row>
    <row r="3857" spans="1:11" x14ac:dyDescent="0.2">
      <c r="A3857" t="s">
        <v>3896</v>
      </c>
      <c r="B3857">
        <v>2023</v>
      </c>
      <c r="C3857" t="s">
        <v>33</v>
      </c>
      <c r="D3857">
        <v>383</v>
      </c>
      <c r="E3857" t="s">
        <v>29</v>
      </c>
      <c r="F3857" t="s">
        <v>30</v>
      </c>
      <c r="G3857" t="s">
        <v>15</v>
      </c>
      <c r="H3857">
        <v>0.21436445001295959</v>
      </c>
      <c r="I3857">
        <v>4</v>
      </c>
      <c r="J3857" t="s">
        <v>16</v>
      </c>
      <c r="K3857" s="59" t="s">
        <v>23</v>
      </c>
    </row>
    <row r="3858" spans="1:11" x14ac:dyDescent="0.2">
      <c r="A3858" t="s">
        <v>3897</v>
      </c>
      <c r="B3858">
        <v>2022</v>
      </c>
      <c r="C3858" t="s">
        <v>33</v>
      </c>
      <c r="D3858">
        <v>353</v>
      </c>
      <c r="E3858" t="s">
        <v>53</v>
      </c>
      <c r="F3858" t="s">
        <v>54</v>
      </c>
      <c r="G3858" t="s">
        <v>15</v>
      </c>
      <c r="H3858">
        <v>0.46058692577733279</v>
      </c>
      <c r="I3858">
        <v>3</v>
      </c>
      <c r="J3858" t="s">
        <v>16</v>
      </c>
      <c r="K3858" s="59" t="s">
        <v>4376</v>
      </c>
    </row>
    <row r="3859" spans="1:11" x14ac:dyDescent="0.2">
      <c r="A3859" t="s">
        <v>3898</v>
      </c>
      <c r="B3859">
        <v>2024</v>
      </c>
      <c r="C3859" t="s">
        <v>33</v>
      </c>
      <c r="D3859">
        <v>617</v>
      </c>
      <c r="E3859" t="s">
        <v>53</v>
      </c>
      <c r="F3859" t="s">
        <v>54</v>
      </c>
      <c r="G3859" t="s">
        <v>15</v>
      </c>
      <c r="H3859">
        <v>-0.12422943301980099</v>
      </c>
      <c r="I3859">
        <v>3</v>
      </c>
      <c r="J3859" t="s">
        <v>16</v>
      </c>
      <c r="K3859" s="59" t="s">
        <v>4376</v>
      </c>
    </row>
    <row r="3860" spans="1:11" x14ac:dyDescent="0.2">
      <c r="A3860" t="s">
        <v>3899</v>
      </c>
      <c r="B3860">
        <v>2021</v>
      </c>
      <c r="C3860" t="s">
        <v>19</v>
      </c>
      <c r="D3860">
        <v>302</v>
      </c>
      <c r="E3860" t="s">
        <v>38</v>
      </c>
      <c r="F3860" t="s">
        <v>39</v>
      </c>
      <c r="G3860" t="s">
        <v>15</v>
      </c>
      <c r="H3860">
        <v>0.1382145534174688</v>
      </c>
      <c r="I3860">
        <v>3</v>
      </c>
      <c r="J3860" t="s">
        <v>23</v>
      </c>
      <c r="K3860" s="59" t="s">
        <v>17</v>
      </c>
    </row>
    <row r="3861" spans="1:11" x14ac:dyDescent="0.2">
      <c r="A3861" t="s">
        <v>3900</v>
      </c>
      <c r="B3861">
        <v>2024</v>
      </c>
      <c r="C3861" t="s">
        <v>33</v>
      </c>
      <c r="D3861">
        <v>617</v>
      </c>
      <c r="E3861" t="s">
        <v>53</v>
      </c>
      <c r="F3861" t="s">
        <v>54</v>
      </c>
      <c r="G3861" t="s">
        <v>15</v>
      </c>
      <c r="H3861">
        <v>-0.12422943301980099</v>
      </c>
      <c r="I3861">
        <v>3</v>
      </c>
      <c r="J3861" t="s">
        <v>16</v>
      </c>
      <c r="K3861" s="59" t="s">
        <v>4376</v>
      </c>
    </row>
    <row r="3862" spans="1:11" x14ac:dyDescent="0.2">
      <c r="A3862" t="s">
        <v>3901</v>
      </c>
      <c r="B3862">
        <v>2024</v>
      </c>
      <c r="C3862" t="s">
        <v>33</v>
      </c>
      <c r="D3862">
        <v>617</v>
      </c>
      <c r="E3862" t="s">
        <v>53</v>
      </c>
      <c r="F3862" t="s">
        <v>54</v>
      </c>
      <c r="G3862" t="s">
        <v>15</v>
      </c>
      <c r="H3862">
        <v>-0.12422943301980099</v>
      </c>
      <c r="I3862">
        <v>3</v>
      </c>
      <c r="J3862" t="s">
        <v>16</v>
      </c>
      <c r="K3862" s="59" t="s">
        <v>4376</v>
      </c>
    </row>
    <row r="3863" spans="1:11" x14ac:dyDescent="0.2">
      <c r="A3863" t="s">
        <v>3902</v>
      </c>
      <c r="B3863">
        <v>2024</v>
      </c>
      <c r="C3863" t="s">
        <v>33</v>
      </c>
      <c r="D3863">
        <v>617</v>
      </c>
      <c r="E3863" t="s">
        <v>53</v>
      </c>
      <c r="F3863" t="s">
        <v>54</v>
      </c>
      <c r="G3863" t="s">
        <v>15</v>
      </c>
      <c r="H3863">
        <v>-0.12422943301980099</v>
      </c>
      <c r="I3863">
        <v>3</v>
      </c>
      <c r="J3863" t="s">
        <v>16</v>
      </c>
      <c r="K3863" s="59" t="s">
        <v>4376</v>
      </c>
    </row>
    <row r="3864" spans="1:11" x14ac:dyDescent="0.2">
      <c r="A3864" t="s">
        <v>3903</v>
      </c>
      <c r="B3864">
        <v>2024</v>
      </c>
      <c r="C3864" t="s">
        <v>33</v>
      </c>
      <c r="D3864">
        <v>617</v>
      </c>
      <c r="E3864" t="s">
        <v>53</v>
      </c>
      <c r="F3864" t="s">
        <v>54</v>
      </c>
      <c r="G3864" t="s">
        <v>15</v>
      </c>
      <c r="H3864">
        <v>-0.12422943301980099</v>
      </c>
      <c r="I3864">
        <v>3</v>
      </c>
      <c r="J3864" t="s">
        <v>16</v>
      </c>
      <c r="K3864" s="59" t="s">
        <v>4376</v>
      </c>
    </row>
    <row r="3865" spans="1:11" x14ac:dyDescent="0.2">
      <c r="A3865" t="s">
        <v>3904</v>
      </c>
      <c r="B3865">
        <v>2024</v>
      </c>
      <c r="C3865" t="s">
        <v>12</v>
      </c>
      <c r="D3865">
        <v>249</v>
      </c>
      <c r="E3865" t="s">
        <v>20</v>
      </c>
      <c r="F3865" t="s">
        <v>21</v>
      </c>
      <c r="G3865" t="s">
        <v>15</v>
      </c>
      <c r="H3865">
        <v>0.57156006107048651</v>
      </c>
      <c r="I3865">
        <v>3</v>
      </c>
      <c r="J3865" t="s">
        <v>17</v>
      </c>
      <c r="K3865" s="59" t="s">
        <v>17</v>
      </c>
    </row>
    <row r="3866" spans="1:11" x14ac:dyDescent="0.2">
      <c r="A3866" t="s">
        <v>3905</v>
      </c>
      <c r="B3866">
        <v>2024</v>
      </c>
      <c r="C3866" t="s">
        <v>12</v>
      </c>
      <c r="D3866">
        <v>304</v>
      </c>
      <c r="E3866" t="s">
        <v>13</v>
      </c>
      <c r="F3866" t="s">
        <v>14</v>
      </c>
      <c r="G3866" t="s">
        <v>15</v>
      </c>
      <c r="H3866">
        <v>0.3990160765800066</v>
      </c>
      <c r="I3866">
        <v>4</v>
      </c>
      <c r="J3866" t="s">
        <v>23</v>
      </c>
      <c r="K3866" s="59" t="s">
        <v>4376</v>
      </c>
    </row>
    <row r="3867" spans="1:11" x14ac:dyDescent="0.2">
      <c r="A3867" t="s">
        <v>3906</v>
      </c>
      <c r="B3867">
        <v>2021</v>
      </c>
      <c r="C3867" t="s">
        <v>33</v>
      </c>
      <c r="D3867">
        <v>382</v>
      </c>
      <c r="E3867" t="s">
        <v>29</v>
      </c>
      <c r="F3867" t="s">
        <v>30</v>
      </c>
      <c r="G3867" t="s">
        <v>15</v>
      </c>
      <c r="H3867">
        <v>-0.1911280323988247</v>
      </c>
      <c r="I3867">
        <v>4</v>
      </c>
      <c r="J3867" t="s">
        <v>17</v>
      </c>
      <c r="K3867" s="59" t="s">
        <v>16</v>
      </c>
    </row>
    <row r="3868" spans="1:11" x14ac:dyDescent="0.2">
      <c r="A3868" t="s">
        <v>3907</v>
      </c>
      <c r="B3868">
        <v>2024</v>
      </c>
      <c r="C3868" t="s">
        <v>33</v>
      </c>
      <c r="D3868">
        <v>617</v>
      </c>
      <c r="E3868" t="s">
        <v>53</v>
      </c>
      <c r="F3868" t="s">
        <v>54</v>
      </c>
      <c r="G3868" t="s">
        <v>15</v>
      </c>
      <c r="H3868">
        <v>-0.12422943301980099</v>
      </c>
      <c r="I3868">
        <v>3</v>
      </c>
      <c r="J3868" t="s">
        <v>16</v>
      </c>
      <c r="K3868" s="59" t="s">
        <v>4376</v>
      </c>
    </row>
    <row r="3869" spans="1:11" x14ac:dyDescent="0.2">
      <c r="A3869" t="s">
        <v>3908</v>
      </c>
      <c r="B3869">
        <v>2021</v>
      </c>
      <c r="C3869" t="s">
        <v>19</v>
      </c>
      <c r="D3869">
        <v>311</v>
      </c>
      <c r="E3869" t="s">
        <v>38</v>
      </c>
      <c r="F3869" t="s">
        <v>39</v>
      </c>
      <c r="G3869" t="s">
        <v>15</v>
      </c>
      <c r="H3869">
        <v>0.60221472720671299</v>
      </c>
      <c r="I3869">
        <v>3</v>
      </c>
      <c r="J3869" t="s">
        <v>23</v>
      </c>
      <c r="K3869" s="59" t="s">
        <v>16</v>
      </c>
    </row>
    <row r="3870" spans="1:11" x14ac:dyDescent="0.2">
      <c r="A3870" t="s">
        <v>3909</v>
      </c>
      <c r="B3870">
        <v>2022</v>
      </c>
      <c r="C3870" t="s">
        <v>33</v>
      </c>
      <c r="D3870">
        <v>353</v>
      </c>
      <c r="E3870" t="s">
        <v>53</v>
      </c>
      <c r="F3870" t="s">
        <v>54</v>
      </c>
      <c r="G3870" t="s">
        <v>15</v>
      </c>
      <c r="H3870">
        <v>0.46058692577733279</v>
      </c>
      <c r="I3870">
        <v>3</v>
      </c>
      <c r="J3870" t="s">
        <v>16</v>
      </c>
      <c r="K3870" s="59" t="s">
        <v>4376</v>
      </c>
    </row>
    <row r="3871" spans="1:11" x14ac:dyDescent="0.2">
      <c r="A3871" t="s">
        <v>3910</v>
      </c>
      <c r="B3871">
        <v>2024</v>
      </c>
      <c r="C3871" t="s">
        <v>33</v>
      </c>
      <c r="D3871">
        <v>617</v>
      </c>
      <c r="E3871" t="s">
        <v>53</v>
      </c>
      <c r="F3871" t="s">
        <v>54</v>
      </c>
      <c r="G3871" t="s">
        <v>15</v>
      </c>
      <c r="H3871">
        <v>-0.12422943301980099</v>
      </c>
      <c r="I3871">
        <v>3</v>
      </c>
      <c r="J3871" t="s">
        <v>16</v>
      </c>
      <c r="K3871" s="59" t="s">
        <v>4376</v>
      </c>
    </row>
    <row r="3872" spans="1:11" x14ac:dyDescent="0.2">
      <c r="A3872" t="s">
        <v>3911</v>
      </c>
      <c r="B3872">
        <v>2024</v>
      </c>
      <c r="C3872" t="s">
        <v>33</v>
      </c>
      <c r="D3872">
        <v>617</v>
      </c>
      <c r="E3872" t="s">
        <v>53</v>
      </c>
      <c r="F3872" t="s">
        <v>54</v>
      </c>
      <c r="G3872" t="s">
        <v>15</v>
      </c>
      <c r="H3872">
        <v>-0.12422943301980099</v>
      </c>
      <c r="I3872">
        <v>3</v>
      </c>
      <c r="J3872" t="s">
        <v>16</v>
      </c>
      <c r="K3872" s="59" t="s">
        <v>4376</v>
      </c>
    </row>
    <row r="3873" spans="1:11" x14ac:dyDescent="0.2">
      <c r="A3873" t="s">
        <v>3912</v>
      </c>
      <c r="B3873">
        <v>2024</v>
      </c>
      <c r="C3873" t="s">
        <v>33</v>
      </c>
      <c r="D3873">
        <v>617</v>
      </c>
      <c r="E3873" t="s">
        <v>53</v>
      </c>
      <c r="F3873" t="s">
        <v>54</v>
      </c>
      <c r="G3873" t="s">
        <v>15</v>
      </c>
      <c r="H3873">
        <v>-0.12422943301980099</v>
      </c>
      <c r="I3873">
        <v>3</v>
      </c>
      <c r="J3873" t="s">
        <v>16</v>
      </c>
      <c r="K3873" s="59" t="s">
        <v>4376</v>
      </c>
    </row>
    <row r="3874" spans="1:11" x14ac:dyDescent="0.2">
      <c r="A3874" t="s">
        <v>3913</v>
      </c>
      <c r="B3874">
        <v>2022</v>
      </c>
      <c r="C3874" t="s">
        <v>19</v>
      </c>
      <c r="D3874">
        <v>136</v>
      </c>
      <c r="E3874" t="s">
        <v>25</v>
      </c>
      <c r="F3874" t="s">
        <v>26</v>
      </c>
      <c r="G3874" t="s">
        <v>15</v>
      </c>
      <c r="H3874">
        <v>-1.162717774208567</v>
      </c>
      <c r="I3874">
        <v>2</v>
      </c>
      <c r="J3874" t="s">
        <v>23</v>
      </c>
      <c r="K3874" s="59" t="s">
        <v>17</v>
      </c>
    </row>
    <row r="3875" spans="1:11" x14ac:dyDescent="0.2">
      <c r="A3875" t="s">
        <v>3914</v>
      </c>
      <c r="B3875">
        <v>2022</v>
      </c>
      <c r="C3875" t="s">
        <v>19</v>
      </c>
      <c r="D3875">
        <v>289</v>
      </c>
      <c r="E3875" t="s">
        <v>53</v>
      </c>
      <c r="F3875" t="s">
        <v>54</v>
      </c>
      <c r="G3875" t="s">
        <v>15</v>
      </c>
      <c r="H3875">
        <v>0.87591915940331022</v>
      </c>
      <c r="I3875">
        <v>3</v>
      </c>
      <c r="J3875" t="s">
        <v>23</v>
      </c>
      <c r="K3875" s="59" t="s">
        <v>17</v>
      </c>
    </row>
    <row r="3876" spans="1:11" x14ac:dyDescent="0.2">
      <c r="A3876" t="s">
        <v>3915</v>
      </c>
      <c r="B3876">
        <v>2024</v>
      </c>
      <c r="C3876" t="s">
        <v>33</v>
      </c>
      <c r="D3876">
        <v>617</v>
      </c>
      <c r="E3876" t="s">
        <v>53</v>
      </c>
      <c r="F3876" t="s">
        <v>54</v>
      </c>
      <c r="G3876" t="s">
        <v>15</v>
      </c>
      <c r="H3876">
        <v>-0.12422943301980099</v>
      </c>
      <c r="I3876">
        <v>3</v>
      </c>
      <c r="J3876" t="s">
        <v>16</v>
      </c>
      <c r="K3876" s="59" t="s">
        <v>4376</v>
      </c>
    </row>
    <row r="3877" spans="1:11" x14ac:dyDescent="0.2">
      <c r="A3877" t="s">
        <v>3916</v>
      </c>
      <c r="B3877">
        <v>2023</v>
      </c>
      <c r="C3877" t="s">
        <v>33</v>
      </c>
      <c r="D3877">
        <v>383</v>
      </c>
      <c r="E3877" t="s">
        <v>29</v>
      </c>
      <c r="F3877" t="s">
        <v>30</v>
      </c>
      <c r="G3877" t="s">
        <v>15</v>
      </c>
      <c r="H3877">
        <v>0.21436445001295959</v>
      </c>
      <c r="I3877">
        <v>4</v>
      </c>
      <c r="J3877" t="s">
        <v>16</v>
      </c>
      <c r="K3877" s="59" t="s">
        <v>4376</v>
      </c>
    </row>
    <row r="3878" spans="1:11" x14ac:dyDescent="0.2">
      <c r="A3878" t="s">
        <v>3917</v>
      </c>
      <c r="B3878">
        <v>2024</v>
      </c>
      <c r="C3878" t="s">
        <v>19</v>
      </c>
      <c r="D3878">
        <v>65</v>
      </c>
      <c r="E3878" t="s">
        <v>20</v>
      </c>
      <c r="F3878" t="s">
        <v>21</v>
      </c>
      <c r="G3878" t="s">
        <v>15</v>
      </c>
      <c r="H3878">
        <v>-0.28595962074024678</v>
      </c>
      <c r="I3878">
        <v>3</v>
      </c>
      <c r="J3878" t="s">
        <v>23</v>
      </c>
      <c r="K3878" s="59" t="s">
        <v>23</v>
      </c>
    </row>
    <row r="3879" spans="1:11" x14ac:dyDescent="0.2">
      <c r="A3879" t="s">
        <v>3918</v>
      </c>
      <c r="B3879">
        <v>2023</v>
      </c>
      <c r="C3879" t="s">
        <v>33</v>
      </c>
      <c r="D3879">
        <v>383</v>
      </c>
      <c r="E3879" t="s">
        <v>29</v>
      </c>
      <c r="F3879" t="s">
        <v>30</v>
      </c>
      <c r="G3879" t="s">
        <v>15</v>
      </c>
      <c r="H3879">
        <v>0.21436445001295959</v>
      </c>
      <c r="I3879">
        <v>4</v>
      </c>
      <c r="J3879" t="s">
        <v>16</v>
      </c>
      <c r="K3879" s="59" t="s">
        <v>4376</v>
      </c>
    </row>
    <row r="3880" spans="1:11" x14ac:dyDescent="0.2">
      <c r="A3880" t="s">
        <v>3919</v>
      </c>
      <c r="B3880">
        <v>2021</v>
      </c>
      <c r="C3880" t="s">
        <v>19</v>
      </c>
      <c r="D3880">
        <v>281</v>
      </c>
      <c r="E3880" t="s">
        <v>38</v>
      </c>
      <c r="F3880" t="s">
        <v>39</v>
      </c>
      <c r="G3880" t="s">
        <v>15</v>
      </c>
      <c r="H3880">
        <v>0.42325959845145378</v>
      </c>
      <c r="I3880">
        <v>3</v>
      </c>
      <c r="J3880" t="s">
        <v>23</v>
      </c>
      <c r="K3880" s="59" t="s">
        <v>17</v>
      </c>
    </row>
    <row r="3881" spans="1:11" x14ac:dyDescent="0.2">
      <c r="A3881" t="s">
        <v>3920</v>
      </c>
      <c r="B3881">
        <v>2022</v>
      </c>
      <c r="C3881" t="s">
        <v>19</v>
      </c>
      <c r="D3881">
        <v>305</v>
      </c>
      <c r="E3881" t="s">
        <v>53</v>
      </c>
      <c r="F3881" t="s">
        <v>54</v>
      </c>
      <c r="G3881" t="s">
        <v>15</v>
      </c>
      <c r="H3881">
        <v>0.73205839723827082</v>
      </c>
      <c r="I3881">
        <v>3</v>
      </c>
      <c r="J3881" t="s">
        <v>23</v>
      </c>
      <c r="K3881" s="59" t="s">
        <v>17</v>
      </c>
    </row>
    <row r="3882" spans="1:11" x14ac:dyDescent="0.2">
      <c r="A3882" t="s">
        <v>3921</v>
      </c>
      <c r="B3882">
        <v>2024</v>
      </c>
      <c r="C3882" t="s">
        <v>33</v>
      </c>
      <c r="D3882">
        <v>617</v>
      </c>
      <c r="E3882" t="s">
        <v>53</v>
      </c>
      <c r="F3882" t="s">
        <v>54</v>
      </c>
      <c r="G3882" t="s">
        <v>15</v>
      </c>
      <c r="H3882">
        <v>-0.12422943301980099</v>
      </c>
      <c r="I3882">
        <v>3</v>
      </c>
      <c r="J3882" t="s">
        <v>16</v>
      </c>
      <c r="K3882" s="59" t="s">
        <v>4376</v>
      </c>
    </row>
    <row r="3883" spans="1:11" x14ac:dyDescent="0.2">
      <c r="A3883" t="s">
        <v>3922</v>
      </c>
      <c r="B3883">
        <v>2024</v>
      </c>
      <c r="C3883" t="s">
        <v>33</v>
      </c>
      <c r="D3883">
        <v>617</v>
      </c>
      <c r="E3883" t="s">
        <v>53</v>
      </c>
      <c r="F3883" t="s">
        <v>54</v>
      </c>
      <c r="G3883" t="s">
        <v>15</v>
      </c>
      <c r="H3883">
        <v>-0.12422943301980099</v>
      </c>
      <c r="I3883">
        <v>3</v>
      </c>
      <c r="J3883" t="s">
        <v>16</v>
      </c>
      <c r="K3883" s="59" t="s">
        <v>4376</v>
      </c>
    </row>
    <row r="3884" spans="1:11" x14ac:dyDescent="0.2">
      <c r="A3884" t="s">
        <v>3923</v>
      </c>
      <c r="B3884">
        <v>2021</v>
      </c>
      <c r="C3884" t="s">
        <v>19</v>
      </c>
      <c r="D3884">
        <v>104</v>
      </c>
      <c r="E3884" t="s">
        <v>20</v>
      </c>
      <c r="F3884" t="s">
        <v>21</v>
      </c>
      <c r="G3884" t="s">
        <v>48</v>
      </c>
      <c r="H3884">
        <v>0.7414658244671154</v>
      </c>
      <c r="I3884">
        <v>3</v>
      </c>
      <c r="J3884" t="s">
        <v>23</v>
      </c>
      <c r="K3884" s="59" t="s">
        <v>17</v>
      </c>
    </row>
    <row r="3885" spans="1:11" x14ac:dyDescent="0.2">
      <c r="A3885" t="s">
        <v>3924</v>
      </c>
      <c r="B3885">
        <v>2022</v>
      </c>
      <c r="C3885" t="s">
        <v>33</v>
      </c>
      <c r="D3885">
        <v>353</v>
      </c>
      <c r="E3885" t="s">
        <v>53</v>
      </c>
      <c r="F3885" t="s">
        <v>54</v>
      </c>
      <c r="G3885" t="s">
        <v>15</v>
      </c>
      <c r="H3885">
        <v>0.46058692577733279</v>
      </c>
      <c r="I3885">
        <v>3</v>
      </c>
      <c r="J3885" t="s">
        <v>16</v>
      </c>
      <c r="K3885" s="59" t="s">
        <v>4376</v>
      </c>
    </row>
    <row r="3886" spans="1:11" x14ac:dyDescent="0.2">
      <c r="A3886" t="s">
        <v>3925</v>
      </c>
      <c r="B3886">
        <v>2024</v>
      </c>
      <c r="C3886" t="s">
        <v>33</v>
      </c>
      <c r="D3886">
        <v>617</v>
      </c>
      <c r="E3886" t="s">
        <v>53</v>
      </c>
      <c r="F3886" t="s">
        <v>54</v>
      </c>
      <c r="G3886" t="s">
        <v>15</v>
      </c>
      <c r="H3886">
        <v>-0.12422943301980099</v>
      </c>
      <c r="I3886">
        <v>3</v>
      </c>
      <c r="J3886" t="s">
        <v>16</v>
      </c>
      <c r="K3886" s="59" t="s">
        <v>4376</v>
      </c>
    </row>
    <row r="3887" spans="1:11" x14ac:dyDescent="0.2">
      <c r="A3887" t="s">
        <v>3926</v>
      </c>
      <c r="B3887">
        <v>2024</v>
      </c>
      <c r="C3887" t="s">
        <v>33</v>
      </c>
      <c r="D3887">
        <v>588</v>
      </c>
      <c r="E3887" t="s">
        <v>53</v>
      </c>
      <c r="F3887" t="s">
        <v>54</v>
      </c>
      <c r="G3887" t="s">
        <v>15</v>
      </c>
      <c r="H3887">
        <v>-0.19468476924995909</v>
      </c>
      <c r="I3887">
        <v>3</v>
      </c>
      <c r="J3887" t="s">
        <v>16</v>
      </c>
      <c r="K3887" s="59" t="s">
        <v>4376</v>
      </c>
    </row>
    <row r="3888" spans="1:11" x14ac:dyDescent="0.2">
      <c r="A3888" t="s">
        <v>3927</v>
      </c>
      <c r="B3888">
        <v>2024</v>
      </c>
      <c r="C3888" t="s">
        <v>33</v>
      </c>
      <c r="D3888">
        <v>617</v>
      </c>
      <c r="E3888" t="s">
        <v>53</v>
      </c>
      <c r="F3888" t="s">
        <v>54</v>
      </c>
      <c r="G3888" t="s">
        <v>15</v>
      </c>
      <c r="H3888">
        <v>-0.12422943301980099</v>
      </c>
      <c r="I3888">
        <v>3</v>
      </c>
      <c r="J3888" t="s">
        <v>16</v>
      </c>
      <c r="K3888" s="59" t="s">
        <v>4376</v>
      </c>
    </row>
    <row r="3889" spans="1:11" x14ac:dyDescent="0.2">
      <c r="A3889" t="s">
        <v>3928</v>
      </c>
      <c r="B3889">
        <v>2024</v>
      </c>
      <c r="C3889" t="s">
        <v>33</v>
      </c>
      <c r="D3889">
        <v>615</v>
      </c>
      <c r="E3889" t="s">
        <v>53</v>
      </c>
      <c r="F3889" t="s">
        <v>54</v>
      </c>
      <c r="G3889" t="s">
        <v>15</v>
      </c>
      <c r="H3889">
        <v>-0.21065579517847369</v>
      </c>
      <c r="I3889">
        <v>3</v>
      </c>
      <c r="J3889" t="s">
        <v>23</v>
      </c>
      <c r="K3889" s="59" t="s">
        <v>4376</v>
      </c>
    </row>
    <row r="3890" spans="1:11" x14ac:dyDescent="0.2">
      <c r="A3890" t="s">
        <v>3929</v>
      </c>
      <c r="B3890">
        <v>2023</v>
      </c>
      <c r="C3890" t="s">
        <v>19</v>
      </c>
      <c r="D3890">
        <v>226</v>
      </c>
      <c r="E3890" t="s">
        <v>25</v>
      </c>
      <c r="F3890" t="s">
        <v>26</v>
      </c>
      <c r="G3890" t="s">
        <v>15</v>
      </c>
      <c r="H3890">
        <v>2.2197935007051219</v>
      </c>
      <c r="I3890">
        <v>2</v>
      </c>
      <c r="J3890" t="s">
        <v>23</v>
      </c>
      <c r="K3890" s="59" t="s">
        <v>17</v>
      </c>
    </row>
    <row r="3891" spans="1:11" x14ac:dyDescent="0.2">
      <c r="A3891" t="s">
        <v>3930</v>
      </c>
      <c r="B3891">
        <v>2022</v>
      </c>
      <c r="C3891" t="s">
        <v>33</v>
      </c>
      <c r="D3891">
        <v>30</v>
      </c>
      <c r="E3891" t="s">
        <v>13</v>
      </c>
      <c r="F3891" t="s">
        <v>14</v>
      </c>
      <c r="G3891" t="s">
        <v>36</v>
      </c>
      <c r="H3891">
        <v>-0.36061427539200491</v>
      </c>
      <c r="I3891">
        <v>4</v>
      </c>
      <c r="J3891" t="s">
        <v>23</v>
      </c>
      <c r="K3891" s="59" t="s">
        <v>17</v>
      </c>
    </row>
    <row r="3892" spans="1:11" x14ac:dyDescent="0.2">
      <c r="A3892" t="s">
        <v>3931</v>
      </c>
      <c r="B3892">
        <v>2023</v>
      </c>
      <c r="C3892" t="s">
        <v>33</v>
      </c>
      <c r="D3892">
        <v>383</v>
      </c>
      <c r="E3892" t="s">
        <v>29</v>
      </c>
      <c r="F3892" t="s">
        <v>30</v>
      </c>
      <c r="G3892" t="s">
        <v>15</v>
      </c>
      <c r="H3892">
        <v>0.21436445001295959</v>
      </c>
      <c r="I3892">
        <v>4</v>
      </c>
      <c r="J3892" t="s">
        <v>16</v>
      </c>
      <c r="K3892" s="59" t="s">
        <v>23</v>
      </c>
    </row>
    <row r="3893" spans="1:11" x14ac:dyDescent="0.2">
      <c r="A3893" t="s">
        <v>3932</v>
      </c>
      <c r="B3893">
        <v>2021</v>
      </c>
      <c r="C3893" t="s">
        <v>19</v>
      </c>
      <c r="D3893">
        <v>310</v>
      </c>
      <c r="E3893" t="s">
        <v>29</v>
      </c>
      <c r="F3893" t="s">
        <v>30</v>
      </c>
      <c r="G3893" t="s">
        <v>15</v>
      </c>
      <c r="H3893">
        <v>0.53094834150343062</v>
      </c>
      <c r="I3893">
        <v>4</v>
      </c>
      <c r="J3893" t="s">
        <v>16</v>
      </c>
      <c r="K3893" s="59" t="s">
        <v>17</v>
      </c>
    </row>
    <row r="3894" spans="1:11" x14ac:dyDescent="0.2">
      <c r="A3894" t="s">
        <v>3933</v>
      </c>
      <c r="B3894">
        <v>2022</v>
      </c>
      <c r="C3894" t="s">
        <v>33</v>
      </c>
      <c r="D3894">
        <v>353</v>
      </c>
      <c r="E3894" t="s">
        <v>53</v>
      </c>
      <c r="F3894" t="s">
        <v>54</v>
      </c>
      <c r="G3894" t="s">
        <v>15</v>
      </c>
      <c r="H3894">
        <v>0.46058692577733279</v>
      </c>
      <c r="I3894">
        <v>3</v>
      </c>
      <c r="J3894" t="s">
        <v>16</v>
      </c>
      <c r="K3894" s="59" t="s">
        <v>4376</v>
      </c>
    </row>
    <row r="3895" spans="1:11" x14ac:dyDescent="0.2">
      <c r="A3895" t="s">
        <v>3934</v>
      </c>
      <c r="B3895">
        <v>2025</v>
      </c>
      <c r="C3895" t="s">
        <v>33</v>
      </c>
      <c r="D3895">
        <v>259</v>
      </c>
      <c r="E3895" t="s">
        <v>20</v>
      </c>
      <c r="F3895" t="s">
        <v>21</v>
      </c>
      <c r="G3895" t="s">
        <v>48</v>
      </c>
      <c r="H3895">
        <v>-9.9322984110851928E-2</v>
      </c>
      <c r="I3895">
        <v>3</v>
      </c>
      <c r="J3895" t="s">
        <v>16</v>
      </c>
      <c r="K3895" s="59" t="s">
        <v>4376</v>
      </c>
    </row>
    <row r="3896" spans="1:11" x14ac:dyDescent="0.2">
      <c r="A3896" t="s">
        <v>3935</v>
      </c>
      <c r="B3896">
        <v>2021</v>
      </c>
      <c r="C3896" t="s">
        <v>33</v>
      </c>
      <c r="D3896">
        <v>367</v>
      </c>
      <c r="E3896" t="s">
        <v>38</v>
      </c>
      <c r="F3896" t="s">
        <v>39</v>
      </c>
      <c r="G3896" t="s">
        <v>15</v>
      </c>
      <c r="H3896">
        <v>0.69029355547504967</v>
      </c>
      <c r="I3896">
        <v>3</v>
      </c>
      <c r="J3896" t="s">
        <v>23</v>
      </c>
      <c r="K3896" s="59" t="s">
        <v>4376</v>
      </c>
    </row>
    <row r="3897" spans="1:11" x14ac:dyDescent="0.2">
      <c r="A3897" t="s">
        <v>3936</v>
      </c>
      <c r="B3897">
        <v>2021</v>
      </c>
      <c r="C3897" t="s">
        <v>19</v>
      </c>
      <c r="D3897">
        <v>368</v>
      </c>
      <c r="E3897" t="s">
        <v>38</v>
      </c>
      <c r="F3897" t="s">
        <v>39</v>
      </c>
      <c r="G3897" t="s">
        <v>15</v>
      </c>
      <c r="H3897">
        <v>0.69170955524715882</v>
      </c>
      <c r="I3897">
        <v>3</v>
      </c>
      <c r="J3897" t="s">
        <v>23</v>
      </c>
      <c r="K3897" s="59" t="s">
        <v>17</v>
      </c>
    </row>
    <row r="3898" spans="1:11" x14ac:dyDescent="0.2">
      <c r="A3898" t="s">
        <v>3937</v>
      </c>
      <c r="B3898">
        <v>2022</v>
      </c>
      <c r="C3898" t="s">
        <v>33</v>
      </c>
      <c r="D3898">
        <v>353</v>
      </c>
      <c r="E3898" t="s">
        <v>53</v>
      </c>
      <c r="F3898" t="s">
        <v>54</v>
      </c>
      <c r="G3898" t="s">
        <v>15</v>
      </c>
      <c r="H3898">
        <v>0.46058692577733279</v>
      </c>
      <c r="I3898">
        <v>3</v>
      </c>
      <c r="J3898" t="s">
        <v>16</v>
      </c>
      <c r="K3898" s="59" t="s">
        <v>4376</v>
      </c>
    </row>
    <row r="3899" spans="1:11" x14ac:dyDescent="0.2">
      <c r="A3899" t="s">
        <v>3938</v>
      </c>
      <c r="B3899">
        <v>2023</v>
      </c>
      <c r="C3899" t="s">
        <v>33</v>
      </c>
      <c r="D3899">
        <v>383</v>
      </c>
      <c r="E3899" t="s">
        <v>29</v>
      </c>
      <c r="F3899" t="s">
        <v>30</v>
      </c>
      <c r="G3899" t="s">
        <v>15</v>
      </c>
      <c r="H3899">
        <v>0.21436445001295959</v>
      </c>
      <c r="I3899">
        <v>4</v>
      </c>
      <c r="J3899" t="s">
        <v>16</v>
      </c>
      <c r="K3899" s="59" t="s">
        <v>4376</v>
      </c>
    </row>
    <row r="3900" spans="1:11" x14ac:dyDescent="0.2">
      <c r="A3900" t="s">
        <v>3939</v>
      </c>
      <c r="B3900">
        <v>2022</v>
      </c>
      <c r="C3900" t="s">
        <v>19</v>
      </c>
      <c r="D3900">
        <v>305</v>
      </c>
      <c r="E3900" t="s">
        <v>53</v>
      </c>
      <c r="F3900" t="s">
        <v>54</v>
      </c>
      <c r="G3900" t="s">
        <v>15</v>
      </c>
      <c r="H3900">
        <v>0.73205839723827082</v>
      </c>
      <c r="I3900">
        <v>3</v>
      </c>
      <c r="J3900" t="s">
        <v>23</v>
      </c>
      <c r="K3900" s="59" t="s">
        <v>23</v>
      </c>
    </row>
    <row r="3901" spans="1:11" x14ac:dyDescent="0.2">
      <c r="A3901" t="s">
        <v>3940</v>
      </c>
      <c r="B3901">
        <v>2021</v>
      </c>
      <c r="C3901" t="s">
        <v>12</v>
      </c>
      <c r="D3901">
        <v>315</v>
      </c>
      <c r="E3901" t="s">
        <v>29</v>
      </c>
      <c r="F3901" t="s">
        <v>30</v>
      </c>
      <c r="G3901" t="s">
        <v>15</v>
      </c>
      <c r="H3901">
        <v>0.71279859689813674</v>
      </c>
      <c r="I3901">
        <v>4</v>
      </c>
      <c r="J3901" t="s">
        <v>16</v>
      </c>
      <c r="K3901" s="59" t="s">
        <v>23</v>
      </c>
    </row>
    <row r="3902" spans="1:11" x14ac:dyDescent="0.2">
      <c r="A3902" t="s">
        <v>3941</v>
      </c>
      <c r="B3902">
        <v>2021</v>
      </c>
      <c r="C3902" t="s">
        <v>33</v>
      </c>
      <c r="D3902">
        <v>367</v>
      </c>
      <c r="E3902" t="s">
        <v>38</v>
      </c>
      <c r="F3902" t="s">
        <v>39</v>
      </c>
      <c r="G3902" t="s">
        <v>15</v>
      </c>
      <c r="H3902">
        <v>0.69029355547504967</v>
      </c>
      <c r="I3902">
        <v>3</v>
      </c>
      <c r="J3902" t="s">
        <v>23</v>
      </c>
      <c r="K3902" s="59" t="s">
        <v>4376</v>
      </c>
    </row>
    <row r="3903" spans="1:11" x14ac:dyDescent="0.2">
      <c r="A3903" t="s">
        <v>3942</v>
      </c>
      <c r="B3903">
        <v>2022</v>
      </c>
      <c r="C3903" t="s">
        <v>33</v>
      </c>
      <c r="D3903">
        <v>353</v>
      </c>
      <c r="E3903" t="s">
        <v>53</v>
      </c>
      <c r="F3903" t="s">
        <v>54</v>
      </c>
      <c r="G3903" t="s">
        <v>15</v>
      </c>
      <c r="H3903">
        <v>0.46058692577733279</v>
      </c>
      <c r="I3903">
        <v>3</v>
      </c>
      <c r="J3903" t="s">
        <v>16</v>
      </c>
      <c r="K3903" s="59" t="s">
        <v>4376</v>
      </c>
    </row>
    <row r="3904" spans="1:11" x14ac:dyDescent="0.2">
      <c r="A3904" t="s">
        <v>3943</v>
      </c>
      <c r="B3904">
        <v>2021</v>
      </c>
      <c r="C3904" t="s">
        <v>33</v>
      </c>
      <c r="D3904">
        <v>27</v>
      </c>
      <c r="E3904" t="s">
        <v>20</v>
      </c>
      <c r="F3904" t="s">
        <v>21</v>
      </c>
      <c r="G3904" t="s">
        <v>41</v>
      </c>
      <c r="H3904">
        <v>-2.2767504114537931</v>
      </c>
      <c r="I3904">
        <v>3</v>
      </c>
      <c r="J3904" t="s">
        <v>17</v>
      </c>
      <c r="K3904" s="59" t="s">
        <v>17</v>
      </c>
    </row>
    <row r="3905" spans="1:11" x14ac:dyDescent="0.2">
      <c r="A3905" t="s">
        <v>3944</v>
      </c>
      <c r="B3905">
        <v>2021</v>
      </c>
      <c r="C3905" t="s">
        <v>19</v>
      </c>
      <c r="D3905">
        <v>367</v>
      </c>
      <c r="E3905" t="s">
        <v>38</v>
      </c>
      <c r="F3905" t="s">
        <v>39</v>
      </c>
      <c r="G3905" t="s">
        <v>15</v>
      </c>
      <c r="H3905">
        <v>0.69029355547504967</v>
      </c>
      <c r="I3905">
        <v>3</v>
      </c>
      <c r="J3905" t="s">
        <v>23</v>
      </c>
      <c r="K3905" s="59" t="s">
        <v>16</v>
      </c>
    </row>
    <row r="3906" spans="1:11" x14ac:dyDescent="0.2">
      <c r="A3906" t="s">
        <v>3945</v>
      </c>
      <c r="B3906">
        <v>2023</v>
      </c>
      <c r="C3906" t="s">
        <v>33</v>
      </c>
      <c r="D3906">
        <v>383</v>
      </c>
      <c r="E3906" t="s">
        <v>29</v>
      </c>
      <c r="F3906" t="s">
        <v>30</v>
      </c>
      <c r="G3906" t="s">
        <v>15</v>
      </c>
      <c r="H3906">
        <v>0.21436445001295959</v>
      </c>
      <c r="I3906">
        <v>4</v>
      </c>
      <c r="J3906" t="s">
        <v>16</v>
      </c>
      <c r="K3906" s="59" t="s">
        <v>17</v>
      </c>
    </row>
    <row r="3907" spans="1:11" x14ac:dyDescent="0.2">
      <c r="A3907" t="s">
        <v>3946</v>
      </c>
      <c r="B3907">
        <v>2023</v>
      </c>
      <c r="C3907" t="s">
        <v>33</v>
      </c>
      <c r="D3907">
        <v>383</v>
      </c>
      <c r="E3907" t="s">
        <v>29</v>
      </c>
      <c r="F3907" t="s">
        <v>30</v>
      </c>
      <c r="G3907" t="s">
        <v>15</v>
      </c>
      <c r="H3907">
        <v>0.21436445001295959</v>
      </c>
      <c r="I3907">
        <v>4</v>
      </c>
      <c r="J3907" t="s">
        <v>16</v>
      </c>
      <c r="K3907" s="59" t="s">
        <v>4376</v>
      </c>
    </row>
    <row r="3908" spans="1:11" x14ac:dyDescent="0.2">
      <c r="A3908" t="s">
        <v>3947</v>
      </c>
      <c r="B3908">
        <v>2024</v>
      </c>
      <c r="C3908" t="s">
        <v>33</v>
      </c>
      <c r="D3908">
        <v>74</v>
      </c>
      <c r="E3908" t="s">
        <v>53</v>
      </c>
      <c r="F3908" t="s">
        <v>54</v>
      </c>
      <c r="G3908" t="s">
        <v>48</v>
      </c>
      <c r="H3908">
        <v>0.24071362783037439</v>
      </c>
      <c r="I3908">
        <v>3</v>
      </c>
      <c r="J3908" t="s">
        <v>23</v>
      </c>
      <c r="K3908" s="59" t="s">
        <v>4376</v>
      </c>
    </row>
    <row r="3909" spans="1:11" x14ac:dyDescent="0.2">
      <c r="A3909" t="s">
        <v>3948</v>
      </c>
      <c r="B3909">
        <v>2022</v>
      </c>
      <c r="C3909" t="s">
        <v>33</v>
      </c>
      <c r="D3909">
        <v>353</v>
      </c>
      <c r="E3909" t="s">
        <v>53</v>
      </c>
      <c r="F3909" t="s">
        <v>54</v>
      </c>
      <c r="G3909" t="s">
        <v>15</v>
      </c>
      <c r="H3909">
        <v>0.46058692577733279</v>
      </c>
      <c r="I3909">
        <v>3</v>
      </c>
      <c r="J3909" t="s">
        <v>16</v>
      </c>
      <c r="K3909" s="59" t="s">
        <v>4376</v>
      </c>
    </row>
    <row r="3910" spans="1:11" x14ac:dyDescent="0.2">
      <c r="A3910" t="s">
        <v>3949</v>
      </c>
      <c r="B3910">
        <v>2021</v>
      </c>
      <c r="C3910" t="s">
        <v>33</v>
      </c>
      <c r="D3910">
        <v>370</v>
      </c>
      <c r="E3910" t="s">
        <v>38</v>
      </c>
      <c r="F3910" t="s">
        <v>39</v>
      </c>
      <c r="G3910" t="s">
        <v>15</v>
      </c>
      <c r="H3910">
        <v>0.82267217177223528</v>
      </c>
      <c r="I3910">
        <v>3</v>
      </c>
      <c r="J3910" t="s">
        <v>23</v>
      </c>
      <c r="K3910" s="59" t="s">
        <v>4376</v>
      </c>
    </row>
    <row r="3911" spans="1:11" x14ac:dyDescent="0.2">
      <c r="A3911" t="s">
        <v>3950</v>
      </c>
      <c r="B3911">
        <v>2023</v>
      </c>
      <c r="C3911" t="s">
        <v>33</v>
      </c>
      <c r="D3911">
        <v>383</v>
      </c>
      <c r="E3911" t="s">
        <v>29</v>
      </c>
      <c r="F3911" t="s">
        <v>30</v>
      </c>
      <c r="G3911" t="s">
        <v>15</v>
      </c>
      <c r="H3911">
        <v>0.21436445001295959</v>
      </c>
      <c r="I3911">
        <v>4</v>
      </c>
      <c r="J3911" t="s">
        <v>16</v>
      </c>
      <c r="K3911" s="59" t="s">
        <v>4376</v>
      </c>
    </row>
    <row r="3912" spans="1:11" x14ac:dyDescent="0.2">
      <c r="A3912" t="s">
        <v>3951</v>
      </c>
      <c r="B3912">
        <v>2023</v>
      </c>
      <c r="C3912" t="s">
        <v>33</v>
      </c>
      <c r="D3912">
        <v>383</v>
      </c>
      <c r="E3912" t="s">
        <v>29</v>
      </c>
      <c r="F3912" t="s">
        <v>30</v>
      </c>
      <c r="G3912" t="s">
        <v>15</v>
      </c>
      <c r="H3912">
        <v>0.21436445001295959</v>
      </c>
      <c r="I3912">
        <v>4</v>
      </c>
      <c r="J3912" t="s">
        <v>16</v>
      </c>
      <c r="K3912" s="59" t="s">
        <v>4376</v>
      </c>
    </row>
    <row r="3913" spans="1:11" x14ac:dyDescent="0.2">
      <c r="A3913" t="s">
        <v>3952</v>
      </c>
      <c r="B3913">
        <v>2022</v>
      </c>
      <c r="C3913" t="s">
        <v>33</v>
      </c>
      <c r="D3913">
        <v>353</v>
      </c>
      <c r="E3913" t="s">
        <v>53</v>
      </c>
      <c r="F3913" t="s">
        <v>54</v>
      </c>
      <c r="G3913" t="s">
        <v>15</v>
      </c>
      <c r="H3913">
        <v>0.46058692577733279</v>
      </c>
      <c r="I3913">
        <v>3</v>
      </c>
      <c r="J3913" t="s">
        <v>16</v>
      </c>
      <c r="K3913" s="59" t="s">
        <v>4376</v>
      </c>
    </row>
    <row r="3914" spans="1:11" x14ac:dyDescent="0.2">
      <c r="A3914" t="s">
        <v>3953</v>
      </c>
      <c r="B3914">
        <v>2022</v>
      </c>
      <c r="C3914" t="s">
        <v>33</v>
      </c>
      <c r="D3914">
        <v>78</v>
      </c>
      <c r="E3914" t="s">
        <v>13</v>
      </c>
      <c r="F3914" t="s">
        <v>14</v>
      </c>
      <c r="G3914" t="s">
        <v>41</v>
      </c>
      <c r="H3914">
        <v>-1.970733583827218</v>
      </c>
      <c r="I3914">
        <v>4</v>
      </c>
      <c r="J3914" t="s">
        <v>17</v>
      </c>
      <c r="K3914" s="59" t="s">
        <v>4376</v>
      </c>
    </row>
    <row r="3915" spans="1:11" x14ac:dyDescent="0.2">
      <c r="A3915" t="s">
        <v>3954</v>
      </c>
      <c r="B3915">
        <v>2021</v>
      </c>
      <c r="C3915" t="s">
        <v>12</v>
      </c>
      <c r="D3915">
        <v>311</v>
      </c>
      <c r="E3915" t="s">
        <v>38</v>
      </c>
      <c r="F3915" t="s">
        <v>39</v>
      </c>
      <c r="G3915" t="s">
        <v>15</v>
      </c>
      <c r="H3915">
        <v>0.53310179733397667</v>
      </c>
      <c r="I3915">
        <v>3</v>
      </c>
      <c r="J3915" t="s">
        <v>16</v>
      </c>
      <c r="K3915" s="59" t="s">
        <v>17</v>
      </c>
    </row>
    <row r="3916" spans="1:11" x14ac:dyDescent="0.2">
      <c r="A3916" t="s">
        <v>3955</v>
      </c>
      <c r="B3916">
        <v>2025</v>
      </c>
      <c r="C3916" t="s">
        <v>33</v>
      </c>
      <c r="D3916">
        <v>176</v>
      </c>
      <c r="E3916" t="s">
        <v>13</v>
      </c>
      <c r="F3916" t="s">
        <v>14</v>
      </c>
      <c r="G3916" t="s">
        <v>15</v>
      </c>
      <c r="H3916">
        <v>0.14425364335462951</v>
      </c>
      <c r="I3916">
        <v>4</v>
      </c>
      <c r="J3916" t="s">
        <v>16</v>
      </c>
      <c r="K3916" s="59" t="s">
        <v>17</v>
      </c>
    </row>
    <row r="3917" spans="1:11" x14ac:dyDescent="0.2">
      <c r="A3917" t="s">
        <v>3956</v>
      </c>
      <c r="B3917">
        <v>2021</v>
      </c>
      <c r="C3917" t="s">
        <v>33</v>
      </c>
      <c r="D3917">
        <v>441</v>
      </c>
      <c r="E3917" t="s">
        <v>38</v>
      </c>
      <c r="F3917" t="s">
        <v>39</v>
      </c>
      <c r="G3917" t="s">
        <v>15</v>
      </c>
      <c r="H3917">
        <v>0.51117068710679503</v>
      </c>
      <c r="I3917">
        <v>3</v>
      </c>
      <c r="J3917" t="s">
        <v>23</v>
      </c>
      <c r="K3917" s="59" t="s">
        <v>4376</v>
      </c>
    </row>
    <row r="3918" spans="1:11" x14ac:dyDescent="0.2">
      <c r="A3918" t="s">
        <v>3957</v>
      </c>
      <c r="B3918">
        <v>2025</v>
      </c>
      <c r="C3918" t="s">
        <v>19</v>
      </c>
      <c r="D3918">
        <v>81</v>
      </c>
      <c r="E3918" t="s">
        <v>13</v>
      </c>
      <c r="F3918" t="s">
        <v>14</v>
      </c>
      <c r="G3918" t="s">
        <v>15</v>
      </c>
      <c r="H3918">
        <v>1.207133472294913</v>
      </c>
      <c r="I3918">
        <v>4</v>
      </c>
      <c r="J3918" t="s">
        <v>23</v>
      </c>
      <c r="K3918" s="59" t="s">
        <v>17</v>
      </c>
    </row>
    <row r="3919" spans="1:11" x14ac:dyDescent="0.2">
      <c r="A3919" t="s">
        <v>3958</v>
      </c>
      <c r="B3919">
        <v>2023</v>
      </c>
      <c r="C3919" t="s">
        <v>33</v>
      </c>
      <c r="D3919">
        <v>383</v>
      </c>
      <c r="E3919" t="s">
        <v>29</v>
      </c>
      <c r="F3919" t="s">
        <v>30</v>
      </c>
      <c r="G3919" t="s">
        <v>15</v>
      </c>
      <c r="H3919">
        <v>0.21436445001295959</v>
      </c>
      <c r="I3919">
        <v>4</v>
      </c>
      <c r="J3919" t="s">
        <v>16</v>
      </c>
      <c r="K3919" s="59" t="s">
        <v>4376</v>
      </c>
    </row>
    <row r="3920" spans="1:11" x14ac:dyDescent="0.2">
      <c r="A3920" t="s">
        <v>3959</v>
      </c>
      <c r="B3920">
        <v>2022</v>
      </c>
      <c r="C3920" t="s">
        <v>19</v>
      </c>
      <c r="D3920">
        <v>157</v>
      </c>
      <c r="E3920" t="s">
        <v>13</v>
      </c>
      <c r="F3920" t="s">
        <v>14</v>
      </c>
      <c r="G3920" t="s">
        <v>41</v>
      </c>
      <c r="H3920">
        <v>0.2021669673674015</v>
      </c>
      <c r="I3920">
        <v>4</v>
      </c>
      <c r="J3920" t="s">
        <v>23</v>
      </c>
      <c r="K3920" s="59" t="s">
        <v>23</v>
      </c>
    </row>
    <row r="3921" spans="1:11" x14ac:dyDescent="0.2">
      <c r="A3921" t="s">
        <v>3960</v>
      </c>
      <c r="B3921">
        <v>2025</v>
      </c>
      <c r="C3921" t="s">
        <v>19</v>
      </c>
      <c r="D3921">
        <v>214</v>
      </c>
      <c r="E3921" t="s">
        <v>20</v>
      </c>
      <c r="F3921" t="s">
        <v>21</v>
      </c>
      <c r="G3921" t="s">
        <v>48</v>
      </c>
      <c r="H3921">
        <v>7.1084379768160788E-2</v>
      </c>
      <c r="I3921">
        <v>3</v>
      </c>
      <c r="J3921" t="s">
        <v>23</v>
      </c>
      <c r="K3921" s="59" t="s">
        <v>16</v>
      </c>
    </row>
    <row r="3922" spans="1:11" x14ac:dyDescent="0.2">
      <c r="A3922" t="s">
        <v>3961</v>
      </c>
      <c r="B3922">
        <v>2024</v>
      </c>
      <c r="C3922" t="s">
        <v>19</v>
      </c>
      <c r="D3922">
        <v>110</v>
      </c>
      <c r="E3922" t="s">
        <v>25</v>
      </c>
      <c r="F3922" t="s">
        <v>26</v>
      </c>
      <c r="G3922" t="s">
        <v>15</v>
      </c>
      <c r="H3922">
        <v>-9.9322984110851928E-2</v>
      </c>
      <c r="I3922">
        <v>2</v>
      </c>
      <c r="J3922" t="s">
        <v>23</v>
      </c>
      <c r="K3922" s="59" t="s">
        <v>17</v>
      </c>
    </row>
    <row r="3923" spans="1:11" x14ac:dyDescent="0.2">
      <c r="A3923" t="s">
        <v>3962</v>
      </c>
      <c r="B3923">
        <v>2022</v>
      </c>
      <c r="C3923" t="s">
        <v>19</v>
      </c>
      <c r="D3923">
        <v>56</v>
      </c>
      <c r="E3923" t="s">
        <v>13</v>
      </c>
      <c r="F3923" t="s">
        <v>14</v>
      </c>
      <c r="G3923" t="s">
        <v>15</v>
      </c>
      <c r="H3923">
        <v>-2.638285531465451</v>
      </c>
      <c r="I3923">
        <v>4</v>
      </c>
      <c r="J3923" t="s">
        <v>23</v>
      </c>
      <c r="K3923" s="59" t="s">
        <v>23</v>
      </c>
    </row>
    <row r="3924" spans="1:11" x14ac:dyDescent="0.2">
      <c r="A3924" t="s">
        <v>3963</v>
      </c>
      <c r="B3924">
        <v>2022</v>
      </c>
      <c r="C3924" t="s">
        <v>33</v>
      </c>
      <c r="D3924">
        <v>353</v>
      </c>
      <c r="E3924" t="s">
        <v>53</v>
      </c>
      <c r="F3924" t="s">
        <v>54</v>
      </c>
      <c r="G3924" t="s">
        <v>15</v>
      </c>
      <c r="H3924">
        <v>0.46058692577733279</v>
      </c>
      <c r="I3924">
        <v>3</v>
      </c>
      <c r="J3924" t="s">
        <v>16</v>
      </c>
      <c r="K3924" s="59" t="s">
        <v>4376</v>
      </c>
    </row>
    <row r="3925" spans="1:11" x14ac:dyDescent="0.2">
      <c r="A3925" t="s">
        <v>3964</v>
      </c>
      <c r="B3925">
        <v>2025</v>
      </c>
      <c r="C3925" t="s">
        <v>19</v>
      </c>
      <c r="D3925">
        <v>191</v>
      </c>
      <c r="E3925" t="s">
        <v>25</v>
      </c>
      <c r="F3925" t="s">
        <v>26</v>
      </c>
      <c r="G3925" t="s">
        <v>80</v>
      </c>
      <c r="H3925">
        <v>1.842706883519339</v>
      </c>
      <c r="I3925">
        <v>2</v>
      </c>
      <c r="J3925" t="s">
        <v>23</v>
      </c>
      <c r="K3925" s="59" t="s">
        <v>17</v>
      </c>
    </row>
    <row r="3926" spans="1:11" x14ac:dyDescent="0.2">
      <c r="A3926" t="s">
        <v>3965</v>
      </c>
      <c r="B3926">
        <v>2025</v>
      </c>
      <c r="C3926" t="s">
        <v>12</v>
      </c>
      <c r="D3926">
        <v>227</v>
      </c>
      <c r="E3926" t="s">
        <v>25</v>
      </c>
      <c r="F3926" t="s">
        <v>26</v>
      </c>
      <c r="G3926" t="s">
        <v>15</v>
      </c>
      <c r="H3926">
        <v>0.24510644530521319</v>
      </c>
      <c r="I3926">
        <v>2</v>
      </c>
      <c r="J3926" t="s">
        <v>23</v>
      </c>
      <c r="K3926" s="59" t="s">
        <v>17</v>
      </c>
    </row>
    <row r="3927" spans="1:11" x14ac:dyDescent="0.2">
      <c r="A3927" t="s">
        <v>3966</v>
      </c>
      <c r="B3927">
        <v>2025</v>
      </c>
      <c r="C3927" t="s">
        <v>33</v>
      </c>
      <c r="D3927">
        <v>79</v>
      </c>
      <c r="E3927" t="s">
        <v>20</v>
      </c>
      <c r="F3927" t="s">
        <v>21</v>
      </c>
      <c r="G3927" t="s">
        <v>15</v>
      </c>
      <c r="H3927">
        <v>0.58828567715533986</v>
      </c>
      <c r="I3927">
        <v>3</v>
      </c>
      <c r="J3927" t="s">
        <v>23</v>
      </c>
      <c r="K3927" s="59" t="s">
        <v>17</v>
      </c>
    </row>
    <row r="3928" spans="1:11" x14ac:dyDescent="0.2">
      <c r="A3928" t="s">
        <v>3967</v>
      </c>
      <c r="B3928">
        <v>2023</v>
      </c>
      <c r="C3928" t="s">
        <v>19</v>
      </c>
      <c r="D3928">
        <v>87</v>
      </c>
      <c r="E3928" t="s">
        <v>20</v>
      </c>
      <c r="F3928" t="s">
        <v>21</v>
      </c>
      <c r="G3928" t="s">
        <v>15</v>
      </c>
      <c r="H3928">
        <v>-0.61582902501545655</v>
      </c>
      <c r="I3928">
        <v>3</v>
      </c>
      <c r="J3928" t="s">
        <v>17</v>
      </c>
      <c r="K3928" s="59" t="s">
        <v>17</v>
      </c>
    </row>
    <row r="3929" spans="1:11" x14ac:dyDescent="0.2">
      <c r="A3929" t="s">
        <v>3968</v>
      </c>
      <c r="B3929">
        <v>2021</v>
      </c>
      <c r="C3929" t="s">
        <v>33</v>
      </c>
      <c r="D3929">
        <v>440</v>
      </c>
      <c r="E3929" t="s">
        <v>38</v>
      </c>
      <c r="F3929" t="s">
        <v>39</v>
      </c>
      <c r="G3929" t="s">
        <v>15</v>
      </c>
      <c r="H3929">
        <v>0.51117068710679503</v>
      </c>
      <c r="I3929">
        <v>3</v>
      </c>
      <c r="J3929" t="s">
        <v>23</v>
      </c>
      <c r="K3929" s="59" t="s">
        <v>4376</v>
      </c>
    </row>
    <row r="3930" spans="1:11" x14ac:dyDescent="0.2">
      <c r="A3930" t="s">
        <v>3969</v>
      </c>
      <c r="B3930">
        <v>2023</v>
      </c>
      <c r="C3930" t="s">
        <v>33</v>
      </c>
      <c r="D3930">
        <v>384</v>
      </c>
      <c r="E3930" t="s">
        <v>29</v>
      </c>
      <c r="F3930" t="s">
        <v>30</v>
      </c>
      <c r="G3930" t="s">
        <v>15</v>
      </c>
      <c r="H3930">
        <v>0.3407465590995109</v>
      </c>
      <c r="I3930">
        <v>4</v>
      </c>
      <c r="J3930" t="s">
        <v>16</v>
      </c>
      <c r="K3930" s="59" t="s">
        <v>23</v>
      </c>
    </row>
    <row r="3931" spans="1:11" x14ac:dyDescent="0.2">
      <c r="A3931" t="s">
        <v>3970</v>
      </c>
      <c r="B3931">
        <v>2022</v>
      </c>
      <c r="C3931" t="s">
        <v>33</v>
      </c>
      <c r="D3931">
        <v>353</v>
      </c>
      <c r="E3931" t="s">
        <v>53</v>
      </c>
      <c r="F3931" t="s">
        <v>54</v>
      </c>
      <c r="G3931" t="s">
        <v>15</v>
      </c>
      <c r="H3931">
        <v>0.46058692577733279</v>
      </c>
      <c r="I3931">
        <v>3</v>
      </c>
      <c r="J3931" t="s">
        <v>16</v>
      </c>
      <c r="K3931" s="59" t="s">
        <v>4376</v>
      </c>
    </row>
    <row r="3932" spans="1:11" x14ac:dyDescent="0.2">
      <c r="A3932" t="s">
        <v>3971</v>
      </c>
      <c r="B3932">
        <v>2023</v>
      </c>
      <c r="C3932" t="s">
        <v>33</v>
      </c>
      <c r="D3932">
        <v>383</v>
      </c>
      <c r="E3932" t="s">
        <v>29</v>
      </c>
      <c r="F3932" t="s">
        <v>30</v>
      </c>
      <c r="G3932" t="s">
        <v>15</v>
      </c>
      <c r="H3932">
        <v>0.21436445001295959</v>
      </c>
      <c r="I3932">
        <v>4</v>
      </c>
      <c r="J3932" t="s">
        <v>16</v>
      </c>
      <c r="K3932" s="59" t="s">
        <v>4376</v>
      </c>
    </row>
    <row r="3933" spans="1:11" x14ac:dyDescent="0.2">
      <c r="A3933" t="s">
        <v>3972</v>
      </c>
      <c r="B3933">
        <v>2022</v>
      </c>
      <c r="C3933" t="s">
        <v>33</v>
      </c>
      <c r="D3933">
        <v>353</v>
      </c>
      <c r="E3933" t="s">
        <v>53</v>
      </c>
      <c r="F3933" t="s">
        <v>54</v>
      </c>
      <c r="G3933" t="s">
        <v>15</v>
      </c>
      <c r="H3933">
        <v>0.46058692577733279</v>
      </c>
      <c r="I3933">
        <v>3</v>
      </c>
      <c r="J3933" t="s">
        <v>16</v>
      </c>
      <c r="K3933" s="59" t="s">
        <v>4376</v>
      </c>
    </row>
    <row r="3934" spans="1:11" x14ac:dyDescent="0.2">
      <c r="A3934" t="s">
        <v>3973</v>
      </c>
      <c r="B3934">
        <v>2023</v>
      </c>
      <c r="C3934" t="s">
        <v>33</v>
      </c>
      <c r="D3934">
        <v>382</v>
      </c>
      <c r="E3934" t="s">
        <v>29</v>
      </c>
      <c r="F3934" t="s">
        <v>30</v>
      </c>
      <c r="G3934" t="s">
        <v>15</v>
      </c>
      <c r="H3934">
        <v>0.33616250135773618</v>
      </c>
      <c r="I3934">
        <v>4</v>
      </c>
      <c r="J3934" t="s">
        <v>16</v>
      </c>
      <c r="K3934" s="59" t="s">
        <v>17</v>
      </c>
    </row>
    <row r="3935" spans="1:11" x14ac:dyDescent="0.2">
      <c r="A3935" t="s">
        <v>3974</v>
      </c>
      <c r="B3935">
        <v>2022</v>
      </c>
      <c r="C3935" t="s">
        <v>33</v>
      </c>
      <c r="D3935">
        <v>352</v>
      </c>
      <c r="E3935" t="s">
        <v>53</v>
      </c>
      <c r="F3935" t="s">
        <v>54</v>
      </c>
      <c r="G3935" t="s">
        <v>36</v>
      </c>
      <c r="H3935">
        <v>5.4377775466296963E-2</v>
      </c>
      <c r="I3935">
        <v>3</v>
      </c>
      <c r="J3935" t="s">
        <v>16</v>
      </c>
      <c r="K3935" s="59" t="s">
        <v>23</v>
      </c>
    </row>
    <row r="3936" spans="1:11" x14ac:dyDescent="0.2">
      <c r="A3936" t="s">
        <v>3975</v>
      </c>
      <c r="B3936">
        <v>2021</v>
      </c>
      <c r="C3936" t="s">
        <v>19</v>
      </c>
      <c r="D3936">
        <v>67</v>
      </c>
      <c r="E3936" t="s">
        <v>25</v>
      </c>
      <c r="F3936" t="s">
        <v>26</v>
      </c>
      <c r="G3936" t="s">
        <v>15</v>
      </c>
      <c r="H3936">
        <v>-3.068542203214863</v>
      </c>
      <c r="I3936">
        <v>2</v>
      </c>
      <c r="J3936" t="s">
        <v>17</v>
      </c>
      <c r="K3936" s="59" t="s">
        <v>17</v>
      </c>
    </row>
    <row r="3937" spans="1:11" x14ac:dyDescent="0.2">
      <c r="A3937" t="s">
        <v>3976</v>
      </c>
      <c r="B3937">
        <v>2021</v>
      </c>
      <c r="C3937" t="s">
        <v>33</v>
      </c>
      <c r="D3937">
        <v>440</v>
      </c>
      <c r="E3937" t="s">
        <v>38</v>
      </c>
      <c r="F3937" t="s">
        <v>39</v>
      </c>
      <c r="G3937" t="s">
        <v>15</v>
      </c>
      <c r="H3937">
        <v>0.51117068710679503</v>
      </c>
      <c r="I3937">
        <v>3</v>
      </c>
      <c r="J3937" t="s">
        <v>23</v>
      </c>
      <c r="K3937" s="59" t="s">
        <v>4376</v>
      </c>
    </row>
    <row r="3938" spans="1:11" x14ac:dyDescent="0.2">
      <c r="A3938" t="s">
        <v>3977</v>
      </c>
      <c r="B3938">
        <v>2025</v>
      </c>
      <c r="C3938" t="s">
        <v>33</v>
      </c>
      <c r="D3938">
        <v>252</v>
      </c>
      <c r="E3938" t="s">
        <v>13</v>
      </c>
      <c r="F3938" t="s">
        <v>14</v>
      </c>
      <c r="G3938" t="s">
        <v>41</v>
      </c>
      <c r="H3938">
        <v>1.602363996921867</v>
      </c>
      <c r="I3938">
        <v>4</v>
      </c>
      <c r="J3938" t="s">
        <v>23</v>
      </c>
      <c r="K3938" s="59" t="s">
        <v>23</v>
      </c>
    </row>
    <row r="3939" spans="1:11" x14ac:dyDescent="0.2">
      <c r="A3939" t="s">
        <v>3978</v>
      </c>
      <c r="B3939">
        <v>2023</v>
      </c>
      <c r="C3939" t="s">
        <v>33</v>
      </c>
      <c r="D3939">
        <v>383</v>
      </c>
      <c r="E3939" t="s">
        <v>29</v>
      </c>
      <c r="F3939" t="s">
        <v>30</v>
      </c>
      <c r="G3939" t="s">
        <v>15</v>
      </c>
      <c r="H3939">
        <v>0.21436445001295959</v>
      </c>
      <c r="I3939">
        <v>4</v>
      </c>
      <c r="J3939" t="s">
        <v>16</v>
      </c>
      <c r="K3939" s="59" t="s">
        <v>4376</v>
      </c>
    </row>
    <row r="3940" spans="1:11" x14ac:dyDescent="0.2">
      <c r="A3940" t="s">
        <v>3979</v>
      </c>
      <c r="B3940">
        <v>2025</v>
      </c>
      <c r="C3940" t="s">
        <v>19</v>
      </c>
      <c r="D3940">
        <v>390</v>
      </c>
      <c r="E3940" t="s">
        <v>25</v>
      </c>
      <c r="F3940" t="s">
        <v>26</v>
      </c>
      <c r="G3940" t="s">
        <v>15</v>
      </c>
      <c r="H3940">
        <v>0.72101013967881411</v>
      </c>
      <c r="I3940">
        <v>2</v>
      </c>
      <c r="J3940" t="s">
        <v>23</v>
      </c>
      <c r="K3940" s="59" t="s">
        <v>23</v>
      </c>
    </row>
    <row r="3941" spans="1:11" x14ac:dyDescent="0.2">
      <c r="A3941" t="s">
        <v>3980</v>
      </c>
      <c r="B3941">
        <v>2022</v>
      </c>
      <c r="C3941" t="s">
        <v>33</v>
      </c>
      <c r="D3941">
        <v>353</v>
      </c>
      <c r="E3941" t="s">
        <v>53</v>
      </c>
      <c r="F3941" t="s">
        <v>54</v>
      </c>
      <c r="G3941" t="s">
        <v>15</v>
      </c>
      <c r="H3941">
        <v>0.46058692577733279</v>
      </c>
      <c r="I3941">
        <v>3</v>
      </c>
      <c r="J3941" t="s">
        <v>16</v>
      </c>
      <c r="K3941" s="59" t="s">
        <v>4376</v>
      </c>
    </row>
    <row r="3942" spans="1:11" x14ac:dyDescent="0.2">
      <c r="A3942" t="s">
        <v>3981</v>
      </c>
      <c r="B3942">
        <v>2021</v>
      </c>
      <c r="C3942" t="s">
        <v>19</v>
      </c>
      <c r="D3942">
        <v>41</v>
      </c>
      <c r="E3942" t="s">
        <v>20</v>
      </c>
      <c r="F3942" t="s">
        <v>21</v>
      </c>
      <c r="G3942" t="s">
        <v>15</v>
      </c>
      <c r="H3942">
        <v>-2.4107459454441278</v>
      </c>
      <c r="I3942">
        <v>3</v>
      </c>
      <c r="J3942" t="s">
        <v>16</v>
      </c>
      <c r="K3942" s="59" t="s">
        <v>23</v>
      </c>
    </row>
    <row r="3943" spans="1:11" x14ac:dyDescent="0.2">
      <c r="A3943" t="s">
        <v>3982</v>
      </c>
      <c r="B3943">
        <v>2024</v>
      </c>
      <c r="C3943" t="s">
        <v>33</v>
      </c>
      <c r="D3943">
        <v>162</v>
      </c>
      <c r="E3943" t="s">
        <v>20</v>
      </c>
      <c r="F3943" t="s">
        <v>21</v>
      </c>
      <c r="G3943" t="s">
        <v>48</v>
      </c>
      <c r="H3943">
        <v>0.31972908681175177</v>
      </c>
      <c r="I3943">
        <v>3</v>
      </c>
      <c r="J3943" t="s">
        <v>23</v>
      </c>
      <c r="K3943" s="59" t="s">
        <v>16</v>
      </c>
    </row>
    <row r="3944" spans="1:11" x14ac:dyDescent="0.2">
      <c r="A3944" t="s">
        <v>3983</v>
      </c>
      <c r="B3944">
        <v>2024</v>
      </c>
      <c r="C3944" t="s">
        <v>19</v>
      </c>
      <c r="D3944">
        <v>138</v>
      </c>
      <c r="E3944" t="s">
        <v>25</v>
      </c>
      <c r="F3944" t="s">
        <v>26</v>
      </c>
      <c r="G3944" t="s">
        <v>15</v>
      </c>
      <c r="H3944">
        <v>0.51035669554517138</v>
      </c>
      <c r="I3944">
        <v>2</v>
      </c>
      <c r="J3944" t="s">
        <v>23</v>
      </c>
      <c r="K3944" s="59" t="s">
        <v>17</v>
      </c>
    </row>
    <row r="3945" spans="1:11" x14ac:dyDescent="0.2">
      <c r="A3945" t="s">
        <v>3984</v>
      </c>
      <c r="B3945">
        <v>2022</v>
      </c>
      <c r="C3945" t="s">
        <v>33</v>
      </c>
      <c r="D3945">
        <v>353</v>
      </c>
      <c r="E3945" t="s">
        <v>53</v>
      </c>
      <c r="F3945" t="s">
        <v>54</v>
      </c>
      <c r="G3945" t="s">
        <v>15</v>
      </c>
      <c r="H3945">
        <v>0.46058692577733279</v>
      </c>
      <c r="I3945">
        <v>3</v>
      </c>
      <c r="J3945" t="s">
        <v>16</v>
      </c>
      <c r="K3945" s="59" t="s">
        <v>4376</v>
      </c>
    </row>
    <row r="3946" spans="1:11" x14ac:dyDescent="0.2">
      <c r="A3946" t="s">
        <v>3985</v>
      </c>
      <c r="B3946">
        <v>2025</v>
      </c>
      <c r="C3946" t="s">
        <v>33</v>
      </c>
      <c r="D3946">
        <v>84</v>
      </c>
      <c r="E3946" t="s">
        <v>20</v>
      </c>
      <c r="F3946" t="s">
        <v>21</v>
      </c>
      <c r="G3946" t="s">
        <v>41</v>
      </c>
      <c r="H3946">
        <v>-1.087131524320089</v>
      </c>
      <c r="I3946">
        <v>3</v>
      </c>
      <c r="J3946" t="s">
        <v>16</v>
      </c>
      <c r="K3946" s="59" t="s">
        <v>23</v>
      </c>
    </row>
    <row r="3947" spans="1:11" x14ac:dyDescent="0.2">
      <c r="A3947" t="s">
        <v>3986</v>
      </c>
      <c r="B3947">
        <v>2021</v>
      </c>
      <c r="C3947" t="s">
        <v>19</v>
      </c>
      <c r="D3947">
        <v>367</v>
      </c>
      <c r="E3947" t="s">
        <v>38</v>
      </c>
      <c r="F3947" t="s">
        <v>39</v>
      </c>
      <c r="G3947" t="s">
        <v>15</v>
      </c>
      <c r="H3947">
        <v>0.69029355547504967</v>
      </c>
      <c r="I3947">
        <v>3</v>
      </c>
      <c r="J3947" t="s">
        <v>23</v>
      </c>
      <c r="K3947" s="59" t="s">
        <v>23</v>
      </c>
    </row>
    <row r="3948" spans="1:11" x14ac:dyDescent="0.2">
      <c r="A3948" t="s">
        <v>3987</v>
      </c>
      <c r="B3948">
        <v>2022</v>
      </c>
      <c r="C3948" t="s">
        <v>33</v>
      </c>
      <c r="D3948">
        <v>353</v>
      </c>
      <c r="E3948" t="s">
        <v>53</v>
      </c>
      <c r="F3948" t="s">
        <v>54</v>
      </c>
      <c r="G3948" t="s">
        <v>15</v>
      </c>
      <c r="H3948">
        <v>0.46058692577733279</v>
      </c>
      <c r="I3948">
        <v>3</v>
      </c>
      <c r="J3948" t="s">
        <v>16</v>
      </c>
      <c r="K3948" s="59" t="s">
        <v>4376</v>
      </c>
    </row>
    <row r="3949" spans="1:11" x14ac:dyDescent="0.2">
      <c r="A3949" t="s">
        <v>3988</v>
      </c>
      <c r="B3949">
        <v>2023</v>
      </c>
      <c r="C3949" t="s">
        <v>33</v>
      </c>
      <c r="D3949">
        <v>383</v>
      </c>
      <c r="E3949" t="s">
        <v>29</v>
      </c>
      <c r="F3949" t="s">
        <v>30</v>
      </c>
      <c r="G3949" t="s">
        <v>15</v>
      </c>
      <c r="H3949">
        <v>0.21436445001295959</v>
      </c>
      <c r="I3949">
        <v>4</v>
      </c>
      <c r="J3949" t="s">
        <v>16</v>
      </c>
      <c r="K3949" s="59" t="s">
        <v>4376</v>
      </c>
    </row>
    <row r="3950" spans="1:11" x14ac:dyDescent="0.2">
      <c r="A3950" t="s">
        <v>3989</v>
      </c>
      <c r="B3950">
        <v>2023</v>
      </c>
      <c r="C3950" t="s">
        <v>33</v>
      </c>
      <c r="D3950">
        <v>383</v>
      </c>
      <c r="E3950" t="s">
        <v>29</v>
      </c>
      <c r="F3950" t="s">
        <v>30</v>
      </c>
      <c r="G3950" t="s">
        <v>15</v>
      </c>
      <c r="H3950">
        <v>0.21436445001295959</v>
      </c>
      <c r="I3950">
        <v>4</v>
      </c>
      <c r="J3950" t="s">
        <v>16</v>
      </c>
      <c r="K3950" s="59" t="s">
        <v>4376</v>
      </c>
    </row>
    <row r="3951" spans="1:11" x14ac:dyDescent="0.2">
      <c r="A3951" t="s">
        <v>3990</v>
      </c>
      <c r="B3951">
        <v>2024</v>
      </c>
      <c r="C3951" t="s">
        <v>12</v>
      </c>
      <c r="D3951">
        <v>124</v>
      </c>
      <c r="E3951" t="s">
        <v>38</v>
      </c>
      <c r="F3951" t="s">
        <v>39</v>
      </c>
      <c r="G3951" t="s">
        <v>15</v>
      </c>
      <c r="H3951">
        <v>0.80168146858277878</v>
      </c>
      <c r="I3951">
        <v>3</v>
      </c>
      <c r="J3951" t="s">
        <v>23</v>
      </c>
      <c r="K3951" s="59" t="s">
        <v>16</v>
      </c>
    </row>
    <row r="3952" spans="1:11" x14ac:dyDescent="0.2">
      <c r="A3952" t="s">
        <v>3991</v>
      </c>
      <c r="B3952">
        <v>2021</v>
      </c>
      <c r="C3952" t="s">
        <v>19</v>
      </c>
      <c r="D3952">
        <v>148</v>
      </c>
      <c r="E3952" t="s">
        <v>38</v>
      </c>
      <c r="F3952" t="s">
        <v>39</v>
      </c>
      <c r="G3952" t="s">
        <v>15</v>
      </c>
      <c r="H3952">
        <v>-0.43735717213192399</v>
      </c>
      <c r="I3952">
        <v>3</v>
      </c>
      <c r="J3952" t="s">
        <v>23</v>
      </c>
      <c r="K3952" s="59" t="s">
        <v>16</v>
      </c>
    </row>
    <row r="3953" spans="1:11" x14ac:dyDescent="0.2">
      <c r="A3953" t="s">
        <v>3992</v>
      </c>
      <c r="B3953">
        <v>2023</v>
      </c>
      <c r="C3953" t="s">
        <v>33</v>
      </c>
      <c r="D3953">
        <v>383</v>
      </c>
      <c r="E3953" t="s">
        <v>29</v>
      </c>
      <c r="F3953" t="s">
        <v>30</v>
      </c>
      <c r="G3953" t="s">
        <v>15</v>
      </c>
      <c r="H3953">
        <v>0.21436445001295959</v>
      </c>
      <c r="I3953">
        <v>4</v>
      </c>
      <c r="J3953" t="s">
        <v>16</v>
      </c>
      <c r="K3953" s="59" t="s">
        <v>4376</v>
      </c>
    </row>
    <row r="3954" spans="1:11" x14ac:dyDescent="0.2">
      <c r="A3954" t="s">
        <v>3993</v>
      </c>
      <c r="B3954">
        <v>2024</v>
      </c>
      <c r="C3954" t="s">
        <v>19</v>
      </c>
      <c r="D3954">
        <v>124</v>
      </c>
      <c r="E3954" t="s">
        <v>38</v>
      </c>
      <c r="F3954" t="s">
        <v>39</v>
      </c>
      <c r="G3954" t="s">
        <v>15</v>
      </c>
      <c r="H3954">
        <v>0.80168146858277878</v>
      </c>
      <c r="I3954">
        <v>3</v>
      </c>
      <c r="J3954" t="s">
        <v>23</v>
      </c>
      <c r="K3954" s="59" t="s">
        <v>17</v>
      </c>
    </row>
    <row r="3955" spans="1:11" x14ac:dyDescent="0.2">
      <c r="A3955" t="s">
        <v>3994</v>
      </c>
      <c r="B3955">
        <v>2021</v>
      </c>
      <c r="C3955" t="s">
        <v>33</v>
      </c>
      <c r="D3955">
        <v>49</v>
      </c>
      <c r="E3955" t="s">
        <v>20</v>
      </c>
      <c r="F3955" t="s">
        <v>21</v>
      </c>
      <c r="G3955" t="s">
        <v>22</v>
      </c>
      <c r="H3955">
        <v>0.2064434205798589</v>
      </c>
      <c r="I3955">
        <v>3</v>
      </c>
      <c r="J3955" t="s">
        <v>17</v>
      </c>
      <c r="K3955" s="59" t="s">
        <v>17</v>
      </c>
    </row>
    <row r="3956" spans="1:11" x14ac:dyDescent="0.2">
      <c r="A3956" t="s">
        <v>3995</v>
      </c>
      <c r="B3956">
        <v>2022</v>
      </c>
      <c r="C3956" t="s">
        <v>33</v>
      </c>
      <c r="D3956">
        <v>353</v>
      </c>
      <c r="E3956" t="s">
        <v>53</v>
      </c>
      <c r="F3956" t="s">
        <v>54</v>
      </c>
      <c r="G3956" t="s">
        <v>15</v>
      </c>
      <c r="H3956">
        <v>0.46058692577733279</v>
      </c>
      <c r="I3956">
        <v>3</v>
      </c>
      <c r="J3956" t="s">
        <v>16</v>
      </c>
      <c r="K3956" s="59" t="s">
        <v>4376</v>
      </c>
    </row>
    <row r="3957" spans="1:11" x14ac:dyDescent="0.2">
      <c r="A3957" t="s">
        <v>3996</v>
      </c>
      <c r="B3957">
        <v>2024</v>
      </c>
      <c r="C3957" t="s">
        <v>19</v>
      </c>
      <c r="D3957">
        <v>124</v>
      </c>
      <c r="E3957" t="s">
        <v>38</v>
      </c>
      <c r="F3957" t="s">
        <v>39</v>
      </c>
      <c r="G3957" t="s">
        <v>15</v>
      </c>
      <c r="H3957">
        <v>0.80168146858277878</v>
      </c>
      <c r="I3957">
        <v>3</v>
      </c>
      <c r="J3957" t="s">
        <v>23</v>
      </c>
      <c r="K3957" s="59" t="s">
        <v>17</v>
      </c>
    </row>
    <row r="3958" spans="1:11" x14ac:dyDescent="0.2">
      <c r="A3958" t="s">
        <v>3997</v>
      </c>
      <c r="B3958">
        <v>2024</v>
      </c>
      <c r="C3958" t="s">
        <v>19</v>
      </c>
      <c r="D3958">
        <v>124</v>
      </c>
      <c r="E3958" t="s">
        <v>38</v>
      </c>
      <c r="F3958" t="s">
        <v>39</v>
      </c>
      <c r="G3958" t="s">
        <v>15</v>
      </c>
      <c r="H3958">
        <v>0.80168146858277878</v>
      </c>
      <c r="I3958">
        <v>3</v>
      </c>
      <c r="J3958" t="s">
        <v>23</v>
      </c>
      <c r="K3958" s="59" t="s">
        <v>23</v>
      </c>
    </row>
    <row r="3959" spans="1:11" x14ac:dyDescent="0.2">
      <c r="A3959" t="s">
        <v>3998</v>
      </c>
      <c r="B3959">
        <v>2021</v>
      </c>
      <c r="C3959" t="s">
        <v>19</v>
      </c>
      <c r="D3959">
        <v>342</v>
      </c>
      <c r="E3959" t="s">
        <v>38</v>
      </c>
      <c r="F3959" t="s">
        <v>39</v>
      </c>
      <c r="G3959" t="s">
        <v>15</v>
      </c>
      <c r="H3959">
        <v>0.85718977861479717</v>
      </c>
      <c r="I3959">
        <v>3</v>
      </c>
      <c r="J3959" t="s">
        <v>17</v>
      </c>
      <c r="K3959" s="59" t="s">
        <v>17</v>
      </c>
    </row>
    <row r="3960" spans="1:11" x14ac:dyDescent="0.2">
      <c r="A3960" t="s">
        <v>3999</v>
      </c>
      <c r="B3960">
        <v>2021</v>
      </c>
      <c r="C3960" t="s">
        <v>12</v>
      </c>
      <c r="D3960">
        <v>343</v>
      </c>
      <c r="E3960" t="s">
        <v>38</v>
      </c>
      <c r="F3960" t="s">
        <v>39</v>
      </c>
      <c r="G3960" t="s">
        <v>15</v>
      </c>
      <c r="H3960">
        <v>0.79091725609484598</v>
      </c>
      <c r="I3960">
        <v>3</v>
      </c>
      <c r="J3960" t="s">
        <v>23</v>
      </c>
      <c r="K3960" s="59" t="s">
        <v>16</v>
      </c>
    </row>
    <row r="3961" spans="1:11" x14ac:dyDescent="0.2">
      <c r="A3961" t="s">
        <v>4000</v>
      </c>
      <c r="B3961">
        <v>2023</v>
      </c>
      <c r="C3961" t="s">
        <v>33</v>
      </c>
      <c r="D3961">
        <v>382</v>
      </c>
      <c r="E3961" t="s">
        <v>29</v>
      </c>
      <c r="F3961" t="s">
        <v>30</v>
      </c>
      <c r="G3961" t="s">
        <v>15</v>
      </c>
      <c r="H3961">
        <v>0.33616250135773618</v>
      </c>
      <c r="I3961">
        <v>4</v>
      </c>
      <c r="J3961" t="s">
        <v>16</v>
      </c>
      <c r="K3961" s="59" t="s">
        <v>4376</v>
      </c>
    </row>
    <row r="3962" spans="1:11" x14ac:dyDescent="0.2">
      <c r="A3962" t="s">
        <v>4001</v>
      </c>
      <c r="B3962">
        <v>2022</v>
      </c>
      <c r="C3962" t="s">
        <v>33</v>
      </c>
      <c r="D3962">
        <v>353</v>
      </c>
      <c r="E3962" t="s">
        <v>53</v>
      </c>
      <c r="F3962" t="s">
        <v>54</v>
      </c>
      <c r="G3962" t="s">
        <v>15</v>
      </c>
      <c r="H3962">
        <v>0.46058692577733279</v>
      </c>
      <c r="I3962">
        <v>3</v>
      </c>
      <c r="J3962" t="s">
        <v>16</v>
      </c>
      <c r="K3962" s="59" t="s">
        <v>4376</v>
      </c>
    </row>
    <row r="3963" spans="1:11" x14ac:dyDescent="0.2">
      <c r="A3963" t="s">
        <v>4002</v>
      </c>
      <c r="B3963">
        <v>2023</v>
      </c>
      <c r="C3963" t="s">
        <v>33</v>
      </c>
      <c r="D3963">
        <v>383</v>
      </c>
      <c r="E3963" t="s">
        <v>29</v>
      </c>
      <c r="F3963" t="s">
        <v>30</v>
      </c>
      <c r="G3963" t="s">
        <v>15</v>
      </c>
      <c r="H3963">
        <v>0.21436445001295959</v>
      </c>
      <c r="I3963">
        <v>4</v>
      </c>
      <c r="J3963" t="s">
        <v>16</v>
      </c>
      <c r="K3963" s="59" t="s">
        <v>4376</v>
      </c>
    </row>
    <row r="3964" spans="1:11" x14ac:dyDescent="0.2">
      <c r="A3964" t="s">
        <v>4003</v>
      </c>
      <c r="B3964">
        <v>2023</v>
      </c>
      <c r="C3964" t="s">
        <v>33</v>
      </c>
      <c r="D3964">
        <v>167</v>
      </c>
      <c r="E3964" t="s">
        <v>25</v>
      </c>
      <c r="F3964" t="s">
        <v>26</v>
      </c>
      <c r="G3964" t="s">
        <v>15</v>
      </c>
      <c r="H3964">
        <v>0.35199833719295759</v>
      </c>
      <c r="I3964">
        <v>2</v>
      </c>
      <c r="J3964" t="s">
        <v>16</v>
      </c>
      <c r="K3964" s="59" t="s">
        <v>16</v>
      </c>
    </row>
    <row r="3965" spans="1:11" x14ac:dyDescent="0.2">
      <c r="A3965" t="s">
        <v>4004</v>
      </c>
      <c r="B3965">
        <v>2023</v>
      </c>
      <c r="C3965" t="s">
        <v>33</v>
      </c>
      <c r="D3965">
        <v>280</v>
      </c>
      <c r="E3965" t="s">
        <v>25</v>
      </c>
      <c r="F3965" t="s">
        <v>26</v>
      </c>
      <c r="G3965" t="s">
        <v>15</v>
      </c>
      <c r="H3965">
        <v>0.29210560399515528</v>
      </c>
      <c r="I3965">
        <v>2</v>
      </c>
      <c r="J3965" t="s">
        <v>23</v>
      </c>
      <c r="K3965" s="59" t="s">
        <v>17</v>
      </c>
    </row>
    <row r="3966" spans="1:11" x14ac:dyDescent="0.2">
      <c r="A3966" t="s">
        <v>4005</v>
      </c>
      <c r="B3966">
        <v>2023</v>
      </c>
      <c r="C3966" t="s">
        <v>19</v>
      </c>
      <c r="D3966">
        <v>680</v>
      </c>
      <c r="E3966" t="s">
        <v>25</v>
      </c>
      <c r="F3966" t="s">
        <v>26</v>
      </c>
      <c r="G3966" t="s">
        <v>48</v>
      </c>
      <c r="H3966">
        <v>0.64471275563592867</v>
      </c>
      <c r="I3966">
        <v>2</v>
      </c>
      <c r="J3966" t="s">
        <v>23</v>
      </c>
      <c r="K3966" s="59" t="s">
        <v>16</v>
      </c>
    </row>
    <row r="3967" spans="1:11" x14ac:dyDescent="0.2">
      <c r="A3967" t="s">
        <v>4006</v>
      </c>
      <c r="B3967">
        <v>2022</v>
      </c>
      <c r="C3967" t="s">
        <v>33</v>
      </c>
      <c r="D3967">
        <v>353</v>
      </c>
      <c r="E3967" t="s">
        <v>53</v>
      </c>
      <c r="F3967" t="s">
        <v>54</v>
      </c>
      <c r="G3967" t="s">
        <v>15</v>
      </c>
      <c r="H3967">
        <v>0.46058692577733279</v>
      </c>
      <c r="I3967">
        <v>3</v>
      </c>
      <c r="J3967" t="s">
        <v>16</v>
      </c>
      <c r="K3967" s="59" t="s">
        <v>4376</v>
      </c>
    </row>
    <row r="3968" spans="1:11" x14ac:dyDescent="0.2">
      <c r="A3968" t="s">
        <v>4007</v>
      </c>
      <c r="B3968">
        <v>2023</v>
      </c>
      <c r="C3968" t="s">
        <v>19</v>
      </c>
      <c r="D3968">
        <v>162</v>
      </c>
      <c r="E3968" t="s">
        <v>20</v>
      </c>
      <c r="F3968" t="s">
        <v>21</v>
      </c>
      <c r="G3968" t="s">
        <v>48</v>
      </c>
      <c r="H3968">
        <v>-0.2907146942849449</v>
      </c>
      <c r="I3968">
        <v>3</v>
      </c>
      <c r="J3968" t="s">
        <v>23</v>
      </c>
      <c r="K3968" s="59" t="s">
        <v>23</v>
      </c>
    </row>
    <row r="3969" spans="1:11" x14ac:dyDescent="0.2">
      <c r="A3969" t="s">
        <v>4008</v>
      </c>
      <c r="B3969">
        <v>2022</v>
      </c>
      <c r="C3969" t="s">
        <v>33</v>
      </c>
      <c r="D3969">
        <v>353</v>
      </c>
      <c r="E3969" t="s">
        <v>53</v>
      </c>
      <c r="F3969" t="s">
        <v>54</v>
      </c>
      <c r="G3969" t="s">
        <v>15</v>
      </c>
      <c r="H3969">
        <v>0.46058692577733279</v>
      </c>
      <c r="I3969">
        <v>3</v>
      </c>
      <c r="J3969" t="s">
        <v>16</v>
      </c>
      <c r="K3969" s="59" t="s">
        <v>4376</v>
      </c>
    </row>
    <row r="3970" spans="1:11" x14ac:dyDescent="0.2">
      <c r="A3970" t="s">
        <v>4009</v>
      </c>
      <c r="B3970">
        <v>2022</v>
      </c>
      <c r="C3970" t="s">
        <v>33</v>
      </c>
      <c r="D3970">
        <v>352</v>
      </c>
      <c r="E3970" t="s">
        <v>53</v>
      </c>
      <c r="F3970" t="s">
        <v>54</v>
      </c>
      <c r="G3970" t="s">
        <v>36</v>
      </c>
      <c r="H3970">
        <v>5.4377775466296963E-2</v>
      </c>
      <c r="I3970">
        <v>3</v>
      </c>
      <c r="J3970" t="s">
        <v>16</v>
      </c>
      <c r="K3970" s="59" t="s">
        <v>17</v>
      </c>
    </row>
    <row r="3971" spans="1:11" x14ac:dyDescent="0.2">
      <c r="A3971" t="s">
        <v>4010</v>
      </c>
      <c r="B3971">
        <v>2023</v>
      </c>
      <c r="C3971" t="s">
        <v>33</v>
      </c>
      <c r="D3971">
        <v>383</v>
      </c>
      <c r="E3971" t="s">
        <v>29</v>
      </c>
      <c r="F3971" t="s">
        <v>30</v>
      </c>
      <c r="G3971" t="s">
        <v>15</v>
      </c>
      <c r="H3971">
        <v>0.21436445001295959</v>
      </c>
      <c r="I3971">
        <v>4</v>
      </c>
      <c r="J3971" t="s">
        <v>16</v>
      </c>
      <c r="K3971" s="59" t="s">
        <v>4376</v>
      </c>
    </row>
    <row r="3972" spans="1:11" x14ac:dyDescent="0.2">
      <c r="A3972" t="s">
        <v>4011</v>
      </c>
      <c r="B3972">
        <v>2023</v>
      </c>
      <c r="C3972" t="s">
        <v>33</v>
      </c>
      <c r="D3972">
        <v>383</v>
      </c>
      <c r="E3972" t="s">
        <v>29</v>
      </c>
      <c r="F3972" t="s">
        <v>30</v>
      </c>
      <c r="G3972" t="s">
        <v>15</v>
      </c>
      <c r="H3972">
        <v>0.21436445001295959</v>
      </c>
      <c r="I3972">
        <v>4</v>
      </c>
      <c r="J3972" t="s">
        <v>16</v>
      </c>
      <c r="K3972" s="59" t="s">
        <v>4376</v>
      </c>
    </row>
    <row r="3973" spans="1:11" x14ac:dyDescent="0.2">
      <c r="A3973" t="s">
        <v>4012</v>
      </c>
      <c r="B3973">
        <v>2022</v>
      </c>
      <c r="C3973" t="s">
        <v>33</v>
      </c>
      <c r="D3973">
        <v>352</v>
      </c>
      <c r="E3973" t="s">
        <v>53</v>
      </c>
      <c r="F3973" t="s">
        <v>54</v>
      </c>
      <c r="G3973" t="s">
        <v>15</v>
      </c>
      <c r="H3973">
        <v>0.46280219742872031</v>
      </c>
      <c r="I3973">
        <v>3</v>
      </c>
      <c r="J3973" t="s">
        <v>16</v>
      </c>
      <c r="K3973" s="59" t="s">
        <v>23</v>
      </c>
    </row>
    <row r="3974" spans="1:11" x14ac:dyDescent="0.2">
      <c r="A3974" t="s">
        <v>4013</v>
      </c>
      <c r="B3974">
        <v>2023</v>
      </c>
      <c r="C3974" t="s">
        <v>33</v>
      </c>
      <c r="D3974">
        <v>387</v>
      </c>
      <c r="E3974" t="s">
        <v>29</v>
      </c>
      <c r="F3974" t="s">
        <v>30</v>
      </c>
      <c r="G3974" t="s">
        <v>15</v>
      </c>
      <c r="H3974">
        <v>0.22473279489318879</v>
      </c>
      <c r="I3974">
        <v>4</v>
      </c>
      <c r="J3974" t="s">
        <v>16</v>
      </c>
      <c r="K3974" s="59" t="s">
        <v>4376</v>
      </c>
    </row>
    <row r="3975" spans="1:11" x14ac:dyDescent="0.2">
      <c r="A3975" t="s">
        <v>4014</v>
      </c>
      <c r="B3975">
        <v>2023</v>
      </c>
      <c r="C3975" t="s">
        <v>33</v>
      </c>
      <c r="D3975">
        <v>384</v>
      </c>
      <c r="E3975" t="s">
        <v>29</v>
      </c>
      <c r="F3975" t="s">
        <v>30</v>
      </c>
      <c r="G3975" t="s">
        <v>15</v>
      </c>
      <c r="H3975">
        <v>0.21697700007159629</v>
      </c>
      <c r="I3975">
        <v>4</v>
      </c>
      <c r="J3975" t="s">
        <v>16</v>
      </c>
      <c r="K3975" s="59" t="s">
        <v>4376</v>
      </c>
    </row>
    <row r="3976" spans="1:11" x14ac:dyDescent="0.2">
      <c r="A3976" t="s">
        <v>4015</v>
      </c>
      <c r="B3976">
        <v>2022</v>
      </c>
      <c r="C3976" t="s">
        <v>33</v>
      </c>
      <c r="D3976">
        <v>353</v>
      </c>
      <c r="E3976" t="s">
        <v>53</v>
      </c>
      <c r="F3976" t="s">
        <v>54</v>
      </c>
      <c r="G3976" t="s">
        <v>15</v>
      </c>
      <c r="H3976">
        <v>0.46058692577733279</v>
      </c>
      <c r="I3976">
        <v>3</v>
      </c>
      <c r="J3976" t="s">
        <v>16</v>
      </c>
      <c r="K3976" s="59" t="s">
        <v>4376</v>
      </c>
    </row>
    <row r="3977" spans="1:11" x14ac:dyDescent="0.2">
      <c r="A3977" t="s">
        <v>4016</v>
      </c>
      <c r="B3977">
        <v>2023</v>
      </c>
      <c r="C3977" t="s">
        <v>19</v>
      </c>
      <c r="D3977">
        <v>57</v>
      </c>
      <c r="E3977" t="s">
        <v>25</v>
      </c>
      <c r="F3977" t="s">
        <v>26</v>
      </c>
      <c r="G3977" t="s">
        <v>15</v>
      </c>
      <c r="H3977">
        <v>-2.093388101782808</v>
      </c>
      <c r="I3977">
        <v>2</v>
      </c>
      <c r="J3977" t="s">
        <v>17</v>
      </c>
      <c r="K3977" s="59" t="s">
        <v>17</v>
      </c>
    </row>
    <row r="3978" spans="1:11" x14ac:dyDescent="0.2">
      <c r="A3978" t="s">
        <v>4017</v>
      </c>
      <c r="B3978">
        <v>2024</v>
      </c>
      <c r="C3978" t="s">
        <v>19</v>
      </c>
      <c r="D3978">
        <v>106</v>
      </c>
      <c r="E3978" t="s">
        <v>20</v>
      </c>
      <c r="F3978" t="s">
        <v>21</v>
      </c>
      <c r="G3978" t="s">
        <v>15</v>
      </c>
      <c r="H3978">
        <v>-0.2038395006233131</v>
      </c>
      <c r="I3978">
        <v>3</v>
      </c>
      <c r="J3978" t="s">
        <v>23</v>
      </c>
      <c r="K3978" s="59" t="s">
        <v>17</v>
      </c>
    </row>
    <row r="3979" spans="1:11" x14ac:dyDescent="0.2">
      <c r="A3979" t="s">
        <v>4018</v>
      </c>
      <c r="B3979">
        <v>2025</v>
      </c>
      <c r="C3979" t="s">
        <v>19</v>
      </c>
      <c r="D3979">
        <v>101</v>
      </c>
      <c r="E3979" t="s">
        <v>20</v>
      </c>
      <c r="F3979" t="s">
        <v>21</v>
      </c>
      <c r="G3979" t="s">
        <v>15</v>
      </c>
      <c r="H3979">
        <v>0.27579817663931799</v>
      </c>
      <c r="I3979">
        <v>3</v>
      </c>
      <c r="J3979" t="s">
        <v>23</v>
      </c>
      <c r="K3979" s="59" t="s">
        <v>17</v>
      </c>
    </row>
    <row r="3980" spans="1:11" x14ac:dyDescent="0.2">
      <c r="A3980" t="s">
        <v>4019</v>
      </c>
      <c r="B3980">
        <v>2021</v>
      </c>
      <c r="C3980" t="s">
        <v>33</v>
      </c>
      <c r="D3980">
        <v>90</v>
      </c>
      <c r="E3980" t="s">
        <v>13</v>
      </c>
      <c r="F3980" t="s">
        <v>14</v>
      </c>
      <c r="G3980" t="s">
        <v>41</v>
      </c>
      <c r="H3980">
        <v>0.65381073781717702</v>
      </c>
      <c r="I3980">
        <v>4</v>
      </c>
      <c r="J3980" t="s">
        <v>23</v>
      </c>
      <c r="K3980" s="59" t="s">
        <v>17</v>
      </c>
    </row>
    <row r="3981" spans="1:11" x14ac:dyDescent="0.2">
      <c r="A3981" t="s">
        <v>4020</v>
      </c>
      <c r="B3981">
        <v>2023</v>
      </c>
      <c r="C3981" t="s">
        <v>33</v>
      </c>
      <c r="D3981">
        <v>382</v>
      </c>
      <c r="E3981" t="s">
        <v>29</v>
      </c>
      <c r="F3981" t="s">
        <v>30</v>
      </c>
      <c r="G3981" t="s">
        <v>15</v>
      </c>
      <c r="H3981">
        <v>0.33616250135773618</v>
      </c>
      <c r="I3981">
        <v>4</v>
      </c>
      <c r="J3981" t="s">
        <v>16</v>
      </c>
      <c r="K3981" s="59" t="s">
        <v>4376</v>
      </c>
    </row>
    <row r="3982" spans="1:11" x14ac:dyDescent="0.2">
      <c r="A3982" t="s">
        <v>4021</v>
      </c>
      <c r="B3982">
        <v>2025</v>
      </c>
      <c r="C3982" t="s">
        <v>33</v>
      </c>
      <c r="D3982">
        <v>124</v>
      </c>
      <c r="E3982" t="s">
        <v>20</v>
      </c>
      <c r="F3982" t="s">
        <v>21</v>
      </c>
      <c r="G3982" t="s">
        <v>15</v>
      </c>
      <c r="H3982">
        <v>-0.83775489425324057</v>
      </c>
      <c r="I3982">
        <v>3</v>
      </c>
      <c r="J3982" t="s">
        <v>16</v>
      </c>
      <c r="K3982" s="59" t="s">
        <v>4376</v>
      </c>
    </row>
    <row r="3983" spans="1:11" x14ac:dyDescent="0.2">
      <c r="A3983" t="s">
        <v>4022</v>
      </c>
      <c r="B3983">
        <v>2025</v>
      </c>
      <c r="C3983" t="s">
        <v>19</v>
      </c>
      <c r="D3983">
        <v>108</v>
      </c>
      <c r="E3983" t="s">
        <v>20</v>
      </c>
      <c r="F3983" t="s">
        <v>21</v>
      </c>
      <c r="G3983" t="s">
        <v>15</v>
      </c>
      <c r="H3983">
        <v>0.75489854507753251</v>
      </c>
      <c r="I3983">
        <v>3</v>
      </c>
      <c r="J3983" t="s">
        <v>23</v>
      </c>
      <c r="K3983" s="59" t="s">
        <v>17</v>
      </c>
    </row>
    <row r="3984" spans="1:11" x14ac:dyDescent="0.2">
      <c r="A3984" t="s">
        <v>4023</v>
      </c>
      <c r="B3984">
        <v>2022</v>
      </c>
      <c r="C3984" t="s">
        <v>33</v>
      </c>
      <c r="D3984">
        <v>353</v>
      </c>
      <c r="E3984" t="s">
        <v>53</v>
      </c>
      <c r="F3984" t="s">
        <v>54</v>
      </c>
      <c r="G3984" t="s">
        <v>15</v>
      </c>
      <c r="H3984">
        <v>0.46058692577733279</v>
      </c>
      <c r="I3984">
        <v>3</v>
      </c>
      <c r="J3984" t="s">
        <v>16</v>
      </c>
      <c r="K3984" s="59" t="s">
        <v>4376</v>
      </c>
    </row>
    <row r="3985" spans="1:11" x14ac:dyDescent="0.2">
      <c r="A3985" t="s">
        <v>4024</v>
      </c>
      <c r="B3985">
        <v>2023</v>
      </c>
      <c r="C3985" t="s">
        <v>33</v>
      </c>
      <c r="D3985">
        <v>383</v>
      </c>
      <c r="E3985" t="s">
        <v>29</v>
      </c>
      <c r="F3985" t="s">
        <v>30</v>
      </c>
      <c r="G3985" t="s">
        <v>15</v>
      </c>
      <c r="H3985">
        <v>0.21436445001295959</v>
      </c>
      <c r="I3985">
        <v>4</v>
      </c>
      <c r="J3985" t="s">
        <v>16</v>
      </c>
      <c r="K3985" s="59" t="s">
        <v>4376</v>
      </c>
    </row>
    <row r="3986" spans="1:11" x14ac:dyDescent="0.2">
      <c r="A3986" t="s">
        <v>4025</v>
      </c>
      <c r="B3986">
        <v>2021</v>
      </c>
      <c r="C3986" t="s">
        <v>12</v>
      </c>
      <c r="D3986">
        <v>283</v>
      </c>
      <c r="E3986" t="s">
        <v>29</v>
      </c>
      <c r="F3986" t="s">
        <v>30</v>
      </c>
      <c r="G3986" t="s">
        <v>15</v>
      </c>
      <c r="H3986">
        <v>0.95244521003530502</v>
      </c>
      <c r="I3986">
        <v>4</v>
      </c>
      <c r="J3986" t="s">
        <v>23</v>
      </c>
      <c r="K3986" s="59" t="s">
        <v>17</v>
      </c>
    </row>
    <row r="3987" spans="1:11" x14ac:dyDescent="0.2">
      <c r="A3987" t="s">
        <v>4026</v>
      </c>
      <c r="B3987">
        <v>2023</v>
      </c>
      <c r="C3987" t="s">
        <v>33</v>
      </c>
      <c r="D3987">
        <v>382</v>
      </c>
      <c r="E3987" t="s">
        <v>29</v>
      </c>
      <c r="F3987" t="s">
        <v>30</v>
      </c>
      <c r="G3987" t="s">
        <v>15</v>
      </c>
      <c r="H3987">
        <v>0.33616250135773618</v>
      </c>
      <c r="I3987">
        <v>4</v>
      </c>
      <c r="J3987" t="s">
        <v>16</v>
      </c>
      <c r="K3987" s="59" t="s">
        <v>4376</v>
      </c>
    </row>
    <row r="3988" spans="1:11" x14ac:dyDescent="0.2">
      <c r="A3988" t="s">
        <v>4027</v>
      </c>
      <c r="B3988">
        <v>2023</v>
      </c>
      <c r="C3988" t="s">
        <v>33</v>
      </c>
      <c r="D3988">
        <v>386</v>
      </c>
      <c r="E3988" t="s">
        <v>29</v>
      </c>
      <c r="F3988" t="s">
        <v>30</v>
      </c>
      <c r="G3988" t="s">
        <v>15</v>
      </c>
      <c r="H3988">
        <v>0.2221610653711947</v>
      </c>
      <c r="I3988">
        <v>4</v>
      </c>
      <c r="J3988" t="s">
        <v>16</v>
      </c>
      <c r="K3988" s="59" t="s">
        <v>16</v>
      </c>
    </row>
    <row r="3989" spans="1:11" x14ac:dyDescent="0.2">
      <c r="A3989" t="s">
        <v>4028</v>
      </c>
      <c r="B3989">
        <v>2017</v>
      </c>
      <c r="C3989" t="s">
        <v>12</v>
      </c>
      <c r="D3989">
        <v>148</v>
      </c>
      <c r="E3989" t="s">
        <v>29</v>
      </c>
      <c r="F3989" t="s">
        <v>30</v>
      </c>
      <c r="G3989" t="s">
        <v>15</v>
      </c>
      <c r="H3989">
        <v>0.4450338727248831</v>
      </c>
      <c r="I3989">
        <v>4</v>
      </c>
      <c r="J3989" t="s">
        <v>23</v>
      </c>
      <c r="K3989" s="59" t="s">
        <v>17</v>
      </c>
    </row>
    <row r="3990" spans="1:11" x14ac:dyDescent="0.2">
      <c r="A3990" t="s">
        <v>4029</v>
      </c>
      <c r="B3990">
        <v>2023</v>
      </c>
      <c r="C3990" t="s">
        <v>33</v>
      </c>
      <c r="D3990">
        <v>383</v>
      </c>
      <c r="E3990" t="s">
        <v>29</v>
      </c>
      <c r="F3990" t="s">
        <v>30</v>
      </c>
      <c r="G3990" t="s">
        <v>15</v>
      </c>
      <c r="H3990">
        <v>0.21436445001295959</v>
      </c>
      <c r="I3990">
        <v>4</v>
      </c>
      <c r="J3990" t="s">
        <v>16</v>
      </c>
      <c r="K3990" s="59" t="s">
        <v>4376</v>
      </c>
    </row>
    <row r="3991" spans="1:11" x14ac:dyDescent="0.2">
      <c r="A3991" t="s">
        <v>4030</v>
      </c>
      <c r="B3991">
        <v>2021</v>
      </c>
      <c r="C3991" t="s">
        <v>12</v>
      </c>
      <c r="D3991">
        <v>311</v>
      </c>
      <c r="E3991" t="s">
        <v>38</v>
      </c>
      <c r="F3991" t="s">
        <v>39</v>
      </c>
      <c r="G3991" t="s">
        <v>15</v>
      </c>
      <c r="H3991">
        <v>0.60221472720671299</v>
      </c>
      <c r="I3991">
        <v>3</v>
      </c>
      <c r="J3991" t="s">
        <v>23</v>
      </c>
      <c r="K3991" s="59" t="s">
        <v>16</v>
      </c>
    </row>
    <row r="3992" spans="1:11" x14ac:dyDescent="0.2">
      <c r="A3992" t="s">
        <v>4031</v>
      </c>
      <c r="B3992">
        <v>2022</v>
      </c>
      <c r="C3992" t="s">
        <v>33</v>
      </c>
      <c r="D3992">
        <v>353</v>
      </c>
      <c r="E3992" t="s">
        <v>53</v>
      </c>
      <c r="F3992" t="s">
        <v>54</v>
      </c>
      <c r="G3992" t="s">
        <v>15</v>
      </c>
      <c r="H3992">
        <v>0.46058692577733279</v>
      </c>
      <c r="I3992">
        <v>3</v>
      </c>
      <c r="J3992" t="s">
        <v>16</v>
      </c>
      <c r="K3992" s="59" t="s">
        <v>4376</v>
      </c>
    </row>
    <row r="3993" spans="1:11" x14ac:dyDescent="0.2">
      <c r="A3993" t="s">
        <v>4032</v>
      </c>
      <c r="B3993">
        <v>2022</v>
      </c>
      <c r="C3993" t="s">
        <v>33</v>
      </c>
      <c r="D3993">
        <v>353</v>
      </c>
      <c r="E3993" t="s">
        <v>53</v>
      </c>
      <c r="F3993" t="s">
        <v>54</v>
      </c>
      <c r="G3993" t="s">
        <v>15</v>
      </c>
      <c r="H3993">
        <v>0.46058692577733279</v>
      </c>
      <c r="I3993">
        <v>3</v>
      </c>
      <c r="J3993" t="s">
        <v>16</v>
      </c>
      <c r="K3993" s="59" t="s">
        <v>4376</v>
      </c>
    </row>
    <row r="3994" spans="1:11" x14ac:dyDescent="0.2">
      <c r="A3994" t="s">
        <v>4033</v>
      </c>
      <c r="B3994">
        <v>2024</v>
      </c>
      <c r="C3994" t="s">
        <v>19</v>
      </c>
      <c r="D3994">
        <v>70</v>
      </c>
      <c r="E3994" t="s">
        <v>20</v>
      </c>
      <c r="F3994" t="s">
        <v>21</v>
      </c>
      <c r="G3994" t="s">
        <v>15</v>
      </c>
      <c r="H3994">
        <v>0.51548005419774312</v>
      </c>
      <c r="I3994">
        <v>3</v>
      </c>
      <c r="J3994" t="s">
        <v>23</v>
      </c>
      <c r="K3994" s="59" t="s">
        <v>17</v>
      </c>
    </row>
    <row r="3995" spans="1:11" x14ac:dyDescent="0.2">
      <c r="A3995" t="s">
        <v>4034</v>
      </c>
      <c r="B3995">
        <v>2023</v>
      </c>
      <c r="C3995" t="s">
        <v>33</v>
      </c>
      <c r="D3995">
        <v>383</v>
      </c>
      <c r="E3995" t="s">
        <v>29</v>
      </c>
      <c r="F3995" t="s">
        <v>30</v>
      </c>
      <c r="G3995" t="s">
        <v>15</v>
      </c>
      <c r="H3995">
        <v>0.21436445001295959</v>
      </c>
      <c r="I3995">
        <v>4</v>
      </c>
      <c r="J3995" t="s">
        <v>16</v>
      </c>
      <c r="K3995" s="59" t="s">
        <v>23</v>
      </c>
    </row>
    <row r="3996" spans="1:11" x14ac:dyDescent="0.2">
      <c r="A3996" t="s">
        <v>4035</v>
      </c>
      <c r="B3996">
        <v>2021</v>
      </c>
      <c r="C3996" t="s">
        <v>33</v>
      </c>
      <c r="D3996">
        <v>440</v>
      </c>
      <c r="E3996" t="s">
        <v>38</v>
      </c>
      <c r="F3996" t="s">
        <v>39</v>
      </c>
      <c r="G3996" t="s">
        <v>15</v>
      </c>
      <c r="H3996">
        <v>0.51117068710679503</v>
      </c>
      <c r="I3996">
        <v>3</v>
      </c>
      <c r="J3996" t="s">
        <v>23</v>
      </c>
      <c r="K3996" s="59" t="s">
        <v>17</v>
      </c>
    </row>
    <row r="3997" spans="1:11" x14ac:dyDescent="0.2">
      <c r="A3997" t="s">
        <v>4036</v>
      </c>
      <c r="B3997">
        <v>2023</v>
      </c>
      <c r="C3997" t="s">
        <v>33</v>
      </c>
      <c r="D3997">
        <v>383</v>
      </c>
      <c r="E3997" t="s">
        <v>29</v>
      </c>
      <c r="F3997" t="s">
        <v>30</v>
      </c>
      <c r="G3997" t="s">
        <v>15</v>
      </c>
      <c r="H3997">
        <v>0.21436445001295959</v>
      </c>
      <c r="I3997">
        <v>4</v>
      </c>
      <c r="J3997" t="s">
        <v>16</v>
      </c>
      <c r="K3997" s="59" t="s">
        <v>4376</v>
      </c>
    </row>
    <row r="3998" spans="1:11" x14ac:dyDescent="0.2">
      <c r="A3998" t="s">
        <v>4037</v>
      </c>
      <c r="B3998">
        <v>2022</v>
      </c>
      <c r="C3998" t="s">
        <v>33</v>
      </c>
      <c r="D3998">
        <v>353</v>
      </c>
      <c r="E3998" t="s">
        <v>53</v>
      </c>
      <c r="F3998" t="s">
        <v>54</v>
      </c>
      <c r="G3998" t="s">
        <v>15</v>
      </c>
      <c r="H3998">
        <v>0.46058692577733279</v>
      </c>
      <c r="I3998">
        <v>3</v>
      </c>
      <c r="J3998" t="s">
        <v>16</v>
      </c>
      <c r="K3998" s="59" t="s">
        <v>4376</v>
      </c>
    </row>
    <row r="3999" spans="1:11" x14ac:dyDescent="0.2">
      <c r="A3999" t="s">
        <v>4038</v>
      </c>
      <c r="B3999">
        <v>2021</v>
      </c>
      <c r="C3999" t="s">
        <v>33</v>
      </c>
      <c r="D3999">
        <v>311</v>
      </c>
      <c r="E3999" t="s">
        <v>38</v>
      </c>
      <c r="F3999" t="s">
        <v>39</v>
      </c>
      <c r="G3999" t="s">
        <v>15</v>
      </c>
      <c r="H3999">
        <v>0.60221472720671299</v>
      </c>
      <c r="I3999">
        <v>3</v>
      </c>
      <c r="J3999" t="s">
        <v>23</v>
      </c>
      <c r="K3999" s="59" t="s">
        <v>16</v>
      </c>
    </row>
    <row r="4000" spans="1:11" x14ac:dyDescent="0.2">
      <c r="A4000" t="s">
        <v>4039</v>
      </c>
      <c r="B4000">
        <v>2021</v>
      </c>
      <c r="C4000" t="s">
        <v>19</v>
      </c>
      <c r="D4000">
        <v>70</v>
      </c>
      <c r="E4000" t="s">
        <v>13</v>
      </c>
      <c r="F4000" t="s">
        <v>14</v>
      </c>
      <c r="G4000" t="s">
        <v>15</v>
      </c>
      <c r="H4000">
        <v>0.51548005419774312</v>
      </c>
      <c r="I4000">
        <v>4</v>
      </c>
      <c r="J4000" t="s">
        <v>16</v>
      </c>
      <c r="K4000" s="59" t="s">
        <v>17</v>
      </c>
    </row>
    <row r="4001" spans="1:11" x14ac:dyDescent="0.2">
      <c r="A4001" t="s">
        <v>4040</v>
      </c>
      <c r="B4001">
        <v>2023</v>
      </c>
      <c r="C4001" t="s">
        <v>33</v>
      </c>
      <c r="D4001">
        <v>383</v>
      </c>
      <c r="E4001" t="s">
        <v>29</v>
      </c>
      <c r="F4001" t="s">
        <v>30</v>
      </c>
      <c r="G4001" t="s">
        <v>15</v>
      </c>
      <c r="H4001">
        <v>0.21436445001295959</v>
      </c>
      <c r="I4001">
        <v>4</v>
      </c>
      <c r="J4001" t="s">
        <v>16</v>
      </c>
      <c r="K4001" s="59" t="s">
        <v>4376</v>
      </c>
    </row>
    <row r="4002" spans="1:11" x14ac:dyDescent="0.2">
      <c r="A4002" t="s">
        <v>4041</v>
      </c>
      <c r="B4002">
        <v>2022</v>
      </c>
      <c r="C4002" t="s">
        <v>12</v>
      </c>
      <c r="D4002">
        <v>353</v>
      </c>
      <c r="E4002" t="s">
        <v>53</v>
      </c>
      <c r="F4002" t="s">
        <v>54</v>
      </c>
      <c r="G4002" t="s">
        <v>15</v>
      </c>
      <c r="H4002">
        <v>0.46058692577733279</v>
      </c>
      <c r="I4002">
        <v>3</v>
      </c>
      <c r="J4002" t="s">
        <v>16</v>
      </c>
      <c r="K4002" s="59" t="s">
        <v>4376</v>
      </c>
    </row>
    <row r="4003" spans="1:11" x14ac:dyDescent="0.2">
      <c r="A4003" t="s">
        <v>4042</v>
      </c>
      <c r="B4003">
        <v>2024</v>
      </c>
      <c r="C4003" t="s">
        <v>19</v>
      </c>
      <c r="D4003">
        <v>143</v>
      </c>
      <c r="E4003" t="s">
        <v>25</v>
      </c>
      <c r="F4003" t="s">
        <v>26</v>
      </c>
      <c r="G4003" t="s">
        <v>15</v>
      </c>
      <c r="H4003">
        <v>0.2134905336201057</v>
      </c>
      <c r="I4003">
        <v>2</v>
      </c>
      <c r="J4003" t="s">
        <v>23</v>
      </c>
      <c r="K4003" s="59" t="s">
        <v>23</v>
      </c>
    </row>
    <row r="4004" spans="1:11" x14ac:dyDescent="0.2">
      <c r="A4004" t="s">
        <v>4043</v>
      </c>
      <c r="B4004">
        <v>2022</v>
      </c>
      <c r="C4004" t="s">
        <v>33</v>
      </c>
      <c r="D4004">
        <v>353</v>
      </c>
      <c r="E4004" t="s">
        <v>53</v>
      </c>
      <c r="F4004" t="s">
        <v>54</v>
      </c>
      <c r="G4004" t="s">
        <v>15</v>
      </c>
      <c r="H4004">
        <v>0.46058692577733279</v>
      </c>
      <c r="I4004">
        <v>3</v>
      </c>
      <c r="J4004" t="s">
        <v>16</v>
      </c>
      <c r="K4004" s="59" t="s">
        <v>4376</v>
      </c>
    </row>
    <row r="4005" spans="1:11" x14ac:dyDescent="0.2">
      <c r="A4005" t="s">
        <v>4044</v>
      </c>
      <c r="B4005">
        <v>2024</v>
      </c>
      <c r="C4005" t="s">
        <v>19</v>
      </c>
      <c r="D4005">
        <v>201</v>
      </c>
      <c r="E4005" t="s">
        <v>25</v>
      </c>
      <c r="F4005" t="s">
        <v>26</v>
      </c>
      <c r="G4005" t="s">
        <v>15</v>
      </c>
      <c r="H4005">
        <v>0.27116466770570807</v>
      </c>
      <c r="I4005">
        <v>2</v>
      </c>
      <c r="J4005" t="s">
        <v>23</v>
      </c>
      <c r="K4005" s="59" t="s">
        <v>23</v>
      </c>
    </row>
    <row r="4006" spans="1:11" x14ac:dyDescent="0.2">
      <c r="A4006" t="s">
        <v>4045</v>
      </c>
      <c r="B4006">
        <v>2024</v>
      </c>
      <c r="C4006" t="s">
        <v>19</v>
      </c>
      <c r="D4006">
        <v>180</v>
      </c>
      <c r="E4006" t="s">
        <v>20</v>
      </c>
      <c r="F4006" t="s">
        <v>21</v>
      </c>
      <c r="G4006" t="s">
        <v>15</v>
      </c>
      <c r="H4006">
        <v>-0.91862618558565345</v>
      </c>
      <c r="I4006">
        <v>3</v>
      </c>
      <c r="J4006" t="s">
        <v>23</v>
      </c>
      <c r="K4006" s="59" t="s">
        <v>4376</v>
      </c>
    </row>
    <row r="4007" spans="1:11" x14ac:dyDescent="0.2">
      <c r="A4007" t="s">
        <v>4046</v>
      </c>
      <c r="B4007">
        <v>2024</v>
      </c>
      <c r="C4007" t="s">
        <v>19</v>
      </c>
      <c r="D4007">
        <v>223</v>
      </c>
      <c r="E4007" t="s">
        <v>20</v>
      </c>
      <c r="F4007" t="s">
        <v>21</v>
      </c>
      <c r="G4007" t="s">
        <v>48</v>
      </c>
      <c r="H4007">
        <v>0.52550401677886149</v>
      </c>
      <c r="I4007">
        <v>3</v>
      </c>
      <c r="J4007" t="s">
        <v>23</v>
      </c>
      <c r="K4007" s="59" t="s">
        <v>17</v>
      </c>
    </row>
    <row r="4008" spans="1:11" x14ac:dyDescent="0.2">
      <c r="A4008" t="s">
        <v>4047</v>
      </c>
      <c r="B4008">
        <v>2021</v>
      </c>
      <c r="C4008" t="s">
        <v>33</v>
      </c>
      <c r="D4008">
        <v>320</v>
      </c>
      <c r="E4008" t="s">
        <v>38</v>
      </c>
      <c r="F4008" t="s">
        <v>39</v>
      </c>
      <c r="G4008" t="s">
        <v>15</v>
      </c>
      <c r="H4008">
        <v>0.6155305486394721</v>
      </c>
      <c r="I4008">
        <v>3</v>
      </c>
      <c r="J4008" t="s">
        <v>16</v>
      </c>
      <c r="K4008" s="59" t="s">
        <v>17</v>
      </c>
    </row>
    <row r="4009" spans="1:11" x14ac:dyDescent="0.2">
      <c r="A4009" t="s">
        <v>4048</v>
      </c>
      <c r="B4009">
        <v>2021</v>
      </c>
      <c r="C4009" t="s">
        <v>12</v>
      </c>
      <c r="D4009">
        <v>64</v>
      </c>
      <c r="E4009" t="s">
        <v>13</v>
      </c>
      <c r="F4009" t="s">
        <v>14</v>
      </c>
      <c r="G4009" t="s">
        <v>15</v>
      </c>
      <c r="H4009">
        <v>0.4485458524464041</v>
      </c>
      <c r="I4009">
        <v>4</v>
      </c>
      <c r="J4009" t="s">
        <v>16</v>
      </c>
      <c r="K4009" s="59" t="s">
        <v>17</v>
      </c>
    </row>
    <row r="4010" spans="1:11" x14ac:dyDescent="0.2">
      <c r="A4010" t="s">
        <v>4049</v>
      </c>
      <c r="B4010">
        <v>2021</v>
      </c>
      <c r="C4010" t="s">
        <v>19</v>
      </c>
      <c r="D4010">
        <v>344</v>
      </c>
      <c r="E4010" t="s">
        <v>38</v>
      </c>
      <c r="F4010" t="s">
        <v>39</v>
      </c>
      <c r="G4010" t="s">
        <v>15</v>
      </c>
      <c r="H4010">
        <v>0.79091725609484598</v>
      </c>
      <c r="I4010">
        <v>3</v>
      </c>
      <c r="J4010" t="s">
        <v>23</v>
      </c>
      <c r="K4010" s="59" t="s">
        <v>17</v>
      </c>
    </row>
    <row r="4011" spans="1:11" x14ac:dyDescent="0.2">
      <c r="A4011" t="s">
        <v>4050</v>
      </c>
      <c r="B4011">
        <v>2023</v>
      </c>
      <c r="C4011" t="s">
        <v>33</v>
      </c>
      <c r="D4011">
        <v>73</v>
      </c>
      <c r="E4011" t="s">
        <v>53</v>
      </c>
      <c r="F4011" t="s">
        <v>54</v>
      </c>
      <c r="G4011" t="s">
        <v>15</v>
      </c>
      <c r="H4011">
        <v>-0.9635941783485118</v>
      </c>
      <c r="I4011">
        <v>3</v>
      </c>
      <c r="J4011" t="s">
        <v>16</v>
      </c>
      <c r="K4011" s="59" t="s">
        <v>4376</v>
      </c>
    </row>
    <row r="4012" spans="1:11" x14ac:dyDescent="0.2">
      <c r="A4012" t="s">
        <v>4051</v>
      </c>
      <c r="B4012">
        <v>2023</v>
      </c>
      <c r="C4012" t="s">
        <v>12</v>
      </c>
      <c r="D4012">
        <v>40</v>
      </c>
      <c r="E4012" t="s">
        <v>13</v>
      </c>
      <c r="F4012" t="s">
        <v>14</v>
      </c>
      <c r="G4012" t="s">
        <v>15</v>
      </c>
      <c r="H4012">
        <v>-1.1444881492354639</v>
      </c>
      <c r="I4012">
        <v>4</v>
      </c>
      <c r="J4012" t="s">
        <v>16</v>
      </c>
      <c r="K4012" s="59" t="s">
        <v>16</v>
      </c>
    </row>
    <row r="4013" spans="1:11" x14ac:dyDescent="0.2">
      <c r="A4013" t="s">
        <v>4052</v>
      </c>
      <c r="B4013">
        <v>2023</v>
      </c>
      <c r="C4013" t="s">
        <v>19</v>
      </c>
      <c r="D4013">
        <v>155</v>
      </c>
      <c r="E4013" t="s">
        <v>53</v>
      </c>
      <c r="F4013" t="s">
        <v>54</v>
      </c>
      <c r="G4013" t="s">
        <v>15</v>
      </c>
      <c r="H4013">
        <v>0.87823534340954534</v>
      </c>
      <c r="I4013">
        <v>3</v>
      </c>
      <c r="J4013" t="s">
        <v>23</v>
      </c>
      <c r="K4013" s="59" t="s">
        <v>17</v>
      </c>
    </row>
    <row r="4014" spans="1:11" x14ac:dyDescent="0.2">
      <c r="A4014" t="s">
        <v>4053</v>
      </c>
      <c r="B4014">
        <v>2023</v>
      </c>
      <c r="C4014" t="s">
        <v>12</v>
      </c>
      <c r="D4014">
        <v>190</v>
      </c>
      <c r="E4014" t="s">
        <v>25</v>
      </c>
      <c r="F4014" t="s">
        <v>26</v>
      </c>
      <c r="G4014" t="s">
        <v>15</v>
      </c>
      <c r="H4014">
        <v>0.42325959845145378</v>
      </c>
      <c r="I4014">
        <v>2</v>
      </c>
      <c r="J4014" t="s">
        <v>23</v>
      </c>
      <c r="K4014" s="59" t="s">
        <v>17</v>
      </c>
    </row>
    <row r="4015" spans="1:11" x14ac:dyDescent="0.2">
      <c r="A4015" t="s">
        <v>4054</v>
      </c>
      <c r="B4015">
        <v>2023</v>
      </c>
      <c r="C4015" t="s">
        <v>33</v>
      </c>
      <c r="D4015">
        <v>604</v>
      </c>
      <c r="E4015" t="s">
        <v>20</v>
      </c>
      <c r="F4015" t="s">
        <v>21</v>
      </c>
      <c r="G4015" t="s">
        <v>44</v>
      </c>
      <c r="H4015">
        <v>0.40589952969512511</v>
      </c>
      <c r="I4015">
        <v>3</v>
      </c>
      <c r="J4015" t="s">
        <v>17</v>
      </c>
      <c r="K4015" s="59" t="s">
        <v>23</v>
      </c>
    </row>
    <row r="4016" spans="1:11" x14ac:dyDescent="0.2">
      <c r="A4016" t="s">
        <v>4055</v>
      </c>
      <c r="B4016">
        <v>2023</v>
      </c>
      <c r="C4016" t="s">
        <v>33</v>
      </c>
      <c r="D4016">
        <v>40</v>
      </c>
      <c r="E4016" t="s">
        <v>13</v>
      </c>
      <c r="F4016" t="s">
        <v>14</v>
      </c>
      <c r="G4016" t="s">
        <v>15</v>
      </c>
      <c r="H4016">
        <v>-1.1444881492354639</v>
      </c>
      <c r="I4016">
        <v>4</v>
      </c>
      <c r="J4016" t="s">
        <v>16</v>
      </c>
      <c r="K4016" s="59" t="s">
        <v>4376</v>
      </c>
    </row>
    <row r="4017" spans="1:11" x14ac:dyDescent="0.2">
      <c r="A4017" t="s">
        <v>4056</v>
      </c>
      <c r="B4017">
        <v>2023</v>
      </c>
      <c r="C4017" t="s">
        <v>19</v>
      </c>
      <c r="D4017">
        <v>250</v>
      </c>
      <c r="E4017" t="s">
        <v>25</v>
      </c>
      <c r="F4017" t="s">
        <v>26</v>
      </c>
      <c r="G4017" t="s">
        <v>15</v>
      </c>
      <c r="H4017">
        <v>1.40474873460839</v>
      </c>
      <c r="I4017">
        <v>2</v>
      </c>
      <c r="J4017" t="s">
        <v>23</v>
      </c>
      <c r="K4017" s="59" t="s">
        <v>17</v>
      </c>
    </row>
    <row r="4018" spans="1:11" x14ac:dyDescent="0.2">
      <c r="A4018" t="s">
        <v>4057</v>
      </c>
      <c r="B4018">
        <v>2024</v>
      </c>
      <c r="C4018" t="s">
        <v>19</v>
      </c>
      <c r="D4018">
        <v>73</v>
      </c>
      <c r="E4018" t="s">
        <v>25</v>
      </c>
      <c r="F4018" t="s">
        <v>26</v>
      </c>
      <c r="G4018" t="s">
        <v>15</v>
      </c>
      <c r="H4018">
        <v>1.207133472294913</v>
      </c>
      <c r="I4018">
        <v>2</v>
      </c>
      <c r="J4018" t="s">
        <v>23</v>
      </c>
      <c r="K4018" s="59" t="s">
        <v>23</v>
      </c>
    </row>
    <row r="4019" spans="1:11" x14ac:dyDescent="0.2">
      <c r="A4019" t="s">
        <v>4058</v>
      </c>
      <c r="B4019">
        <v>2022</v>
      </c>
      <c r="C4019" t="s">
        <v>12</v>
      </c>
      <c r="D4019">
        <v>83</v>
      </c>
      <c r="E4019" t="s">
        <v>25</v>
      </c>
      <c r="F4019" t="s">
        <v>26</v>
      </c>
      <c r="G4019" t="s">
        <v>48</v>
      </c>
      <c r="H4019">
        <v>1.773789284711871</v>
      </c>
      <c r="I4019">
        <v>2</v>
      </c>
      <c r="J4019" t="s">
        <v>23</v>
      </c>
      <c r="K4019" s="59" t="s">
        <v>16</v>
      </c>
    </row>
    <row r="4020" spans="1:11" x14ac:dyDescent="0.2">
      <c r="A4020" t="s">
        <v>4059</v>
      </c>
      <c r="B4020">
        <v>2021</v>
      </c>
      <c r="C4020" t="s">
        <v>19</v>
      </c>
      <c r="D4020">
        <v>74</v>
      </c>
      <c r="E4020" t="s">
        <v>13</v>
      </c>
      <c r="F4020" t="s">
        <v>14</v>
      </c>
      <c r="G4020" t="s">
        <v>15</v>
      </c>
      <c r="H4020">
        <v>0.54470484651170803</v>
      </c>
      <c r="I4020">
        <v>4</v>
      </c>
      <c r="J4020" t="s">
        <v>16</v>
      </c>
      <c r="K4020" s="59" t="s">
        <v>17</v>
      </c>
    </row>
    <row r="4021" spans="1:11" x14ac:dyDescent="0.2">
      <c r="A4021" t="s">
        <v>4060</v>
      </c>
      <c r="B4021">
        <v>2024</v>
      </c>
      <c r="C4021" t="s">
        <v>19</v>
      </c>
      <c r="D4021">
        <v>45</v>
      </c>
      <c r="E4021" t="s">
        <v>20</v>
      </c>
      <c r="F4021" t="s">
        <v>21</v>
      </c>
      <c r="G4021" t="s">
        <v>15</v>
      </c>
      <c r="H4021">
        <v>6.0000973987411929E-2</v>
      </c>
      <c r="I4021">
        <v>3</v>
      </c>
      <c r="J4021" t="s">
        <v>23</v>
      </c>
      <c r="K4021" s="59" t="s">
        <v>17</v>
      </c>
    </row>
    <row r="4022" spans="1:11" x14ac:dyDescent="0.2">
      <c r="A4022" t="s">
        <v>4061</v>
      </c>
      <c r="B4022">
        <v>2021</v>
      </c>
      <c r="C4022" t="s">
        <v>12</v>
      </c>
      <c r="D4022">
        <v>321</v>
      </c>
      <c r="E4022" t="s">
        <v>38</v>
      </c>
      <c r="F4022" t="s">
        <v>39</v>
      </c>
      <c r="G4022" t="s">
        <v>15</v>
      </c>
      <c r="H4022">
        <v>0.61922806691231869</v>
      </c>
      <c r="I4022">
        <v>3</v>
      </c>
      <c r="J4022" t="s">
        <v>16</v>
      </c>
      <c r="K4022" s="59" t="s">
        <v>17</v>
      </c>
    </row>
    <row r="4023" spans="1:11" x14ac:dyDescent="0.2">
      <c r="A4023" t="s">
        <v>4062</v>
      </c>
      <c r="B4023">
        <v>2024</v>
      </c>
      <c r="C4023" t="s">
        <v>19</v>
      </c>
      <c r="D4023">
        <v>61</v>
      </c>
      <c r="E4023" t="s">
        <v>20</v>
      </c>
      <c r="F4023" t="s">
        <v>21</v>
      </c>
      <c r="G4023" t="s">
        <v>15</v>
      </c>
      <c r="H4023">
        <v>-1.1059369751120149</v>
      </c>
      <c r="I4023">
        <v>3</v>
      </c>
      <c r="J4023" t="s">
        <v>23</v>
      </c>
      <c r="K4023" s="59" t="s">
        <v>17</v>
      </c>
    </row>
    <row r="4024" spans="1:11" x14ac:dyDescent="0.2">
      <c r="A4024" t="s">
        <v>4063</v>
      </c>
      <c r="B4024">
        <v>2023</v>
      </c>
      <c r="C4024" t="s">
        <v>33</v>
      </c>
      <c r="D4024">
        <v>285</v>
      </c>
      <c r="E4024" t="s">
        <v>20</v>
      </c>
      <c r="F4024" t="s">
        <v>21</v>
      </c>
      <c r="G4024" t="s">
        <v>48</v>
      </c>
      <c r="H4024">
        <v>-0.2391282875638672</v>
      </c>
      <c r="I4024">
        <v>3</v>
      </c>
      <c r="J4024" t="s">
        <v>16</v>
      </c>
      <c r="K4024" s="59" t="s">
        <v>4376</v>
      </c>
    </row>
    <row r="4025" spans="1:11" x14ac:dyDescent="0.2">
      <c r="A4025" t="s">
        <v>4064</v>
      </c>
      <c r="B4025">
        <v>2021</v>
      </c>
      <c r="C4025" t="s">
        <v>33</v>
      </c>
      <c r="D4025">
        <v>368</v>
      </c>
      <c r="E4025" t="s">
        <v>38</v>
      </c>
      <c r="F4025" t="s">
        <v>39</v>
      </c>
      <c r="G4025" t="s">
        <v>15</v>
      </c>
      <c r="H4025">
        <v>0.56285357598522046</v>
      </c>
      <c r="I4025">
        <v>3</v>
      </c>
      <c r="J4025" t="s">
        <v>23</v>
      </c>
      <c r="K4025" s="59" t="s">
        <v>4376</v>
      </c>
    </row>
    <row r="4026" spans="1:11" x14ac:dyDescent="0.2">
      <c r="A4026" t="s">
        <v>4065</v>
      </c>
      <c r="B4026">
        <v>2021</v>
      </c>
      <c r="C4026" t="s">
        <v>33</v>
      </c>
      <c r="D4026">
        <v>163</v>
      </c>
      <c r="E4026" t="s">
        <v>13</v>
      </c>
      <c r="F4026" t="s">
        <v>14</v>
      </c>
      <c r="G4026" t="s">
        <v>15</v>
      </c>
      <c r="H4026">
        <v>0.50365691884565478</v>
      </c>
      <c r="I4026">
        <v>4</v>
      </c>
      <c r="J4026" t="s">
        <v>23</v>
      </c>
      <c r="K4026" s="59" t="s">
        <v>17</v>
      </c>
    </row>
    <row r="4027" spans="1:11" x14ac:dyDescent="0.2">
      <c r="A4027" t="s">
        <v>4066</v>
      </c>
      <c r="B4027">
        <v>2021</v>
      </c>
      <c r="C4027" t="s">
        <v>33</v>
      </c>
      <c r="D4027">
        <v>369</v>
      </c>
      <c r="E4027" t="s">
        <v>38</v>
      </c>
      <c r="F4027" t="s">
        <v>39</v>
      </c>
      <c r="G4027" t="s">
        <v>15</v>
      </c>
      <c r="H4027">
        <v>0.69311781731559541</v>
      </c>
      <c r="I4027">
        <v>3</v>
      </c>
      <c r="J4027" t="s">
        <v>23</v>
      </c>
      <c r="K4027" s="59" t="s">
        <v>23</v>
      </c>
    </row>
    <row r="4028" spans="1:11" x14ac:dyDescent="0.2">
      <c r="A4028" t="s">
        <v>4067</v>
      </c>
      <c r="B4028">
        <v>2023</v>
      </c>
      <c r="C4028" t="s">
        <v>19</v>
      </c>
      <c r="D4028">
        <v>108</v>
      </c>
      <c r="E4028" t="s">
        <v>20</v>
      </c>
      <c r="F4028" t="s">
        <v>21</v>
      </c>
      <c r="G4028" t="s">
        <v>15</v>
      </c>
      <c r="H4028">
        <v>-0.97029395504802829</v>
      </c>
      <c r="I4028">
        <v>3</v>
      </c>
      <c r="J4028" t="s">
        <v>23</v>
      </c>
      <c r="K4028" s="59" t="s">
        <v>17</v>
      </c>
    </row>
    <row r="4029" spans="1:11" x14ac:dyDescent="0.2">
      <c r="A4029" t="s">
        <v>4068</v>
      </c>
      <c r="B4029">
        <v>2023</v>
      </c>
      <c r="C4029" t="s">
        <v>19</v>
      </c>
      <c r="D4029">
        <v>100</v>
      </c>
      <c r="E4029" t="s">
        <v>13</v>
      </c>
      <c r="F4029" t="s">
        <v>14</v>
      </c>
      <c r="G4029" t="s">
        <v>15</v>
      </c>
      <c r="H4029">
        <v>0.71205523618325439</v>
      </c>
      <c r="I4029">
        <v>4</v>
      </c>
      <c r="J4029" t="s">
        <v>23</v>
      </c>
      <c r="K4029" s="59" t="s">
        <v>23</v>
      </c>
    </row>
    <row r="4030" spans="1:11" x14ac:dyDescent="0.2">
      <c r="A4030" t="s">
        <v>4069</v>
      </c>
      <c r="B4030">
        <v>2021</v>
      </c>
      <c r="C4030" t="s">
        <v>33</v>
      </c>
      <c r="D4030">
        <v>319</v>
      </c>
      <c r="E4030" t="s">
        <v>38</v>
      </c>
      <c r="F4030" t="s">
        <v>39</v>
      </c>
      <c r="G4030" t="s">
        <v>15</v>
      </c>
      <c r="H4030">
        <v>0.6155305486394721</v>
      </c>
      <c r="I4030">
        <v>3</v>
      </c>
      <c r="J4030" t="s">
        <v>16</v>
      </c>
      <c r="K4030" s="59" t="s">
        <v>16</v>
      </c>
    </row>
    <row r="4031" spans="1:11" x14ac:dyDescent="0.2">
      <c r="A4031" t="s">
        <v>4070</v>
      </c>
      <c r="B4031">
        <v>2024</v>
      </c>
      <c r="C4031" t="s">
        <v>19</v>
      </c>
      <c r="D4031">
        <v>598</v>
      </c>
      <c r="E4031" t="s">
        <v>53</v>
      </c>
      <c r="F4031" t="s">
        <v>54</v>
      </c>
      <c r="G4031" t="s">
        <v>15</v>
      </c>
      <c r="H4031">
        <v>-0.340911879999171</v>
      </c>
      <c r="I4031">
        <v>3</v>
      </c>
      <c r="J4031" t="s">
        <v>16</v>
      </c>
      <c r="K4031" s="59" t="s">
        <v>23</v>
      </c>
    </row>
    <row r="4032" spans="1:11" x14ac:dyDescent="0.2">
      <c r="A4032" t="s">
        <v>4071</v>
      </c>
      <c r="B4032">
        <v>2024</v>
      </c>
      <c r="C4032" t="s">
        <v>33</v>
      </c>
      <c r="D4032">
        <v>598</v>
      </c>
      <c r="E4032" t="s">
        <v>53</v>
      </c>
      <c r="F4032" t="s">
        <v>54</v>
      </c>
      <c r="G4032" t="s">
        <v>15</v>
      </c>
      <c r="H4032">
        <v>-0.340911879999171</v>
      </c>
      <c r="I4032">
        <v>3</v>
      </c>
      <c r="J4032" t="s">
        <v>16</v>
      </c>
      <c r="K4032" s="59" t="s">
        <v>4376</v>
      </c>
    </row>
    <row r="4033" spans="1:11" x14ac:dyDescent="0.2">
      <c r="A4033" t="s">
        <v>4072</v>
      </c>
      <c r="B4033">
        <v>2024</v>
      </c>
      <c r="C4033" t="s">
        <v>19</v>
      </c>
      <c r="D4033">
        <v>596</v>
      </c>
      <c r="E4033" t="s">
        <v>53</v>
      </c>
      <c r="F4033" t="s">
        <v>54</v>
      </c>
      <c r="G4033" t="s">
        <v>15</v>
      </c>
      <c r="H4033">
        <v>-0.34369613422991568</v>
      </c>
      <c r="I4033">
        <v>3</v>
      </c>
      <c r="J4033" t="s">
        <v>16</v>
      </c>
      <c r="K4033" s="59" t="s">
        <v>23</v>
      </c>
    </row>
    <row r="4034" spans="1:11" x14ac:dyDescent="0.2">
      <c r="A4034" t="s">
        <v>4073</v>
      </c>
      <c r="B4034">
        <v>2024</v>
      </c>
      <c r="C4034" t="s">
        <v>33</v>
      </c>
      <c r="D4034">
        <v>598</v>
      </c>
      <c r="E4034" t="s">
        <v>53</v>
      </c>
      <c r="F4034" t="s">
        <v>54</v>
      </c>
      <c r="G4034" t="s">
        <v>15</v>
      </c>
      <c r="H4034">
        <v>-0.340911879999171</v>
      </c>
      <c r="I4034">
        <v>3</v>
      </c>
      <c r="J4034" t="s">
        <v>16</v>
      </c>
      <c r="K4034" s="59" t="s">
        <v>4376</v>
      </c>
    </row>
    <row r="4035" spans="1:11" x14ac:dyDescent="0.2">
      <c r="A4035" t="s">
        <v>4074</v>
      </c>
      <c r="B4035">
        <v>2024</v>
      </c>
      <c r="C4035" t="s">
        <v>33</v>
      </c>
      <c r="D4035">
        <v>596</v>
      </c>
      <c r="E4035" t="s">
        <v>53</v>
      </c>
      <c r="F4035" t="s">
        <v>54</v>
      </c>
      <c r="G4035" t="s">
        <v>15</v>
      </c>
      <c r="H4035">
        <v>-0.34369613422991568</v>
      </c>
      <c r="I4035">
        <v>3</v>
      </c>
      <c r="J4035" t="s">
        <v>16</v>
      </c>
      <c r="K4035" s="59" t="s">
        <v>17</v>
      </c>
    </row>
    <row r="4036" spans="1:11" x14ac:dyDescent="0.2">
      <c r="A4036" t="s">
        <v>4075</v>
      </c>
      <c r="B4036">
        <v>2024</v>
      </c>
      <c r="C4036" t="s">
        <v>19</v>
      </c>
      <c r="D4036">
        <v>596</v>
      </c>
      <c r="E4036" t="s">
        <v>53</v>
      </c>
      <c r="F4036" t="s">
        <v>54</v>
      </c>
      <c r="G4036" t="s">
        <v>15</v>
      </c>
      <c r="H4036">
        <v>-0.34369613422991568</v>
      </c>
      <c r="I4036">
        <v>3</v>
      </c>
      <c r="J4036" t="s">
        <v>16</v>
      </c>
      <c r="K4036" s="59" t="s">
        <v>17</v>
      </c>
    </row>
    <row r="4037" spans="1:11" x14ac:dyDescent="0.2">
      <c r="A4037" t="s">
        <v>4076</v>
      </c>
      <c r="B4037">
        <v>2021</v>
      </c>
      <c r="C4037" t="s">
        <v>19</v>
      </c>
      <c r="D4037">
        <v>51</v>
      </c>
      <c r="E4037" t="s">
        <v>38</v>
      </c>
      <c r="F4037" t="s">
        <v>39</v>
      </c>
      <c r="G4037" t="s">
        <v>15</v>
      </c>
      <c r="H4037">
        <v>-0.98042152447753039</v>
      </c>
      <c r="I4037">
        <v>3</v>
      </c>
      <c r="J4037" t="s">
        <v>23</v>
      </c>
      <c r="K4037" s="59" t="s">
        <v>17</v>
      </c>
    </row>
    <row r="4038" spans="1:11" x14ac:dyDescent="0.2">
      <c r="A4038" t="s">
        <v>4077</v>
      </c>
      <c r="B4038">
        <v>2024</v>
      </c>
      <c r="C4038" t="s">
        <v>33</v>
      </c>
      <c r="D4038">
        <v>598</v>
      </c>
      <c r="E4038" t="s">
        <v>53</v>
      </c>
      <c r="F4038" t="s">
        <v>54</v>
      </c>
      <c r="G4038" t="s">
        <v>15</v>
      </c>
      <c r="H4038">
        <v>-0.340911879999171</v>
      </c>
      <c r="I4038">
        <v>3</v>
      </c>
      <c r="J4038" t="s">
        <v>16</v>
      </c>
      <c r="K4038" s="59" t="s">
        <v>4376</v>
      </c>
    </row>
    <row r="4039" spans="1:11" x14ac:dyDescent="0.2">
      <c r="A4039" t="s">
        <v>4078</v>
      </c>
      <c r="B4039">
        <v>2024</v>
      </c>
      <c r="C4039" t="s">
        <v>19</v>
      </c>
      <c r="D4039">
        <v>598</v>
      </c>
      <c r="E4039" t="s">
        <v>53</v>
      </c>
      <c r="F4039" t="s">
        <v>54</v>
      </c>
      <c r="G4039" t="s">
        <v>15</v>
      </c>
      <c r="H4039">
        <v>-0.340911879999171</v>
      </c>
      <c r="I4039">
        <v>3</v>
      </c>
      <c r="J4039" t="s">
        <v>16</v>
      </c>
      <c r="K4039" s="59" t="s">
        <v>23</v>
      </c>
    </row>
    <row r="4040" spans="1:11" x14ac:dyDescent="0.2">
      <c r="A4040" t="s">
        <v>4079</v>
      </c>
      <c r="B4040">
        <v>2021</v>
      </c>
      <c r="C4040" t="s">
        <v>33</v>
      </c>
      <c r="D4040">
        <v>319</v>
      </c>
      <c r="E4040" t="s">
        <v>38</v>
      </c>
      <c r="F4040" t="s">
        <v>39</v>
      </c>
      <c r="G4040" t="s">
        <v>15</v>
      </c>
      <c r="H4040">
        <v>0.6155305486394721</v>
      </c>
      <c r="I4040">
        <v>3</v>
      </c>
      <c r="J4040" t="s">
        <v>16</v>
      </c>
      <c r="K4040" s="59" t="s">
        <v>16</v>
      </c>
    </row>
    <row r="4041" spans="1:11" x14ac:dyDescent="0.2">
      <c r="A4041" t="s">
        <v>4080</v>
      </c>
      <c r="B4041">
        <v>2024</v>
      </c>
      <c r="C4041" t="s">
        <v>33</v>
      </c>
      <c r="D4041">
        <v>598</v>
      </c>
      <c r="E4041" t="s">
        <v>53</v>
      </c>
      <c r="F4041" t="s">
        <v>54</v>
      </c>
      <c r="G4041" t="s">
        <v>15</v>
      </c>
      <c r="H4041">
        <v>-0.340911879999171</v>
      </c>
      <c r="I4041">
        <v>3</v>
      </c>
      <c r="J4041" t="s">
        <v>16</v>
      </c>
      <c r="K4041" s="59" t="s">
        <v>4376</v>
      </c>
    </row>
    <row r="4042" spans="1:11" x14ac:dyDescent="0.2">
      <c r="A4042" t="s">
        <v>4081</v>
      </c>
      <c r="B4042">
        <v>2024</v>
      </c>
      <c r="C4042" t="s">
        <v>33</v>
      </c>
      <c r="D4042">
        <v>598</v>
      </c>
      <c r="E4042" t="s">
        <v>53</v>
      </c>
      <c r="F4042" t="s">
        <v>54</v>
      </c>
      <c r="G4042" t="s">
        <v>15</v>
      </c>
      <c r="H4042">
        <v>-0.340911879999171</v>
      </c>
      <c r="I4042">
        <v>3</v>
      </c>
      <c r="J4042" t="s">
        <v>16</v>
      </c>
      <c r="K4042" s="59" t="s">
        <v>4376</v>
      </c>
    </row>
    <row r="4043" spans="1:11" x14ac:dyDescent="0.2">
      <c r="A4043" t="s">
        <v>4082</v>
      </c>
      <c r="B4043">
        <v>2024</v>
      </c>
      <c r="C4043" t="s">
        <v>19</v>
      </c>
      <c r="D4043">
        <v>598</v>
      </c>
      <c r="E4043" t="s">
        <v>53</v>
      </c>
      <c r="F4043" t="s">
        <v>54</v>
      </c>
      <c r="G4043" t="s">
        <v>15</v>
      </c>
      <c r="H4043">
        <v>-0.340911879999171</v>
      </c>
      <c r="I4043">
        <v>3</v>
      </c>
      <c r="J4043" t="s">
        <v>16</v>
      </c>
      <c r="K4043" s="59" t="s">
        <v>17</v>
      </c>
    </row>
    <row r="4044" spans="1:11" x14ac:dyDescent="0.2">
      <c r="A4044" t="s">
        <v>4083</v>
      </c>
      <c r="B4044">
        <v>2024</v>
      </c>
      <c r="C4044" t="s">
        <v>19</v>
      </c>
      <c r="D4044">
        <v>598</v>
      </c>
      <c r="E4044" t="s">
        <v>53</v>
      </c>
      <c r="F4044" t="s">
        <v>54</v>
      </c>
      <c r="G4044" t="s">
        <v>15</v>
      </c>
      <c r="H4044">
        <v>-0.340911879999171</v>
      </c>
      <c r="I4044">
        <v>3</v>
      </c>
      <c r="J4044" t="s">
        <v>16</v>
      </c>
      <c r="K4044" s="59" t="s">
        <v>17</v>
      </c>
    </row>
    <row r="4045" spans="1:11" x14ac:dyDescent="0.2">
      <c r="A4045" t="s">
        <v>4084</v>
      </c>
      <c r="B4045">
        <v>2023</v>
      </c>
      <c r="C4045" t="s">
        <v>33</v>
      </c>
      <c r="D4045">
        <v>385</v>
      </c>
      <c r="E4045" t="s">
        <v>29</v>
      </c>
      <c r="F4045" t="s">
        <v>30</v>
      </c>
      <c r="G4045" t="s">
        <v>15</v>
      </c>
      <c r="H4045">
        <v>0.17842760110927119</v>
      </c>
      <c r="I4045">
        <v>4</v>
      </c>
      <c r="J4045" t="s">
        <v>16</v>
      </c>
      <c r="K4045" s="59" t="s">
        <v>17</v>
      </c>
    </row>
    <row r="4046" spans="1:11" x14ac:dyDescent="0.2">
      <c r="A4046" t="s">
        <v>4085</v>
      </c>
      <c r="B4046">
        <v>2024</v>
      </c>
      <c r="C4046" t="s">
        <v>19</v>
      </c>
      <c r="D4046">
        <v>193</v>
      </c>
      <c r="E4046" t="s">
        <v>13</v>
      </c>
      <c r="F4046" t="s">
        <v>14</v>
      </c>
      <c r="G4046" t="s">
        <v>15</v>
      </c>
      <c r="H4046">
        <v>-0.54407411820643137</v>
      </c>
      <c r="I4046">
        <v>4</v>
      </c>
      <c r="J4046" t="s">
        <v>23</v>
      </c>
      <c r="K4046" s="59" t="s">
        <v>23</v>
      </c>
    </row>
    <row r="4047" spans="1:11" x14ac:dyDescent="0.2">
      <c r="A4047" t="s">
        <v>4086</v>
      </c>
      <c r="B4047">
        <v>2024</v>
      </c>
      <c r="C4047" t="s">
        <v>19</v>
      </c>
      <c r="D4047">
        <v>596</v>
      </c>
      <c r="E4047" t="s">
        <v>53</v>
      </c>
      <c r="F4047" t="s">
        <v>54</v>
      </c>
      <c r="G4047" t="s">
        <v>15</v>
      </c>
      <c r="H4047">
        <v>-0.34369613422991568</v>
      </c>
      <c r="I4047">
        <v>3</v>
      </c>
      <c r="J4047" t="s">
        <v>16</v>
      </c>
      <c r="K4047" s="59" t="s">
        <v>16</v>
      </c>
    </row>
    <row r="4048" spans="1:11" x14ac:dyDescent="0.2">
      <c r="A4048" t="s">
        <v>4087</v>
      </c>
      <c r="B4048">
        <v>2024</v>
      </c>
      <c r="C4048" t="s">
        <v>33</v>
      </c>
      <c r="D4048">
        <v>596</v>
      </c>
      <c r="E4048" t="s">
        <v>53</v>
      </c>
      <c r="F4048" t="s">
        <v>54</v>
      </c>
      <c r="G4048" t="s">
        <v>15</v>
      </c>
      <c r="H4048">
        <v>-0.34369613422991568</v>
      </c>
      <c r="I4048">
        <v>3</v>
      </c>
      <c r="J4048" t="s">
        <v>16</v>
      </c>
      <c r="K4048" s="59" t="s">
        <v>4376</v>
      </c>
    </row>
    <row r="4049" spans="1:11" x14ac:dyDescent="0.2">
      <c r="A4049" t="s">
        <v>4088</v>
      </c>
      <c r="B4049">
        <v>2024</v>
      </c>
      <c r="C4049" t="s">
        <v>33</v>
      </c>
      <c r="D4049">
        <v>596</v>
      </c>
      <c r="E4049" t="s">
        <v>53</v>
      </c>
      <c r="F4049" t="s">
        <v>54</v>
      </c>
      <c r="G4049" t="s">
        <v>15</v>
      </c>
      <c r="H4049">
        <v>-0.34369613422991568</v>
      </c>
      <c r="I4049">
        <v>3</v>
      </c>
      <c r="J4049" t="s">
        <v>16</v>
      </c>
      <c r="K4049" s="59" t="s">
        <v>4376</v>
      </c>
    </row>
    <row r="4050" spans="1:11" x14ac:dyDescent="0.2">
      <c r="A4050" t="s">
        <v>4089</v>
      </c>
      <c r="B4050">
        <v>2021</v>
      </c>
      <c r="C4050" t="s">
        <v>33</v>
      </c>
      <c r="D4050">
        <v>320</v>
      </c>
      <c r="E4050" t="s">
        <v>38</v>
      </c>
      <c r="F4050" t="s">
        <v>39</v>
      </c>
      <c r="G4050" t="s">
        <v>15</v>
      </c>
      <c r="H4050">
        <v>0.6155305486394721</v>
      </c>
      <c r="I4050">
        <v>3</v>
      </c>
      <c r="J4050" t="s">
        <v>16</v>
      </c>
      <c r="K4050" s="59" t="s">
        <v>16</v>
      </c>
    </row>
    <row r="4051" spans="1:11" x14ac:dyDescent="0.2">
      <c r="A4051" t="s">
        <v>4090</v>
      </c>
      <c r="B4051">
        <v>2021</v>
      </c>
      <c r="C4051" t="s">
        <v>12</v>
      </c>
      <c r="D4051">
        <v>311</v>
      </c>
      <c r="E4051" t="s">
        <v>38</v>
      </c>
      <c r="F4051" t="s">
        <v>39</v>
      </c>
      <c r="G4051" t="s">
        <v>15</v>
      </c>
      <c r="H4051">
        <v>0.60221472720671299</v>
      </c>
      <c r="I4051">
        <v>3</v>
      </c>
      <c r="J4051" t="s">
        <v>23</v>
      </c>
      <c r="K4051" s="59" t="s">
        <v>17</v>
      </c>
    </row>
    <row r="4052" spans="1:11" x14ac:dyDescent="0.2">
      <c r="A4052" t="s">
        <v>4091</v>
      </c>
      <c r="B4052">
        <v>2024</v>
      </c>
      <c r="C4052" t="s">
        <v>12</v>
      </c>
      <c r="D4052">
        <v>596</v>
      </c>
      <c r="E4052" t="s">
        <v>53</v>
      </c>
      <c r="F4052" t="s">
        <v>54</v>
      </c>
      <c r="G4052" t="s">
        <v>15</v>
      </c>
      <c r="H4052">
        <v>-0.34369613422991568</v>
      </c>
      <c r="I4052">
        <v>3</v>
      </c>
      <c r="J4052" t="s">
        <v>16</v>
      </c>
      <c r="K4052" s="59" t="s">
        <v>23</v>
      </c>
    </row>
    <row r="4053" spans="1:11" x14ac:dyDescent="0.2">
      <c r="A4053" t="s">
        <v>4092</v>
      </c>
      <c r="B4053">
        <v>2024</v>
      </c>
      <c r="C4053" t="s">
        <v>33</v>
      </c>
      <c r="D4053">
        <v>596</v>
      </c>
      <c r="E4053" t="s">
        <v>53</v>
      </c>
      <c r="F4053" t="s">
        <v>54</v>
      </c>
      <c r="G4053" t="s">
        <v>15</v>
      </c>
      <c r="H4053">
        <v>-0.34369613422991568</v>
      </c>
      <c r="I4053">
        <v>3</v>
      </c>
      <c r="J4053" t="s">
        <v>16</v>
      </c>
      <c r="K4053" s="59" t="s">
        <v>4376</v>
      </c>
    </row>
    <row r="4054" spans="1:11" x14ac:dyDescent="0.2">
      <c r="A4054" t="s">
        <v>4093</v>
      </c>
      <c r="B4054">
        <v>2023</v>
      </c>
      <c r="C4054" t="s">
        <v>19</v>
      </c>
      <c r="D4054">
        <v>58</v>
      </c>
      <c r="E4054" t="s">
        <v>13</v>
      </c>
      <c r="F4054" t="s">
        <v>14</v>
      </c>
      <c r="G4054" t="s">
        <v>15</v>
      </c>
      <c r="H4054">
        <v>-1.22557854997789</v>
      </c>
      <c r="I4054">
        <v>4</v>
      </c>
      <c r="J4054" t="s">
        <v>23</v>
      </c>
      <c r="K4054" s="59" t="s">
        <v>17</v>
      </c>
    </row>
    <row r="4055" spans="1:11" x14ac:dyDescent="0.2">
      <c r="A4055" t="s">
        <v>4094</v>
      </c>
      <c r="B4055">
        <v>2024</v>
      </c>
      <c r="C4055" t="s">
        <v>33</v>
      </c>
      <c r="D4055">
        <v>596</v>
      </c>
      <c r="E4055" t="s">
        <v>53</v>
      </c>
      <c r="F4055" t="s">
        <v>54</v>
      </c>
      <c r="G4055" t="s">
        <v>15</v>
      </c>
      <c r="H4055">
        <v>-0.34369613422991568</v>
      </c>
      <c r="I4055">
        <v>3</v>
      </c>
      <c r="J4055" t="s">
        <v>16</v>
      </c>
      <c r="K4055" s="59" t="s">
        <v>23</v>
      </c>
    </row>
    <row r="4056" spans="1:11" x14ac:dyDescent="0.2">
      <c r="A4056" t="s">
        <v>4095</v>
      </c>
      <c r="B4056">
        <v>2023</v>
      </c>
      <c r="C4056" t="s">
        <v>33</v>
      </c>
      <c r="D4056">
        <v>70</v>
      </c>
      <c r="E4056" t="s">
        <v>53</v>
      </c>
      <c r="F4056" t="s">
        <v>54</v>
      </c>
      <c r="G4056" t="s">
        <v>15</v>
      </c>
      <c r="H4056">
        <v>-1.068629387250613</v>
      </c>
      <c r="I4056">
        <v>3</v>
      </c>
      <c r="J4056" t="s">
        <v>16</v>
      </c>
      <c r="K4056" s="59" t="s">
        <v>23</v>
      </c>
    </row>
    <row r="4057" spans="1:11" x14ac:dyDescent="0.2">
      <c r="A4057" t="s">
        <v>4096</v>
      </c>
      <c r="B4057">
        <v>2024</v>
      </c>
      <c r="C4057" t="s">
        <v>33</v>
      </c>
      <c r="D4057">
        <v>596</v>
      </c>
      <c r="E4057" t="s">
        <v>53</v>
      </c>
      <c r="F4057" t="s">
        <v>54</v>
      </c>
      <c r="G4057" t="s">
        <v>15</v>
      </c>
      <c r="H4057">
        <v>-0.34369613422991568</v>
      </c>
      <c r="I4057">
        <v>3</v>
      </c>
      <c r="J4057" t="s">
        <v>16</v>
      </c>
      <c r="K4057" s="59" t="s">
        <v>4376</v>
      </c>
    </row>
    <row r="4058" spans="1:11" x14ac:dyDescent="0.2">
      <c r="A4058" t="s">
        <v>4097</v>
      </c>
      <c r="B4058">
        <v>2024</v>
      </c>
      <c r="C4058" t="s">
        <v>19</v>
      </c>
      <c r="D4058">
        <v>596</v>
      </c>
      <c r="E4058" t="s">
        <v>53</v>
      </c>
      <c r="F4058" t="s">
        <v>54</v>
      </c>
      <c r="G4058" t="s">
        <v>15</v>
      </c>
      <c r="H4058">
        <v>-0.34369613422991568</v>
      </c>
      <c r="I4058">
        <v>3</v>
      </c>
      <c r="J4058" t="s">
        <v>23</v>
      </c>
      <c r="K4058" s="59" t="s">
        <v>23</v>
      </c>
    </row>
    <row r="4059" spans="1:11" x14ac:dyDescent="0.2">
      <c r="A4059" t="s">
        <v>4098</v>
      </c>
      <c r="B4059">
        <v>2024</v>
      </c>
      <c r="C4059" t="s">
        <v>19</v>
      </c>
      <c r="D4059">
        <v>96</v>
      </c>
      <c r="E4059" t="s">
        <v>20</v>
      </c>
      <c r="F4059" t="s">
        <v>21</v>
      </c>
      <c r="G4059" t="s">
        <v>15</v>
      </c>
      <c r="H4059">
        <v>-0.32653280261620232</v>
      </c>
      <c r="I4059">
        <v>3</v>
      </c>
      <c r="J4059" t="s">
        <v>23</v>
      </c>
      <c r="K4059" s="59" t="s">
        <v>17</v>
      </c>
    </row>
    <row r="4060" spans="1:11" x14ac:dyDescent="0.2">
      <c r="A4060" t="s">
        <v>4099</v>
      </c>
      <c r="B4060">
        <v>2021</v>
      </c>
      <c r="C4060" t="s">
        <v>12</v>
      </c>
      <c r="D4060">
        <v>319</v>
      </c>
      <c r="E4060" t="s">
        <v>38</v>
      </c>
      <c r="F4060" t="s">
        <v>39</v>
      </c>
      <c r="G4060" t="s">
        <v>15</v>
      </c>
      <c r="H4060">
        <v>0.6155305486394721</v>
      </c>
      <c r="I4060">
        <v>3</v>
      </c>
      <c r="J4060" t="s">
        <v>16</v>
      </c>
      <c r="K4060" s="59" t="s">
        <v>17</v>
      </c>
    </row>
    <row r="4061" spans="1:11" x14ac:dyDescent="0.2">
      <c r="A4061" t="s">
        <v>4100</v>
      </c>
      <c r="B4061">
        <v>2021</v>
      </c>
      <c r="C4061" t="s">
        <v>19</v>
      </c>
      <c r="D4061">
        <v>117</v>
      </c>
      <c r="E4061" t="s">
        <v>25</v>
      </c>
      <c r="F4061" t="s">
        <v>26</v>
      </c>
      <c r="G4061" t="s">
        <v>15</v>
      </c>
      <c r="H4061">
        <v>-0.80279953756010991</v>
      </c>
      <c r="I4061">
        <v>2</v>
      </c>
      <c r="J4061" t="s">
        <v>23</v>
      </c>
      <c r="K4061" s="59" t="s">
        <v>17</v>
      </c>
    </row>
    <row r="4062" spans="1:11" x14ac:dyDescent="0.2">
      <c r="A4062" t="s">
        <v>4101</v>
      </c>
      <c r="B4062">
        <v>2024</v>
      </c>
      <c r="C4062" t="s">
        <v>33</v>
      </c>
      <c r="D4062">
        <v>596</v>
      </c>
      <c r="E4062" t="s">
        <v>53</v>
      </c>
      <c r="F4062" t="s">
        <v>54</v>
      </c>
      <c r="G4062" t="s">
        <v>15</v>
      </c>
      <c r="H4062">
        <v>-0.34369613422991568</v>
      </c>
      <c r="I4062">
        <v>3</v>
      </c>
      <c r="J4062" t="s">
        <v>16</v>
      </c>
      <c r="K4062" s="59" t="s">
        <v>17</v>
      </c>
    </row>
    <row r="4063" spans="1:11" x14ac:dyDescent="0.2">
      <c r="A4063" t="s">
        <v>4102</v>
      </c>
      <c r="B4063">
        <v>2021</v>
      </c>
      <c r="C4063" t="s">
        <v>33</v>
      </c>
      <c r="D4063">
        <v>321</v>
      </c>
      <c r="E4063" t="s">
        <v>38</v>
      </c>
      <c r="F4063" t="s">
        <v>39</v>
      </c>
      <c r="G4063" t="s">
        <v>15</v>
      </c>
      <c r="H4063">
        <v>0.61922806691231869</v>
      </c>
      <c r="I4063">
        <v>3</v>
      </c>
      <c r="J4063" t="s">
        <v>16</v>
      </c>
      <c r="K4063" s="59" t="s">
        <v>16</v>
      </c>
    </row>
    <row r="4064" spans="1:11" x14ac:dyDescent="0.2">
      <c r="A4064" t="s">
        <v>4103</v>
      </c>
      <c r="B4064">
        <v>2021</v>
      </c>
      <c r="C4064" t="s">
        <v>19</v>
      </c>
      <c r="D4064">
        <v>311</v>
      </c>
      <c r="E4064" t="s">
        <v>38</v>
      </c>
      <c r="F4064" t="s">
        <v>39</v>
      </c>
      <c r="G4064" t="s">
        <v>15</v>
      </c>
      <c r="H4064">
        <v>0.60221472720671299</v>
      </c>
      <c r="I4064">
        <v>3</v>
      </c>
      <c r="J4064" t="s">
        <v>23</v>
      </c>
      <c r="K4064" s="59" t="s">
        <v>17</v>
      </c>
    </row>
    <row r="4065" spans="1:11" x14ac:dyDescent="0.2">
      <c r="A4065" t="s">
        <v>4104</v>
      </c>
      <c r="B4065">
        <v>2024</v>
      </c>
      <c r="C4065" t="s">
        <v>33</v>
      </c>
      <c r="D4065">
        <v>596</v>
      </c>
      <c r="E4065" t="s">
        <v>53</v>
      </c>
      <c r="F4065" t="s">
        <v>54</v>
      </c>
      <c r="G4065" t="s">
        <v>15</v>
      </c>
      <c r="H4065">
        <v>-0.34369613422991568</v>
      </c>
      <c r="I4065">
        <v>3</v>
      </c>
      <c r="J4065" t="s">
        <v>16</v>
      </c>
      <c r="K4065" s="59" t="s">
        <v>4376</v>
      </c>
    </row>
    <row r="4066" spans="1:11" x14ac:dyDescent="0.2">
      <c r="A4066" t="s">
        <v>4105</v>
      </c>
      <c r="B4066">
        <v>2024</v>
      </c>
      <c r="C4066" t="s">
        <v>33</v>
      </c>
      <c r="D4066">
        <v>125</v>
      </c>
      <c r="E4066" t="s">
        <v>20</v>
      </c>
      <c r="F4066" t="s">
        <v>21</v>
      </c>
      <c r="G4066" t="s">
        <v>15</v>
      </c>
      <c r="H4066">
        <v>0.21068363266339729</v>
      </c>
      <c r="I4066">
        <v>3</v>
      </c>
      <c r="J4066" t="s">
        <v>16</v>
      </c>
      <c r="K4066" s="59" t="s">
        <v>23</v>
      </c>
    </row>
    <row r="4067" spans="1:11" x14ac:dyDescent="0.2">
      <c r="A4067" t="s">
        <v>4106</v>
      </c>
      <c r="B4067">
        <v>2024</v>
      </c>
      <c r="C4067" t="s">
        <v>33</v>
      </c>
      <c r="D4067">
        <v>617</v>
      </c>
      <c r="E4067" t="s">
        <v>53</v>
      </c>
      <c r="F4067" t="s">
        <v>54</v>
      </c>
      <c r="G4067" t="s">
        <v>15</v>
      </c>
      <c r="H4067">
        <v>-0.12422943301980099</v>
      </c>
      <c r="I4067">
        <v>3</v>
      </c>
      <c r="J4067" t="s">
        <v>16</v>
      </c>
      <c r="K4067" s="59" t="s">
        <v>4376</v>
      </c>
    </row>
    <row r="4068" spans="1:11" x14ac:dyDescent="0.2">
      <c r="A4068" t="s">
        <v>4107</v>
      </c>
      <c r="B4068">
        <v>2024</v>
      </c>
      <c r="C4068" t="s">
        <v>33</v>
      </c>
      <c r="D4068">
        <v>596</v>
      </c>
      <c r="E4068" t="s">
        <v>53</v>
      </c>
      <c r="F4068" t="s">
        <v>54</v>
      </c>
      <c r="G4068" t="s">
        <v>15</v>
      </c>
      <c r="H4068">
        <v>-0.34369613422991568</v>
      </c>
      <c r="I4068">
        <v>3</v>
      </c>
      <c r="J4068" t="s">
        <v>16</v>
      </c>
      <c r="K4068" s="59" t="s">
        <v>17</v>
      </c>
    </row>
    <row r="4069" spans="1:11" x14ac:dyDescent="0.2">
      <c r="A4069" t="s">
        <v>4108</v>
      </c>
      <c r="B4069">
        <v>2021</v>
      </c>
      <c r="C4069" t="s">
        <v>33</v>
      </c>
      <c r="D4069">
        <v>134</v>
      </c>
      <c r="E4069" t="s">
        <v>20</v>
      </c>
      <c r="F4069" t="s">
        <v>21</v>
      </c>
      <c r="G4069" t="s">
        <v>41</v>
      </c>
      <c r="H4069">
        <v>1.566159674055275</v>
      </c>
      <c r="I4069">
        <v>3</v>
      </c>
      <c r="J4069" t="s">
        <v>23</v>
      </c>
      <c r="K4069" s="59" t="s">
        <v>23</v>
      </c>
    </row>
    <row r="4070" spans="1:11" x14ac:dyDescent="0.2">
      <c r="A4070" t="s">
        <v>4109</v>
      </c>
      <c r="B4070">
        <v>2024</v>
      </c>
      <c r="C4070" t="s">
        <v>19</v>
      </c>
      <c r="D4070">
        <v>596</v>
      </c>
      <c r="E4070" t="s">
        <v>53</v>
      </c>
      <c r="F4070" t="s">
        <v>54</v>
      </c>
      <c r="G4070" t="s">
        <v>15</v>
      </c>
      <c r="H4070">
        <v>-0.34369613422991568</v>
      </c>
      <c r="I4070">
        <v>3</v>
      </c>
      <c r="J4070" t="s">
        <v>16</v>
      </c>
      <c r="K4070" s="59" t="s">
        <v>17</v>
      </c>
    </row>
    <row r="4071" spans="1:11" x14ac:dyDescent="0.2">
      <c r="A4071" t="s">
        <v>4110</v>
      </c>
      <c r="B4071">
        <v>2024</v>
      </c>
      <c r="C4071" t="s">
        <v>33</v>
      </c>
      <c r="D4071">
        <v>596</v>
      </c>
      <c r="E4071" t="s">
        <v>53</v>
      </c>
      <c r="F4071" t="s">
        <v>54</v>
      </c>
      <c r="G4071" t="s">
        <v>15</v>
      </c>
      <c r="H4071">
        <v>-0.34369613422991568</v>
      </c>
      <c r="I4071">
        <v>3</v>
      </c>
      <c r="J4071" t="s">
        <v>16</v>
      </c>
      <c r="K4071" s="59" t="s">
        <v>4376</v>
      </c>
    </row>
    <row r="4072" spans="1:11" x14ac:dyDescent="0.2">
      <c r="A4072" t="s">
        <v>4111</v>
      </c>
      <c r="B4072">
        <v>2024</v>
      </c>
      <c r="C4072" t="s">
        <v>33</v>
      </c>
      <c r="D4072">
        <v>596</v>
      </c>
      <c r="E4072" t="s">
        <v>53</v>
      </c>
      <c r="F4072" t="s">
        <v>54</v>
      </c>
      <c r="G4072" t="s">
        <v>15</v>
      </c>
      <c r="H4072">
        <v>-0.34369613422991568</v>
      </c>
      <c r="I4072">
        <v>3</v>
      </c>
      <c r="J4072" t="s">
        <v>16</v>
      </c>
      <c r="K4072" s="59" t="s">
        <v>17</v>
      </c>
    </row>
    <row r="4073" spans="1:11" x14ac:dyDescent="0.2">
      <c r="A4073" t="s">
        <v>4112</v>
      </c>
      <c r="B4073">
        <v>2024</v>
      </c>
      <c r="C4073" t="s">
        <v>33</v>
      </c>
      <c r="D4073">
        <v>596</v>
      </c>
      <c r="E4073" t="s">
        <v>53</v>
      </c>
      <c r="F4073" t="s">
        <v>54</v>
      </c>
      <c r="G4073" t="s">
        <v>15</v>
      </c>
      <c r="H4073">
        <v>-0.34369613422991568</v>
      </c>
      <c r="I4073">
        <v>3</v>
      </c>
      <c r="J4073" t="s">
        <v>16</v>
      </c>
      <c r="K4073" s="59" t="s">
        <v>4376</v>
      </c>
    </row>
    <row r="4074" spans="1:11" x14ac:dyDescent="0.2">
      <c r="A4074" t="s">
        <v>4113</v>
      </c>
      <c r="B4074">
        <v>2024</v>
      </c>
      <c r="C4074" t="s">
        <v>19</v>
      </c>
      <c r="D4074">
        <v>596</v>
      </c>
      <c r="E4074" t="s">
        <v>53</v>
      </c>
      <c r="F4074" t="s">
        <v>54</v>
      </c>
      <c r="G4074" t="s">
        <v>15</v>
      </c>
      <c r="H4074">
        <v>-0.34369613422991568</v>
      </c>
      <c r="I4074">
        <v>3</v>
      </c>
      <c r="J4074" t="s">
        <v>16</v>
      </c>
      <c r="K4074" s="59" t="s">
        <v>16</v>
      </c>
    </row>
    <row r="4075" spans="1:11" x14ac:dyDescent="0.2">
      <c r="A4075" t="s">
        <v>4114</v>
      </c>
      <c r="B4075">
        <v>2024</v>
      </c>
      <c r="C4075" t="s">
        <v>33</v>
      </c>
      <c r="D4075">
        <v>596</v>
      </c>
      <c r="E4075" t="s">
        <v>53</v>
      </c>
      <c r="F4075" t="s">
        <v>54</v>
      </c>
      <c r="G4075" t="s">
        <v>15</v>
      </c>
      <c r="H4075">
        <v>-0.34369613422991568</v>
      </c>
      <c r="I4075">
        <v>3</v>
      </c>
      <c r="J4075" t="s">
        <v>16</v>
      </c>
      <c r="K4075" s="59" t="s">
        <v>4376</v>
      </c>
    </row>
    <row r="4076" spans="1:11" x14ac:dyDescent="0.2">
      <c r="A4076" t="s">
        <v>4115</v>
      </c>
      <c r="B4076">
        <v>2021</v>
      </c>
      <c r="C4076" t="s">
        <v>12</v>
      </c>
      <c r="D4076">
        <v>319</v>
      </c>
      <c r="E4076" t="s">
        <v>38</v>
      </c>
      <c r="F4076" t="s">
        <v>39</v>
      </c>
      <c r="G4076" t="s">
        <v>15</v>
      </c>
      <c r="H4076">
        <v>0.6155305486394721</v>
      </c>
      <c r="I4076">
        <v>3</v>
      </c>
      <c r="J4076" t="s">
        <v>16</v>
      </c>
      <c r="K4076" s="59" t="s">
        <v>23</v>
      </c>
    </row>
    <row r="4077" spans="1:11" x14ac:dyDescent="0.2">
      <c r="A4077" t="s">
        <v>4116</v>
      </c>
      <c r="B4077">
        <v>2024</v>
      </c>
      <c r="C4077" t="s">
        <v>33</v>
      </c>
      <c r="D4077">
        <v>596</v>
      </c>
      <c r="E4077" t="s">
        <v>53</v>
      </c>
      <c r="F4077" t="s">
        <v>54</v>
      </c>
      <c r="G4077" t="s">
        <v>15</v>
      </c>
      <c r="H4077">
        <v>-0.34369613422991568</v>
      </c>
      <c r="I4077">
        <v>3</v>
      </c>
      <c r="J4077" t="s">
        <v>16</v>
      </c>
      <c r="K4077" s="59" t="s">
        <v>4376</v>
      </c>
    </row>
    <row r="4078" spans="1:11" x14ac:dyDescent="0.2">
      <c r="A4078" t="s">
        <v>4117</v>
      </c>
      <c r="B4078">
        <v>2024</v>
      </c>
      <c r="C4078" t="s">
        <v>19</v>
      </c>
      <c r="D4078">
        <v>596</v>
      </c>
      <c r="E4078" t="s">
        <v>53</v>
      </c>
      <c r="F4078" t="s">
        <v>54</v>
      </c>
      <c r="G4078" t="s">
        <v>15</v>
      </c>
      <c r="H4078">
        <v>-0.34369613422991568</v>
      </c>
      <c r="I4078">
        <v>3</v>
      </c>
      <c r="J4078" t="s">
        <v>16</v>
      </c>
      <c r="K4078" s="59" t="s">
        <v>16</v>
      </c>
    </row>
    <row r="4079" spans="1:11" x14ac:dyDescent="0.2">
      <c r="A4079" t="s">
        <v>4118</v>
      </c>
      <c r="B4079">
        <v>2024</v>
      </c>
      <c r="C4079" t="s">
        <v>19</v>
      </c>
      <c r="D4079">
        <v>596</v>
      </c>
      <c r="E4079" t="s">
        <v>53</v>
      </c>
      <c r="F4079" t="s">
        <v>54</v>
      </c>
      <c r="G4079" t="s">
        <v>15</v>
      </c>
      <c r="H4079">
        <v>-0.34369613422991568</v>
      </c>
      <c r="I4079">
        <v>3</v>
      </c>
      <c r="J4079" t="s">
        <v>16</v>
      </c>
      <c r="K4079" s="59" t="s">
        <v>17</v>
      </c>
    </row>
    <row r="4080" spans="1:11" x14ac:dyDescent="0.2">
      <c r="A4080" t="s">
        <v>4119</v>
      </c>
      <c r="B4080">
        <v>2024</v>
      </c>
      <c r="C4080" t="s">
        <v>33</v>
      </c>
      <c r="D4080">
        <v>596</v>
      </c>
      <c r="E4080" t="s">
        <v>53</v>
      </c>
      <c r="F4080" t="s">
        <v>54</v>
      </c>
      <c r="G4080" t="s">
        <v>15</v>
      </c>
      <c r="H4080">
        <v>-0.34369613422991568</v>
      </c>
      <c r="I4080">
        <v>3</v>
      </c>
      <c r="J4080" t="s">
        <v>16</v>
      </c>
      <c r="K4080" s="59" t="s">
        <v>17</v>
      </c>
    </row>
    <row r="4081" spans="1:11" x14ac:dyDescent="0.2">
      <c r="A4081" t="s">
        <v>4120</v>
      </c>
      <c r="B4081">
        <v>2024</v>
      </c>
      <c r="C4081" t="s">
        <v>33</v>
      </c>
      <c r="D4081">
        <v>596</v>
      </c>
      <c r="E4081" t="s">
        <v>53</v>
      </c>
      <c r="F4081" t="s">
        <v>54</v>
      </c>
      <c r="G4081" t="s">
        <v>15</v>
      </c>
      <c r="H4081">
        <v>-0.34369613422991568</v>
      </c>
      <c r="I4081">
        <v>3</v>
      </c>
      <c r="J4081" t="s">
        <v>16</v>
      </c>
      <c r="K4081" s="59" t="s">
        <v>23</v>
      </c>
    </row>
    <row r="4082" spans="1:11" x14ac:dyDescent="0.2">
      <c r="A4082" t="s">
        <v>4121</v>
      </c>
      <c r="B4082">
        <v>2021</v>
      </c>
      <c r="C4082" t="s">
        <v>12</v>
      </c>
      <c r="D4082">
        <v>311</v>
      </c>
      <c r="E4082" t="s">
        <v>38</v>
      </c>
      <c r="F4082" t="s">
        <v>39</v>
      </c>
      <c r="G4082" t="s">
        <v>15</v>
      </c>
      <c r="H4082">
        <v>0.60221472720671299</v>
      </c>
      <c r="I4082">
        <v>3</v>
      </c>
      <c r="J4082" t="s">
        <v>23</v>
      </c>
      <c r="K4082" s="59" t="s">
        <v>17</v>
      </c>
    </row>
    <row r="4083" spans="1:11" x14ac:dyDescent="0.2">
      <c r="A4083" t="s">
        <v>4122</v>
      </c>
      <c r="B4083">
        <v>2024</v>
      </c>
      <c r="C4083" t="s">
        <v>33</v>
      </c>
      <c r="D4083">
        <v>596</v>
      </c>
      <c r="E4083" t="s">
        <v>53</v>
      </c>
      <c r="F4083" t="s">
        <v>54</v>
      </c>
      <c r="G4083" t="s">
        <v>15</v>
      </c>
      <c r="H4083">
        <v>-0.34369613422991568</v>
      </c>
      <c r="I4083">
        <v>3</v>
      </c>
      <c r="J4083" t="s">
        <v>16</v>
      </c>
      <c r="K4083" s="59" t="s">
        <v>16</v>
      </c>
    </row>
    <row r="4084" spans="1:11" x14ac:dyDescent="0.2">
      <c r="A4084" t="s">
        <v>4123</v>
      </c>
      <c r="B4084">
        <v>2024</v>
      </c>
      <c r="C4084" t="s">
        <v>33</v>
      </c>
      <c r="D4084">
        <v>596</v>
      </c>
      <c r="E4084" t="s">
        <v>53</v>
      </c>
      <c r="F4084" t="s">
        <v>54</v>
      </c>
      <c r="G4084" t="s">
        <v>15</v>
      </c>
      <c r="H4084">
        <v>-0.34369613422991568</v>
      </c>
      <c r="I4084">
        <v>3</v>
      </c>
      <c r="J4084" t="s">
        <v>16</v>
      </c>
      <c r="K4084" s="59" t="s">
        <v>17</v>
      </c>
    </row>
    <row r="4085" spans="1:11" x14ac:dyDescent="0.2">
      <c r="A4085" t="s">
        <v>4124</v>
      </c>
      <c r="B4085">
        <v>2024</v>
      </c>
      <c r="C4085" t="s">
        <v>33</v>
      </c>
      <c r="D4085">
        <v>596</v>
      </c>
      <c r="E4085" t="s">
        <v>53</v>
      </c>
      <c r="F4085" t="s">
        <v>54</v>
      </c>
      <c r="G4085" t="s">
        <v>15</v>
      </c>
      <c r="H4085">
        <v>-0.34369613422991568</v>
      </c>
      <c r="I4085">
        <v>3</v>
      </c>
      <c r="J4085" t="s">
        <v>16</v>
      </c>
      <c r="K4085" s="59" t="s">
        <v>16</v>
      </c>
    </row>
    <row r="4086" spans="1:11" x14ac:dyDescent="0.2">
      <c r="A4086" t="s">
        <v>4125</v>
      </c>
      <c r="B4086">
        <v>2024</v>
      </c>
      <c r="C4086" t="s">
        <v>33</v>
      </c>
      <c r="D4086">
        <v>596</v>
      </c>
      <c r="E4086" t="s">
        <v>53</v>
      </c>
      <c r="F4086" t="s">
        <v>54</v>
      </c>
      <c r="G4086" t="s">
        <v>15</v>
      </c>
      <c r="H4086">
        <v>-0.34369613422991568</v>
      </c>
      <c r="I4086">
        <v>3</v>
      </c>
      <c r="J4086" t="s">
        <v>16</v>
      </c>
      <c r="K4086" s="59" t="s">
        <v>4376</v>
      </c>
    </row>
    <row r="4087" spans="1:11" x14ac:dyDescent="0.2">
      <c r="A4087" t="s">
        <v>4126</v>
      </c>
      <c r="B4087">
        <v>2024</v>
      </c>
      <c r="C4087" t="s">
        <v>19</v>
      </c>
      <c r="D4087">
        <v>596</v>
      </c>
      <c r="E4087" t="s">
        <v>53</v>
      </c>
      <c r="F4087" t="s">
        <v>54</v>
      </c>
      <c r="G4087" t="s">
        <v>15</v>
      </c>
      <c r="H4087">
        <v>-0.34369613422991568</v>
      </c>
      <c r="I4087">
        <v>3</v>
      </c>
      <c r="J4087" t="s">
        <v>16</v>
      </c>
      <c r="K4087" s="59" t="s">
        <v>17</v>
      </c>
    </row>
    <row r="4088" spans="1:11" x14ac:dyDescent="0.2">
      <c r="A4088" t="s">
        <v>4127</v>
      </c>
      <c r="B4088">
        <v>2021</v>
      </c>
      <c r="C4088" t="s">
        <v>33</v>
      </c>
      <c r="D4088">
        <v>322</v>
      </c>
      <c r="E4088" t="s">
        <v>38</v>
      </c>
      <c r="F4088" t="s">
        <v>39</v>
      </c>
      <c r="G4088" t="s">
        <v>15</v>
      </c>
      <c r="H4088">
        <v>0.61922806691231869</v>
      </c>
      <c r="I4088">
        <v>3</v>
      </c>
      <c r="J4088" t="s">
        <v>16</v>
      </c>
      <c r="K4088" s="59" t="s">
        <v>16</v>
      </c>
    </row>
    <row r="4089" spans="1:11" x14ac:dyDescent="0.2">
      <c r="A4089" t="s">
        <v>4128</v>
      </c>
      <c r="B4089">
        <v>2022</v>
      </c>
      <c r="C4089" t="s">
        <v>12</v>
      </c>
      <c r="D4089">
        <v>173</v>
      </c>
      <c r="E4089" t="s">
        <v>20</v>
      </c>
      <c r="F4089" t="s">
        <v>21</v>
      </c>
      <c r="G4089" t="s">
        <v>167</v>
      </c>
      <c r="H4089">
        <v>0.1004880033394414</v>
      </c>
      <c r="I4089">
        <v>3</v>
      </c>
      <c r="J4089" t="s">
        <v>23</v>
      </c>
      <c r="K4089" s="59" t="s">
        <v>4376</v>
      </c>
    </row>
    <row r="4090" spans="1:11" x14ac:dyDescent="0.2">
      <c r="A4090" t="s">
        <v>4129</v>
      </c>
      <c r="B4090">
        <v>2022</v>
      </c>
      <c r="C4090" t="s">
        <v>33</v>
      </c>
      <c r="D4090">
        <v>159</v>
      </c>
      <c r="E4090" t="s">
        <v>13</v>
      </c>
      <c r="F4090" t="s">
        <v>14</v>
      </c>
      <c r="G4090" t="s">
        <v>48</v>
      </c>
      <c r="H4090">
        <v>0.51256168534501245</v>
      </c>
      <c r="I4090">
        <v>4</v>
      </c>
      <c r="J4090" t="s">
        <v>23</v>
      </c>
      <c r="K4090" s="59" t="s">
        <v>4376</v>
      </c>
    </row>
    <row r="4091" spans="1:11" x14ac:dyDescent="0.2">
      <c r="A4091" t="s">
        <v>4130</v>
      </c>
      <c r="B4091">
        <v>2021</v>
      </c>
      <c r="C4091" t="s">
        <v>33</v>
      </c>
      <c r="D4091">
        <v>311</v>
      </c>
      <c r="E4091" t="s">
        <v>38</v>
      </c>
      <c r="F4091" t="s">
        <v>39</v>
      </c>
      <c r="G4091" t="s">
        <v>15</v>
      </c>
      <c r="H4091">
        <v>0.60221472720671299</v>
      </c>
      <c r="I4091">
        <v>3</v>
      </c>
      <c r="J4091" t="s">
        <v>23</v>
      </c>
      <c r="K4091" s="59" t="s">
        <v>17</v>
      </c>
    </row>
    <row r="4092" spans="1:11" x14ac:dyDescent="0.2">
      <c r="A4092" t="s">
        <v>4131</v>
      </c>
      <c r="B4092">
        <v>2024</v>
      </c>
      <c r="C4092" t="s">
        <v>19</v>
      </c>
      <c r="D4092">
        <v>596</v>
      </c>
      <c r="E4092" t="s">
        <v>53</v>
      </c>
      <c r="F4092" t="s">
        <v>54</v>
      </c>
      <c r="G4092" t="s">
        <v>15</v>
      </c>
      <c r="H4092">
        <v>-0.34369613422991568</v>
      </c>
      <c r="I4092">
        <v>3</v>
      </c>
      <c r="J4092" t="s">
        <v>16</v>
      </c>
      <c r="K4092" s="59" t="s">
        <v>17</v>
      </c>
    </row>
    <row r="4093" spans="1:11" x14ac:dyDescent="0.2">
      <c r="A4093" t="s">
        <v>4132</v>
      </c>
      <c r="B4093">
        <v>2024</v>
      </c>
      <c r="C4093" t="s">
        <v>19</v>
      </c>
      <c r="D4093">
        <v>617</v>
      </c>
      <c r="E4093" t="s">
        <v>53</v>
      </c>
      <c r="F4093" t="s">
        <v>54</v>
      </c>
      <c r="G4093" t="s">
        <v>15</v>
      </c>
      <c r="H4093">
        <v>-0.12422943301980099</v>
      </c>
      <c r="I4093">
        <v>3</v>
      </c>
      <c r="J4093" t="s">
        <v>16</v>
      </c>
      <c r="K4093" s="59" t="s">
        <v>17</v>
      </c>
    </row>
    <row r="4094" spans="1:11" x14ac:dyDescent="0.2">
      <c r="A4094" t="s">
        <v>4133</v>
      </c>
      <c r="B4094">
        <v>2024</v>
      </c>
      <c r="C4094" t="s">
        <v>19</v>
      </c>
      <c r="D4094">
        <v>617</v>
      </c>
      <c r="E4094" t="s">
        <v>53</v>
      </c>
      <c r="F4094" t="s">
        <v>54</v>
      </c>
      <c r="G4094" t="s">
        <v>15</v>
      </c>
      <c r="H4094">
        <v>-0.12422943301980099</v>
      </c>
      <c r="I4094">
        <v>3</v>
      </c>
      <c r="J4094" t="s">
        <v>16</v>
      </c>
      <c r="K4094" s="59" t="s">
        <v>16</v>
      </c>
    </row>
    <row r="4095" spans="1:11" x14ac:dyDescent="0.2">
      <c r="A4095" t="s">
        <v>4134</v>
      </c>
      <c r="B4095">
        <v>2024</v>
      </c>
      <c r="C4095" t="s">
        <v>33</v>
      </c>
      <c r="D4095">
        <v>162</v>
      </c>
      <c r="E4095" t="s">
        <v>20</v>
      </c>
      <c r="F4095" t="s">
        <v>21</v>
      </c>
      <c r="G4095" t="s">
        <v>15</v>
      </c>
      <c r="H4095">
        <v>1.4974571292739709</v>
      </c>
      <c r="I4095">
        <v>3</v>
      </c>
      <c r="J4095" t="s">
        <v>17</v>
      </c>
      <c r="K4095" s="59" t="s">
        <v>4376</v>
      </c>
    </row>
    <row r="4096" spans="1:11" x14ac:dyDescent="0.2">
      <c r="A4096" t="s">
        <v>4135</v>
      </c>
      <c r="B4096">
        <v>2021</v>
      </c>
      <c r="C4096" t="s">
        <v>12</v>
      </c>
      <c r="D4096">
        <v>311</v>
      </c>
      <c r="E4096" t="s">
        <v>38</v>
      </c>
      <c r="F4096" t="s">
        <v>39</v>
      </c>
      <c r="G4096" t="s">
        <v>15</v>
      </c>
      <c r="H4096">
        <v>0.60221472720671299</v>
      </c>
      <c r="I4096">
        <v>3</v>
      </c>
      <c r="J4096" t="s">
        <v>23</v>
      </c>
      <c r="K4096" s="59" t="s">
        <v>17</v>
      </c>
    </row>
    <row r="4097" spans="1:11" x14ac:dyDescent="0.2">
      <c r="A4097" t="s">
        <v>4136</v>
      </c>
      <c r="B4097">
        <v>2024</v>
      </c>
      <c r="C4097" t="s">
        <v>19</v>
      </c>
      <c r="D4097">
        <v>617</v>
      </c>
      <c r="E4097" t="s">
        <v>53</v>
      </c>
      <c r="F4097" t="s">
        <v>54</v>
      </c>
      <c r="G4097" t="s">
        <v>15</v>
      </c>
      <c r="H4097">
        <v>-0.12422943301980099</v>
      </c>
      <c r="I4097">
        <v>3</v>
      </c>
      <c r="J4097" t="s">
        <v>16</v>
      </c>
      <c r="K4097" s="59" t="s">
        <v>17</v>
      </c>
    </row>
    <row r="4098" spans="1:11" x14ac:dyDescent="0.2">
      <c r="A4098" t="s">
        <v>4137</v>
      </c>
      <c r="B4098">
        <v>2024</v>
      </c>
      <c r="C4098" t="s">
        <v>19</v>
      </c>
      <c r="D4098">
        <v>617</v>
      </c>
      <c r="E4098" t="s">
        <v>53</v>
      </c>
      <c r="F4098" t="s">
        <v>54</v>
      </c>
      <c r="G4098" t="s">
        <v>15</v>
      </c>
      <c r="H4098">
        <v>-0.12422943301980099</v>
      </c>
      <c r="I4098">
        <v>3</v>
      </c>
      <c r="J4098" t="s">
        <v>16</v>
      </c>
      <c r="K4098" s="59" t="s">
        <v>17</v>
      </c>
    </row>
    <row r="4099" spans="1:11" x14ac:dyDescent="0.2">
      <c r="A4099" t="s">
        <v>4138</v>
      </c>
      <c r="B4099">
        <v>2024</v>
      </c>
      <c r="C4099" t="s">
        <v>33</v>
      </c>
      <c r="D4099">
        <v>596</v>
      </c>
      <c r="E4099" t="s">
        <v>53</v>
      </c>
      <c r="F4099" t="s">
        <v>54</v>
      </c>
      <c r="G4099" t="s">
        <v>15</v>
      </c>
      <c r="H4099">
        <v>-0.34369613422991568</v>
      </c>
      <c r="I4099">
        <v>3</v>
      </c>
      <c r="J4099" t="s">
        <v>16</v>
      </c>
      <c r="K4099" s="59" t="s">
        <v>4376</v>
      </c>
    </row>
    <row r="4100" spans="1:11" x14ac:dyDescent="0.2">
      <c r="A4100" t="s">
        <v>4139</v>
      </c>
      <c r="B4100">
        <v>2024</v>
      </c>
      <c r="C4100" t="s">
        <v>19</v>
      </c>
      <c r="D4100">
        <v>617</v>
      </c>
      <c r="E4100" t="s">
        <v>53</v>
      </c>
      <c r="F4100" t="s">
        <v>54</v>
      </c>
      <c r="G4100" t="s">
        <v>15</v>
      </c>
      <c r="H4100">
        <v>-0.12422943301980099</v>
      </c>
      <c r="I4100">
        <v>3</v>
      </c>
      <c r="J4100" t="s">
        <v>16</v>
      </c>
      <c r="K4100" s="59" t="s">
        <v>17</v>
      </c>
    </row>
    <row r="4101" spans="1:11" x14ac:dyDescent="0.2">
      <c r="A4101" t="s">
        <v>4140</v>
      </c>
      <c r="B4101">
        <v>2024</v>
      </c>
      <c r="C4101" t="s">
        <v>33</v>
      </c>
      <c r="D4101">
        <v>617</v>
      </c>
      <c r="E4101" t="s">
        <v>53</v>
      </c>
      <c r="F4101" t="s">
        <v>54</v>
      </c>
      <c r="G4101" t="s">
        <v>15</v>
      </c>
      <c r="H4101">
        <v>-0.12422943301980099</v>
      </c>
      <c r="I4101">
        <v>3</v>
      </c>
      <c r="J4101" t="s">
        <v>16</v>
      </c>
      <c r="K4101" s="59" t="s">
        <v>17</v>
      </c>
    </row>
    <row r="4102" spans="1:11" x14ac:dyDescent="0.2">
      <c r="A4102" t="s">
        <v>4141</v>
      </c>
      <c r="B4102">
        <v>2024</v>
      </c>
      <c r="C4102" t="s">
        <v>19</v>
      </c>
      <c r="D4102">
        <v>617</v>
      </c>
      <c r="E4102" t="s">
        <v>53</v>
      </c>
      <c r="F4102" t="s">
        <v>54</v>
      </c>
      <c r="G4102" t="s">
        <v>15</v>
      </c>
      <c r="H4102">
        <v>-0.12422943301980099</v>
      </c>
      <c r="I4102">
        <v>3</v>
      </c>
      <c r="J4102" t="s">
        <v>16</v>
      </c>
      <c r="K4102" s="59" t="s">
        <v>16</v>
      </c>
    </row>
    <row r="4103" spans="1:11" x14ac:dyDescent="0.2">
      <c r="A4103" t="s">
        <v>4142</v>
      </c>
      <c r="B4103">
        <v>2024</v>
      </c>
      <c r="C4103" t="s">
        <v>19</v>
      </c>
      <c r="D4103">
        <v>617</v>
      </c>
      <c r="E4103" t="s">
        <v>53</v>
      </c>
      <c r="F4103" t="s">
        <v>54</v>
      </c>
      <c r="G4103" t="s">
        <v>15</v>
      </c>
      <c r="H4103">
        <v>-0.12422943301980099</v>
      </c>
      <c r="I4103">
        <v>3</v>
      </c>
      <c r="J4103" t="s">
        <v>16</v>
      </c>
      <c r="K4103" s="59" t="s">
        <v>17</v>
      </c>
    </row>
    <row r="4104" spans="1:11" x14ac:dyDescent="0.2">
      <c r="A4104" t="s">
        <v>4143</v>
      </c>
      <c r="B4104">
        <v>2021</v>
      </c>
      <c r="C4104" t="s">
        <v>19</v>
      </c>
      <c r="D4104">
        <v>311</v>
      </c>
      <c r="E4104" t="s">
        <v>38</v>
      </c>
      <c r="F4104" t="s">
        <v>39</v>
      </c>
      <c r="G4104" t="s">
        <v>15</v>
      </c>
      <c r="H4104">
        <v>0.60221472720671299</v>
      </c>
      <c r="I4104">
        <v>3</v>
      </c>
      <c r="J4104" t="s">
        <v>23</v>
      </c>
      <c r="K4104" s="59" t="s">
        <v>17</v>
      </c>
    </row>
    <row r="4105" spans="1:11" x14ac:dyDescent="0.2">
      <c r="A4105" t="s">
        <v>4144</v>
      </c>
      <c r="B4105">
        <v>2024</v>
      </c>
      <c r="C4105" t="s">
        <v>33</v>
      </c>
      <c r="D4105">
        <v>617</v>
      </c>
      <c r="E4105" t="s">
        <v>53</v>
      </c>
      <c r="F4105" t="s">
        <v>54</v>
      </c>
      <c r="G4105" t="s">
        <v>15</v>
      </c>
      <c r="H4105">
        <v>-0.12422943301980099</v>
      </c>
      <c r="I4105">
        <v>3</v>
      </c>
      <c r="J4105" t="s">
        <v>16</v>
      </c>
      <c r="K4105" s="59" t="s">
        <v>4376</v>
      </c>
    </row>
    <row r="4106" spans="1:11" x14ac:dyDescent="0.2">
      <c r="A4106" t="s">
        <v>4145</v>
      </c>
      <c r="B4106">
        <v>2024</v>
      </c>
      <c r="C4106" t="s">
        <v>33</v>
      </c>
      <c r="D4106">
        <v>617</v>
      </c>
      <c r="E4106" t="s">
        <v>53</v>
      </c>
      <c r="F4106" t="s">
        <v>54</v>
      </c>
      <c r="G4106" t="s">
        <v>15</v>
      </c>
      <c r="H4106">
        <v>-0.12422943301980099</v>
      </c>
      <c r="I4106">
        <v>3</v>
      </c>
      <c r="J4106" t="s">
        <v>16</v>
      </c>
      <c r="K4106" s="59" t="s">
        <v>4376</v>
      </c>
    </row>
    <row r="4107" spans="1:11" x14ac:dyDescent="0.2">
      <c r="A4107" t="s">
        <v>4146</v>
      </c>
      <c r="B4107">
        <v>2021</v>
      </c>
      <c r="C4107" t="s">
        <v>33</v>
      </c>
      <c r="D4107">
        <v>230</v>
      </c>
      <c r="E4107" t="s">
        <v>13</v>
      </c>
      <c r="F4107" t="s">
        <v>14</v>
      </c>
      <c r="G4107" t="s">
        <v>41</v>
      </c>
      <c r="H4107">
        <v>0.99039415233819594</v>
      </c>
      <c r="I4107">
        <v>4</v>
      </c>
      <c r="J4107" t="s">
        <v>23</v>
      </c>
      <c r="K4107" s="59" t="s">
        <v>4376</v>
      </c>
    </row>
    <row r="4108" spans="1:11" x14ac:dyDescent="0.2">
      <c r="A4108" t="s">
        <v>4147</v>
      </c>
      <c r="B4108">
        <v>2024</v>
      </c>
      <c r="C4108" t="s">
        <v>19</v>
      </c>
      <c r="D4108">
        <v>617</v>
      </c>
      <c r="E4108" t="s">
        <v>53</v>
      </c>
      <c r="F4108" t="s">
        <v>54</v>
      </c>
      <c r="G4108" t="s">
        <v>15</v>
      </c>
      <c r="H4108">
        <v>-0.12422943301980099</v>
      </c>
      <c r="I4108">
        <v>3</v>
      </c>
      <c r="J4108" t="s">
        <v>16</v>
      </c>
      <c r="K4108" s="59" t="s">
        <v>17</v>
      </c>
    </row>
    <row r="4109" spans="1:11" x14ac:dyDescent="0.2">
      <c r="A4109" t="s">
        <v>4148</v>
      </c>
      <c r="B4109">
        <v>2021</v>
      </c>
      <c r="C4109" t="s">
        <v>12</v>
      </c>
      <c r="D4109">
        <v>311</v>
      </c>
      <c r="E4109" t="s">
        <v>38</v>
      </c>
      <c r="F4109" t="s">
        <v>39</v>
      </c>
      <c r="G4109" t="s">
        <v>15</v>
      </c>
      <c r="H4109">
        <v>0.60221472720671299</v>
      </c>
      <c r="I4109">
        <v>3</v>
      </c>
      <c r="J4109" t="s">
        <v>23</v>
      </c>
      <c r="K4109" s="59" t="s">
        <v>23</v>
      </c>
    </row>
    <row r="4110" spans="1:11" x14ac:dyDescent="0.2">
      <c r="A4110" t="s">
        <v>4149</v>
      </c>
      <c r="B4110">
        <v>2024</v>
      </c>
      <c r="C4110" t="s">
        <v>19</v>
      </c>
      <c r="D4110">
        <v>617</v>
      </c>
      <c r="E4110" t="s">
        <v>53</v>
      </c>
      <c r="F4110" t="s">
        <v>54</v>
      </c>
      <c r="G4110" t="s">
        <v>15</v>
      </c>
      <c r="H4110">
        <v>-0.12422943301980099</v>
      </c>
      <c r="I4110">
        <v>3</v>
      </c>
      <c r="J4110" t="s">
        <v>16</v>
      </c>
      <c r="K4110" s="59" t="s">
        <v>17</v>
      </c>
    </row>
    <row r="4111" spans="1:11" x14ac:dyDescent="0.2">
      <c r="A4111" t="s">
        <v>4150</v>
      </c>
      <c r="B4111">
        <v>2024</v>
      </c>
      <c r="C4111" t="s">
        <v>19</v>
      </c>
      <c r="D4111">
        <v>617</v>
      </c>
      <c r="E4111" t="s">
        <v>53</v>
      </c>
      <c r="F4111" t="s">
        <v>54</v>
      </c>
      <c r="G4111" t="s">
        <v>15</v>
      </c>
      <c r="H4111">
        <v>-0.12422943301980099</v>
      </c>
      <c r="I4111">
        <v>3</v>
      </c>
      <c r="J4111" t="s">
        <v>23</v>
      </c>
      <c r="K4111" s="59" t="s">
        <v>17</v>
      </c>
    </row>
    <row r="4112" spans="1:11" x14ac:dyDescent="0.2">
      <c r="A4112" t="s">
        <v>4151</v>
      </c>
      <c r="B4112">
        <v>2024</v>
      </c>
      <c r="C4112" t="s">
        <v>12</v>
      </c>
      <c r="D4112">
        <v>588</v>
      </c>
      <c r="E4112" t="s">
        <v>53</v>
      </c>
      <c r="F4112" t="s">
        <v>54</v>
      </c>
      <c r="G4112" t="s">
        <v>15</v>
      </c>
      <c r="H4112">
        <v>-0.19468476924995909</v>
      </c>
      <c r="I4112">
        <v>3</v>
      </c>
      <c r="J4112" t="s">
        <v>16</v>
      </c>
      <c r="K4112" s="59" t="s">
        <v>4376</v>
      </c>
    </row>
    <row r="4113" spans="1:11" x14ac:dyDescent="0.2">
      <c r="A4113" t="s">
        <v>4152</v>
      </c>
      <c r="B4113">
        <v>2021</v>
      </c>
      <c r="C4113" t="s">
        <v>33</v>
      </c>
      <c r="D4113">
        <v>368</v>
      </c>
      <c r="E4113" t="s">
        <v>38</v>
      </c>
      <c r="F4113" t="s">
        <v>39</v>
      </c>
      <c r="G4113" t="s">
        <v>15</v>
      </c>
      <c r="H4113">
        <v>0.69029355547504967</v>
      </c>
      <c r="I4113">
        <v>3</v>
      </c>
      <c r="J4113" t="s">
        <v>23</v>
      </c>
      <c r="K4113" s="59" t="s">
        <v>4376</v>
      </c>
    </row>
    <row r="4114" spans="1:11" x14ac:dyDescent="0.2">
      <c r="A4114" t="s">
        <v>4153</v>
      </c>
      <c r="B4114">
        <v>2024</v>
      </c>
      <c r="C4114" t="s">
        <v>19</v>
      </c>
      <c r="D4114">
        <v>617</v>
      </c>
      <c r="E4114" t="s">
        <v>53</v>
      </c>
      <c r="F4114" t="s">
        <v>54</v>
      </c>
      <c r="G4114" t="s">
        <v>15</v>
      </c>
      <c r="H4114">
        <v>-0.12422943301980099</v>
      </c>
      <c r="I4114">
        <v>3</v>
      </c>
      <c r="J4114" t="s">
        <v>16</v>
      </c>
      <c r="K4114" s="59" t="s">
        <v>16</v>
      </c>
    </row>
    <row r="4115" spans="1:11" x14ac:dyDescent="0.2">
      <c r="A4115" t="s">
        <v>4154</v>
      </c>
      <c r="B4115">
        <v>2024</v>
      </c>
      <c r="C4115" t="s">
        <v>19</v>
      </c>
      <c r="D4115">
        <v>617</v>
      </c>
      <c r="E4115" t="s">
        <v>53</v>
      </c>
      <c r="F4115" t="s">
        <v>54</v>
      </c>
      <c r="G4115" t="s">
        <v>15</v>
      </c>
      <c r="H4115">
        <v>-0.12422943301980099</v>
      </c>
      <c r="I4115">
        <v>3</v>
      </c>
      <c r="J4115" t="s">
        <v>16</v>
      </c>
      <c r="K4115" s="59" t="s">
        <v>17</v>
      </c>
    </row>
    <row r="4116" spans="1:11" x14ac:dyDescent="0.2">
      <c r="A4116" t="s">
        <v>4155</v>
      </c>
      <c r="B4116">
        <v>2024</v>
      </c>
      <c r="C4116" t="s">
        <v>19</v>
      </c>
      <c r="D4116">
        <v>588</v>
      </c>
      <c r="E4116" t="s">
        <v>53</v>
      </c>
      <c r="F4116" t="s">
        <v>54</v>
      </c>
      <c r="G4116" t="s">
        <v>15</v>
      </c>
      <c r="H4116">
        <v>-0.19468476924995909</v>
      </c>
      <c r="I4116">
        <v>3</v>
      </c>
      <c r="J4116" t="s">
        <v>16</v>
      </c>
      <c r="K4116" s="59" t="s">
        <v>4376</v>
      </c>
    </row>
    <row r="4117" spans="1:11" x14ac:dyDescent="0.2">
      <c r="A4117" t="s">
        <v>4156</v>
      </c>
      <c r="B4117">
        <v>2024</v>
      </c>
      <c r="C4117" t="s">
        <v>33</v>
      </c>
      <c r="D4117">
        <v>617</v>
      </c>
      <c r="E4117" t="s">
        <v>53</v>
      </c>
      <c r="F4117" t="s">
        <v>54</v>
      </c>
      <c r="G4117" t="s">
        <v>15</v>
      </c>
      <c r="H4117">
        <v>-0.12422943301980099</v>
      </c>
      <c r="I4117">
        <v>3</v>
      </c>
      <c r="J4117" t="s">
        <v>16</v>
      </c>
      <c r="K4117" s="59" t="s">
        <v>4376</v>
      </c>
    </row>
    <row r="4118" spans="1:11" x14ac:dyDescent="0.2">
      <c r="A4118" t="s">
        <v>4157</v>
      </c>
      <c r="B4118">
        <v>2024</v>
      </c>
      <c r="C4118" t="s">
        <v>33</v>
      </c>
      <c r="D4118">
        <v>617</v>
      </c>
      <c r="E4118" t="s">
        <v>53</v>
      </c>
      <c r="F4118" t="s">
        <v>54</v>
      </c>
      <c r="G4118" t="s">
        <v>15</v>
      </c>
      <c r="H4118">
        <v>-0.12422943301980099</v>
      </c>
      <c r="I4118">
        <v>3</v>
      </c>
      <c r="J4118" t="s">
        <v>16</v>
      </c>
      <c r="K4118" s="59" t="s">
        <v>4376</v>
      </c>
    </row>
    <row r="4119" spans="1:11" x14ac:dyDescent="0.2">
      <c r="A4119" t="s">
        <v>4158</v>
      </c>
      <c r="B4119">
        <v>2024</v>
      </c>
      <c r="C4119" t="s">
        <v>33</v>
      </c>
      <c r="D4119">
        <v>617</v>
      </c>
      <c r="E4119" t="s">
        <v>53</v>
      </c>
      <c r="F4119" t="s">
        <v>54</v>
      </c>
      <c r="G4119" t="s">
        <v>15</v>
      </c>
      <c r="H4119">
        <v>-0.12422943301980099</v>
      </c>
      <c r="I4119">
        <v>3</v>
      </c>
      <c r="J4119" t="s">
        <v>16</v>
      </c>
      <c r="K4119" s="59" t="s">
        <v>4376</v>
      </c>
    </row>
    <row r="4120" spans="1:11" x14ac:dyDescent="0.2">
      <c r="A4120" t="s">
        <v>4159</v>
      </c>
      <c r="B4120">
        <v>2020</v>
      </c>
      <c r="C4120" t="s">
        <v>19</v>
      </c>
      <c r="D4120">
        <v>768</v>
      </c>
      <c r="E4120" t="s">
        <v>25</v>
      </c>
      <c r="F4120" t="s">
        <v>26</v>
      </c>
      <c r="G4120" t="s">
        <v>15</v>
      </c>
      <c r="H4120">
        <v>0.78546338843429353</v>
      </c>
      <c r="I4120">
        <v>2</v>
      </c>
      <c r="J4120" t="s">
        <v>16</v>
      </c>
      <c r="K4120" s="59" t="s">
        <v>17</v>
      </c>
    </row>
    <row r="4121" spans="1:11" x14ac:dyDescent="0.2">
      <c r="A4121" t="s">
        <v>4160</v>
      </c>
      <c r="B4121">
        <v>2020</v>
      </c>
      <c r="C4121" t="s">
        <v>19</v>
      </c>
      <c r="D4121">
        <v>222</v>
      </c>
      <c r="E4121" t="s">
        <v>25</v>
      </c>
      <c r="F4121" t="s">
        <v>26</v>
      </c>
      <c r="G4121" t="s">
        <v>22</v>
      </c>
      <c r="H4121">
        <v>0.17384518404671701</v>
      </c>
      <c r="I4121">
        <v>2</v>
      </c>
      <c r="J4121" t="s">
        <v>16</v>
      </c>
      <c r="K4121" s="59" t="s">
        <v>17</v>
      </c>
    </row>
    <row r="4122" spans="1:11" x14ac:dyDescent="0.2">
      <c r="A4122" t="s">
        <v>4161</v>
      </c>
      <c r="B4122">
        <v>2020</v>
      </c>
      <c r="C4122" t="s">
        <v>19</v>
      </c>
      <c r="D4122">
        <v>132</v>
      </c>
      <c r="E4122" t="s">
        <v>20</v>
      </c>
      <c r="F4122" t="s">
        <v>21</v>
      </c>
      <c r="G4122" t="s">
        <v>15</v>
      </c>
      <c r="H4122">
        <v>-0.61582902501545655</v>
      </c>
      <c r="I4122">
        <v>3</v>
      </c>
      <c r="J4122" t="s">
        <v>16</v>
      </c>
      <c r="K4122" s="59" t="s">
        <v>17</v>
      </c>
    </row>
    <row r="4123" spans="1:11" x14ac:dyDescent="0.2">
      <c r="A4123" t="s">
        <v>4162</v>
      </c>
      <c r="B4123">
        <v>2024</v>
      </c>
      <c r="C4123" t="s">
        <v>33</v>
      </c>
      <c r="D4123">
        <v>617</v>
      </c>
      <c r="E4123" t="s">
        <v>53</v>
      </c>
      <c r="F4123" t="s">
        <v>54</v>
      </c>
      <c r="G4123" t="s">
        <v>15</v>
      </c>
      <c r="H4123">
        <v>-0.12422943301980099</v>
      </c>
      <c r="I4123">
        <v>3</v>
      </c>
      <c r="J4123" t="s">
        <v>16</v>
      </c>
      <c r="K4123" s="59" t="s">
        <v>4376</v>
      </c>
    </row>
    <row r="4124" spans="1:11" x14ac:dyDescent="0.2">
      <c r="A4124" t="s">
        <v>4163</v>
      </c>
      <c r="B4124">
        <v>2023</v>
      </c>
      <c r="C4124" t="s">
        <v>19</v>
      </c>
      <c r="D4124">
        <v>184</v>
      </c>
      <c r="E4124" t="s">
        <v>25</v>
      </c>
      <c r="F4124" t="s">
        <v>26</v>
      </c>
      <c r="G4124" t="s">
        <v>15</v>
      </c>
      <c r="H4124">
        <v>-0.20102318730411509</v>
      </c>
      <c r="I4124">
        <v>2</v>
      </c>
      <c r="J4124" t="s">
        <v>23</v>
      </c>
      <c r="K4124" s="59" t="s">
        <v>17</v>
      </c>
    </row>
    <row r="4125" spans="1:11" x14ac:dyDescent="0.2">
      <c r="A4125" t="s">
        <v>4164</v>
      </c>
      <c r="B4125">
        <v>2024</v>
      </c>
      <c r="C4125" t="s">
        <v>19</v>
      </c>
      <c r="D4125">
        <v>615</v>
      </c>
      <c r="E4125" t="s">
        <v>53</v>
      </c>
      <c r="F4125" t="s">
        <v>54</v>
      </c>
      <c r="G4125" t="s">
        <v>15</v>
      </c>
      <c r="H4125">
        <v>-0.21065579517847369</v>
      </c>
      <c r="I4125">
        <v>3</v>
      </c>
      <c r="J4125" t="s">
        <v>23</v>
      </c>
      <c r="K4125" s="59" t="s">
        <v>16</v>
      </c>
    </row>
    <row r="4126" spans="1:11" x14ac:dyDescent="0.2">
      <c r="A4126" t="s">
        <v>4165</v>
      </c>
      <c r="B4126">
        <v>2022</v>
      </c>
      <c r="C4126" t="s">
        <v>19</v>
      </c>
      <c r="D4126">
        <v>211</v>
      </c>
      <c r="E4126" t="s">
        <v>20</v>
      </c>
      <c r="F4126" t="s">
        <v>21</v>
      </c>
      <c r="G4126" t="s">
        <v>48</v>
      </c>
      <c r="H4126">
        <v>5.4377775466296789E-2</v>
      </c>
      <c r="I4126">
        <v>3</v>
      </c>
      <c r="J4126" t="s">
        <v>23</v>
      </c>
      <c r="K4126" s="59" t="s">
        <v>16</v>
      </c>
    </row>
    <row r="4127" spans="1:11" x14ac:dyDescent="0.2">
      <c r="A4127" t="s">
        <v>4166</v>
      </c>
      <c r="B4127">
        <v>2020</v>
      </c>
      <c r="C4127" t="s">
        <v>33</v>
      </c>
      <c r="D4127">
        <v>222</v>
      </c>
      <c r="E4127" t="s">
        <v>13</v>
      </c>
      <c r="F4127" t="s">
        <v>14</v>
      </c>
      <c r="G4127" t="s">
        <v>48</v>
      </c>
      <c r="H4127">
        <v>-0.72240221716590891</v>
      </c>
      <c r="I4127">
        <v>4</v>
      </c>
      <c r="J4127" t="s">
        <v>17</v>
      </c>
      <c r="K4127" s="59" t="s">
        <v>17</v>
      </c>
    </row>
    <row r="4128" spans="1:11" x14ac:dyDescent="0.2">
      <c r="A4128" t="s">
        <v>4167</v>
      </c>
      <c r="B4128">
        <v>2024</v>
      </c>
      <c r="C4128" t="s">
        <v>33</v>
      </c>
      <c r="D4128">
        <v>617</v>
      </c>
      <c r="E4128" t="s">
        <v>53</v>
      </c>
      <c r="F4128" t="s">
        <v>54</v>
      </c>
      <c r="G4128" t="s">
        <v>15</v>
      </c>
      <c r="H4128">
        <v>-0.12422943301980099</v>
      </c>
      <c r="I4128">
        <v>3</v>
      </c>
      <c r="J4128" t="s">
        <v>16</v>
      </c>
      <c r="K4128" s="59" t="s">
        <v>4376</v>
      </c>
    </row>
    <row r="4129" spans="1:11" x14ac:dyDescent="0.2">
      <c r="A4129" t="s">
        <v>4168</v>
      </c>
      <c r="B4129">
        <v>2024</v>
      </c>
      <c r="C4129" t="s">
        <v>33</v>
      </c>
      <c r="D4129">
        <v>615</v>
      </c>
      <c r="E4129" t="s">
        <v>53</v>
      </c>
      <c r="F4129" t="s">
        <v>54</v>
      </c>
      <c r="G4129" t="s">
        <v>15</v>
      </c>
      <c r="H4129">
        <v>-0.21065579517847369</v>
      </c>
      <c r="I4129">
        <v>3</v>
      </c>
      <c r="J4129" t="s">
        <v>23</v>
      </c>
      <c r="K4129" s="59" t="s">
        <v>4376</v>
      </c>
    </row>
    <row r="4130" spans="1:11" x14ac:dyDescent="0.2">
      <c r="A4130" t="s">
        <v>4169</v>
      </c>
      <c r="B4130">
        <v>2021</v>
      </c>
      <c r="C4130" t="s">
        <v>12</v>
      </c>
      <c r="D4130">
        <v>440</v>
      </c>
      <c r="E4130" t="s">
        <v>38</v>
      </c>
      <c r="F4130" t="s">
        <v>39</v>
      </c>
      <c r="G4130" t="s">
        <v>15</v>
      </c>
      <c r="H4130">
        <v>0.51117068710679503</v>
      </c>
      <c r="I4130">
        <v>3</v>
      </c>
      <c r="J4130" t="s">
        <v>23</v>
      </c>
      <c r="K4130" s="59" t="s">
        <v>17</v>
      </c>
    </row>
    <row r="4131" spans="1:11" x14ac:dyDescent="0.2">
      <c r="A4131" t="s">
        <v>4170</v>
      </c>
      <c r="B4131">
        <v>2024</v>
      </c>
      <c r="C4131" t="s">
        <v>33</v>
      </c>
      <c r="D4131">
        <v>615</v>
      </c>
      <c r="E4131" t="s">
        <v>53</v>
      </c>
      <c r="F4131" t="s">
        <v>54</v>
      </c>
      <c r="G4131" t="s">
        <v>15</v>
      </c>
      <c r="H4131">
        <v>-0.21065579517847369</v>
      </c>
      <c r="I4131">
        <v>3</v>
      </c>
      <c r="J4131" t="s">
        <v>23</v>
      </c>
      <c r="K4131" s="59" t="s">
        <v>4376</v>
      </c>
    </row>
    <row r="4132" spans="1:11" x14ac:dyDescent="0.2">
      <c r="A4132" t="s">
        <v>4171</v>
      </c>
      <c r="B4132">
        <v>2021</v>
      </c>
      <c r="C4132" t="s">
        <v>33</v>
      </c>
      <c r="D4132">
        <v>368</v>
      </c>
      <c r="E4132" t="s">
        <v>38</v>
      </c>
      <c r="F4132" t="s">
        <v>39</v>
      </c>
      <c r="G4132" t="s">
        <v>15</v>
      </c>
      <c r="H4132">
        <v>0.69170955524715882</v>
      </c>
      <c r="I4132">
        <v>3</v>
      </c>
      <c r="J4132" t="s">
        <v>23</v>
      </c>
      <c r="K4132" s="59" t="s">
        <v>17</v>
      </c>
    </row>
    <row r="4133" spans="1:11" x14ac:dyDescent="0.2">
      <c r="A4133" t="s">
        <v>4172</v>
      </c>
      <c r="B4133">
        <v>2024</v>
      </c>
      <c r="C4133" t="s">
        <v>33</v>
      </c>
      <c r="D4133">
        <v>588</v>
      </c>
      <c r="E4133" t="s">
        <v>53</v>
      </c>
      <c r="F4133" t="s">
        <v>54</v>
      </c>
      <c r="G4133" t="s">
        <v>15</v>
      </c>
      <c r="H4133">
        <v>-0.19468476924995909</v>
      </c>
      <c r="I4133">
        <v>3</v>
      </c>
      <c r="J4133" t="s">
        <v>16</v>
      </c>
      <c r="K4133" s="59" t="s">
        <v>23</v>
      </c>
    </row>
    <row r="4134" spans="1:11" x14ac:dyDescent="0.2">
      <c r="A4134" t="s">
        <v>4173</v>
      </c>
      <c r="B4134">
        <v>2024</v>
      </c>
      <c r="C4134" t="s">
        <v>33</v>
      </c>
      <c r="D4134">
        <v>98</v>
      </c>
      <c r="E4134" t="s">
        <v>29</v>
      </c>
      <c r="F4134" t="s">
        <v>30</v>
      </c>
      <c r="G4134" t="s">
        <v>15</v>
      </c>
      <c r="H4134">
        <v>0.7067884464373857</v>
      </c>
      <c r="I4134">
        <v>4</v>
      </c>
      <c r="J4134" t="s">
        <v>16</v>
      </c>
      <c r="K4134" s="59" t="s">
        <v>4376</v>
      </c>
    </row>
    <row r="4135" spans="1:11" x14ac:dyDescent="0.2">
      <c r="A4135" t="s">
        <v>4174</v>
      </c>
      <c r="B4135">
        <v>2024</v>
      </c>
      <c r="C4135" t="s">
        <v>33</v>
      </c>
      <c r="D4135">
        <v>615</v>
      </c>
      <c r="E4135" t="s">
        <v>53</v>
      </c>
      <c r="F4135" t="s">
        <v>54</v>
      </c>
      <c r="G4135" t="s">
        <v>15</v>
      </c>
      <c r="H4135">
        <v>-0.21065579517847369</v>
      </c>
      <c r="I4135">
        <v>3</v>
      </c>
      <c r="J4135" t="s">
        <v>23</v>
      </c>
      <c r="K4135" s="59" t="s">
        <v>4376</v>
      </c>
    </row>
    <row r="4136" spans="1:11" x14ac:dyDescent="0.2">
      <c r="A4136" t="s">
        <v>4175</v>
      </c>
      <c r="B4136">
        <v>2021</v>
      </c>
      <c r="C4136" t="s">
        <v>33</v>
      </c>
      <c r="D4136">
        <v>260</v>
      </c>
      <c r="E4136" t="s">
        <v>29</v>
      </c>
      <c r="F4136" t="s">
        <v>30</v>
      </c>
      <c r="G4136" t="s">
        <v>15</v>
      </c>
      <c r="H4136">
        <v>0.93786382097464049</v>
      </c>
      <c r="I4136">
        <v>4</v>
      </c>
      <c r="J4136" t="s">
        <v>23</v>
      </c>
      <c r="K4136" s="59" t="s">
        <v>4376</v>
      </c>
    </row>
    <row r="4137" spans="1:11" x14ac:dyDescent="0.2">
      <c r="A4137" t="s">
        <v>4176</v>
      </c>
      <c r="B4137">
        <v>2024</v>
      </c>
      <c r="C4137" t="s">
        <v>33</v>
      </c>
      <c r="D4137">
        <v>80</v>
      </c>
      <c r="E4137" t="s">
        <v>20</v>
      </c>
      <c r="F4137" t="s">
        <v>21</v>
      </c>
      <c r="G4137" t="s">
        <v>41</v>
      </c>
      <c r="H4137">
        <v>3.1322661529724391E-2</v>
      </c>
      <c r="I4137">
        <v>3</v>
      </c>
      <c r="J4137" t="s">
        <v>16</v>
      </c>
      <c r="K4137" s="59" t="s">
        <v>23</v>
      </c>
    </row>
    <row r="4138" spans="1:11" x14ac:dyDescent="0.2">
      <c r="A4138" t="s">
        <v>4177</v>
      </c>
      <c r="B4138">
        <v>2024</v>
      </c>
      <c r="C4138" t="s">
        <v>33</v>
      </c>
      <c r="D4138">
        <v>596</v>
      </c>
      <c r="E4138" t="s">
        <v>53</v>
      </c>
      <c r="F4138" t="s">
        <v>54</v>
      </c>
      <c r="G4138" t="s">
        <v>15</v>
      </c>
      <c r="H4138">
        <v>-0.34369613422991568</v>
      </c>
      <c r="I4138">
        <v>3</v>
      </c>
      <c r="J4138" t="s">
        <v>16</v>
      </c>
      <c r="K4138" s="59" t="s">
        <v>17</v>
      </c>
    </row>
    <row r="4139" spans="1:11" x14ac:dyDescent="0.2">
      <c r="A4139" t="s">
        <v>4178</v>
      </c>
      <c r="B4139">
        <v>2021</v>
      </c>
      <c r="C4139" t="s">
        <v>33</v>
      </c>
      <c r="D4139">
        <v>369</v>
      </c>
      <c r="E4139" t="s">
        <v>38</v>
      </c>
      <c r="F4139" t="s">
        <v>39</v>
      </c>
      <c r="G4139" t="s">
        <v>15</v>
      </c>
      <c r="H4139">
        <v>0.69311781731559541</v>
      </c>
      <c r="I4139">
        <v>3</v>
      </c>
      <c r="J4139" t="s">
        <v>23</v>
      </c>
      <c r="K4139" s="59" t="s">
        <v>23</v>
      </c>
    </row>
    <row r="4140" spans="1:11" x14ac:dyDescent="0.2">
      <c r="A4140" t="s">
        <v>4179</v>
      </c>
      <c r="B4140">
        <v>2024</v>
      </c>
      <c r="C4140" t="s">
        <v>33</v>
      </c>
      <c r="D4140">
        <v>617</v>
      </c>
      <c r="E4140" t="s">
        <v>53</v>
      </c>
      <c r="F4140" t="s">
        <v>54</v>
      </c>
      <c r="G4140" t="s">
        <v>15</v>
      </c>
      <c r="H4140">
        <v>-0.12422943301980099</v>
      </c>
      <c r="I4140">
        <v>3</v>
      </c>
      <c r="J4140" t="s">
        <v>16</v>
      </c>
      <c r="K4140" s="59" t="s">
        <v>4376</v>
      </c>
    </row>
    <row r="4141" spans="1:11" x14ac:dyDescent="0.2">
      <c r="A4141" t="s">
        <v>4180</v>
      </c>
      <c r="B4141">
        <v>2024</v>
      </c>
      <c r="C4141" t="s">
        <v>19</v>
      </c>
      <c r="D4141">
        <v>69</v>
      </c>
      <c r="E4141" t="s">
        <v>20</v>
      </c>
      <c r="F4141" t="s">
        <v>21</v>
      </c>
      <c r="G4141" t="s">
        <v>41</v>
      </c>
      <c r="H4141">
        <v>1.8987868903920819</v>
      </c>
      <c r="I4141">
        <v>3</v>
      </c>
      <c r="J4141" t="s">
        <v>17</v>
      </c>
      <c r="K4141" s="59" t="s">
        <v>16</v>
      </c>
    </row>
    <row r="4142" spans="1:11" x14ac:dyDescent="0.2">
      <c r="A4142" t="s">
        <v>4181</v>
      </c>
      <c r="B4142">
        <v>2024</v>
      </c>
      <c r="C4142" t="s">
        <v>33</v>
      </c>
      <c r="D4142">
        <v>615</v>
      </c>
      <c r="E4142" t="s">
        <v>53</v>
      </c>
      <c r="F4142" t="s">
        <v>54</v>
      </c>
      <c r="G4142" t="s">
        <v>15</v>
      </c>
      <c r="H4142">
        <v>-0.21065579517847369</v>
      </c>
      <c r="I4142">
        <v>3</v>
      </c>
      <c r="J4142" t="s">
        <v>23</v>
      </c>
      <c r="K4142" s="59" t="s">
        <v>17</v>
      </c>
    </row>
    <row r="4143" spans="1:11" x14ac:dyDescent="0.2">
      <c r="A4143" t="s">
        <v>4182</v>
      </c>
      <c r="B4143">
        <v>2024</v>
      </c>
      <c r="C4143" t="s">
        <v>33</v>
      </c>
      <c r="D4143">
        <v>615</v>
      </c>
      <c r="E4143" t="s">
        <v>53</v>
      </c>
      <c r="F4143" t="s">
        <v>54</v>
      </c>
      <c r="G4143" t="s">
        <v>15</v>
      </c>
      <c r="H4143">
        <v>-0.21065579517847369</v>
      </c>
      <c r="I4143">
        <v>3</v>
      </c>
      <c r="J4143" t="s">
        <v>23</v>
      </c>
      <c r="K4143" s="59" t="s">
        <v>4376</v>
      </c>
    </row>
    <row r="4144" spans="1:11" x14ac:dyDescent="0.2">
      <c r="A4144" t="s">
        <v>4183</v>
      </c>
      <c r="B4144">
        <v>2024</v>
      </c>
      <c r="C4144" t="s">
        <v>33</v>
      </c>
      <c r="D4144">
        <v>615</v>
      </c>
      <c r="E4144" t="s">
        <v>53</v>
      </c>
      <c r="F4144" t="s">
        <v>54</v>
      </c>
      <c r="G4144" t="s">
        <v>15</v>
      </c>
      <c r="H4144">
        <v>-0.21065579517847369</v>
      </c>
      <c r="I4144">
        <v>3</v>
      </c>
      <c r="J4144" t="s">
        <v>23</v>
      </c>
      <c r="K4144" s="59" t="s">
        <v>4376</v>
      </c>
    </row>
    <row r="4145" spans="1:11" x14ac:dyDescent="0.2">
      <c r="A4145" t="s">
        <v>4184</v>
      </c>
      <c r="B4145">
        <v>2023</v>
      </c>
      <c r="C4145" t="s">
        <v>19</v>
      </c>
      <c r="D4145">
        <v>223</v>
      </c>
      <c r="E4145" t="s">
        <v>25</v>
      </c>
      <c r="F4145" t="s">
        <v>26</v>
      </c>
      <c r="G4145" t="s">
        <v>48</v>
      </c>
      <c r="H4145">
        <v>0.73094840874514788</v>
      </c>
      <c r="I4145">
        <v>2</v>
      </c>
      <c r="J4145" t="s">
        <v>23</v>
      </c>
      <c r="K4145" s="59" t="s">
        <v>16</v>
      </c>
    </row>
    <row r="4146" spans="1:11" x14ac:dyDescent="0.2">
      <c r="A4146" t="s">
        <v>4185</v>
      </c>
      <c r="B4146">
        <v>2022</v>
      </c>
      <c r="C4146" t="s">
        <v>33</v>
      </c>
      <c r="D4146">
        <v>434</v>
      </c>
      <c r="E4146" t="s">
        <v>20</v>
      </c>
      <c r="F4146" t="s">
        <v>21</v>
      </c>
      <c r="G4146" t="s">
        <v>15</v>
      </c>
      <c r="H4146">
        <v>0.38488815008149418</v>
      </c>
      <c r="I4146">
        <v>3</v>
      </c>
      <c r="J4146" t="s">
        <v>23</v>
      </c>
      <c r="K4146" s="59" t="s">
        <v>23</v>
      </c>
    </row>
    <row r="4147" spans="1:11" x14ac:dyDescent="0.2">
      <c r="A4147" t="s">
        <v>4186</v>
      </c>
      <c r="B4147">
        <v>2021</v>
      </c>
      <c r="C4147" t="s">
        <v>12</v>
      </c>
      <c r="D4147">
        <v>367</v>
      </c>
      <c r="E4147" t="s">
        <v>38</v>
      </c>
      <c r="F4147" t="s">
        <v>39</v>
      </c>
      <c r="G4147" t="s">
        <v>15</v>
      </c>
      <c r="H4147">
        <v>0.69029355547504967</v>
      </c>
      <c r="I4147">
        <v>3</v>
      </c>
      <c r="J4147" t="s">
        <v>23</v>
      </c>
      <c r="K4147" s="59" t="s">
        <v>17</v>
      </c>
    </row>
    <row r="4148" spans="1:11" x14ac:dyDescent="0.2">
      <c r="A4148" t="s">
        <v>4187</v>
      </c>
      <c r="B4148">
        <v>2022</v>
      </c>
      <c r="C4148" t="s">
        <v>12</v>
      </c>
      <c r="D4148">
        <v>73</v>
      </c>
      <c r="E4148" t="s">
        <v>13</v>
      </c>
      <c r="F4148" t="s">
        <v>14</v>
      </c>
      <c r="G4148" t="s">
        <v>41</v>
      </c>
      <c r="H4148">
        <v>-2.201013805285343</v>
      </c>
      <c r="I4148">
        <v>4</v>
      </c>
      <c r="J4148" t="s">
        <v>23</v>
      </c>
      <c r="K4148" s="59" t="s">
        <v>17</v>
      </c>
    </row>
    <row r="4149" spans="1:11" x14ac:dyDescent="0.2">
      <c r="A4149" t="s">
        <v>4188</v>
      </c>
      <c r="B4149">
        <v>2021</v>
      </c>
      <c r="C4149" t="s">
        <v>33</v>
      </c>
      <c r="D4149">
        <v>368</v>
      </c>
      <c r="E4149" t="s">
        <v>38</v>
      </c>
      <c r="F4149" t="s">
        <v>39</v>
      </c>
      <c r="G4149" t="s">
        <v>15</v>
      </c>
      <c r="H4149">
        <v>0.82056553450909742</v>
      </c>
      <c r="I4149">
        <v>3</v>
      </c>
      <c r="J4149" t="s">
        <v>23</v>
      </c>
      <c r="K4149" s="59" t="s">
        <v>4376</v>
      </c>
    </row>
    <row r="4150" spans="1:11" x14ac:dyDescent="0.2">
      <c r="A4150" t="s">
        <v>4189</v>
      </c>
      <c r="B4150">
        <v>2023</v>
      </c>
      <c r="C4150" t="s">
        <v>19</v>
      </c>
      <c r="D4150">
        <v>170</v>
      </c>
      <c r="E4150" t="s">
        <v>13</v>
      </c>
      <c r="F4150" t="s">
        <v>14</v>
      </c>
      <c r="G4150" t="s">
        <v>15</v>
      </c>
      <c r="H4150">
        <v>1.7572204013078661</v>
      </c>
      <c r="I4150">
        <v>4</v>
      </c>
      <c r="J4150" t="s">
        <v>23</v>
      </c>
      <c r="K4150" s="59" t="s">
        <v>17</v>
      </c>
    </row>
    <row r="4151" spans="1:11" x14ac:dyDescent="0.2">
      <c r="A4151" t="s">
        <v>4190</v>
      </c>
      <c r="B4151">
        <v>2024</v>
      </c>
      <c r="C4151" t="s">
        <v>19</v>
      </c>
      <c r="D4151">
        <v>127</v>
      </c>
      <c r="E4151" t="s">
        <v>20</v>
      </c>
      <c r="F4151" t="s">
        <v>21</v>
      </c>
      <c r="G4151" t="s">
        <v>41</v>
      </c>
      <c r="H4151">
        <v>1.9596523911846331</v>
      </c>
      <c r="I4151">
        <v>3</v>
      </c>
      <c r="J4151" t="s">
        <v>17</v>
      </c>
      <c r="K4151" s="59" t="s">
        <v>17</v>
      </c>
    </row>
    <row r="4152" spans="1:11" x14ac:dyDescent="0.2">
      <c r="A4152" t="s">
        <v>4191</v>
      </c>
      <c r="B4152">
        <v>2024</v>
      </c>
      <c r="C4152" t="s">
        <v>12</v>
      </c>
      <c r="D4152">
        <v>132</v>
      </c>
      <c r="E4152" t="s">
        <v>25</v>
      </c>
      <c r="F4152" t="s">
        <v>26</v>
      </c>
      <c r="G4152" t="s">
        <v>15</v>
      </c>
      <c r="H4152">
        <v>0.1048108372025487</v>
      </c>
      <c r="I4152">
        <v>2</v>
      </c>
      <c r="J4152" t="s">
        <v>23</v>
      </c>
      <c r="K4152" s="59" t="s">
        <v>4376</v>
      </c>
    </row>
    <row r="4153" spans="1:11" x14ac:dyDescent="0.2">
      <c r="A4153" t="s">
        <v>4192</v>
      </c>
      <c r="B4153">
        <v>2024</v>
      </c>
      <c r="C4153" t="s">
        <v>19</v>
      </c>
      <c r="D4153">
        <v>168</v>
      </c>
      <c r="E4153" t="s">
        <v>13</v>
      </c>
      <c r="F4153" t="s">
        <v>14</v>
      </c>
      <c r="G4153" t="s">
        <v>41</v>
      </c>
      <c r="H4153">
        <v>1.207133472294913</v>
      </c>
      <c r="I4153">
        <v>4</v>
      </c>
      <c r="J4153" t="s">
        <v>17</v>
      </c>
      <c r="K4153" s="59" t="s">
        <v>17</v>
      </c>
    </row>
    <row r="4154" spans="1:11" x14ac:dyDescent="0.2">
      <c r="A4154" t="s">
        <v>4193</v>
      </c>
      <c r="B4154">
        <v>2024</v>
      </c>
      <c r="C4154" t="s">
        <v>19</v>
      </c>
      <c r="D4154">
        <v>266</v>
      </c>
      <c r="E4154" t="s">
        <v>20</v>
      </c>
      <c r="F4154" t="s">
        <v>21</v>
      </c>
      <c r="G4154" t="s">
        <v>48</v>
      </c>
      <c r="H4154">
        <v>0.1217696469732004</v>
      </c>
      <c r="I4154">
        <v>3</v>
      </c>
      <c r="J4154" t="s">
        <v>17</v>
      </c>
      <c r="K4154" s="59" t="s">
        <v>17</v>
      </c>
    </row>
    <row r="4155" spans="1:11" x14ac:dyDescent="0.2">
      <c r="A4155" t="s">
        <v>4194</v>
      </c>
      <c r="B4155">
        <v>2021</v>
      </c>
      <c r="C4155" t="s">
        <v>12</v>
      </c>
      <c r="D4155">
        <v>294</v>
      </c>
      <c r="E4155" t="s">
        <v>38</v>
      </c>
      <c r="F4155" t="s">
        <v>39</v>
      </c>
      <c r="G4155" t="s">
        <v>15</v>
      </c>
      <c r="H4155">
        <v>8.3491741870841948E-2</v>
      </c>
      <c r="I4155">
        <v>3</v>
      </c>
      <c r="J4155" t="s">
        <v>23</v>
      </c>
      <c r="K4155" s="59" t="s">
        <v>16</v>
      </c>
    </row>
    <row r="4156" spans="1:11" x14ac:dyDescent="0.2">
      <c r="A4156" t="s">
        <v>4195</v>
      </c>
      <c r="B4156">
        <v>2024</v>
      </c>
      <c r="C4156" t="s">
        <v>33</v>
      </c>
      <c r="D4156">
        <v>101</v>
      </c>
      <c r="E4156" t="s">
        <v>25</v>
      </c>
      <c r="F4156" t="s">
        <v>26</v>
      </c>
      <c r="G4156" t="s">
        <v>48</v>
      </c>
      <c r="H4156">
        <v>-0.24747783999191811</v>
      </c>
      <c r="I4156">
        <v>2</v>
      </c>
      <c r="J4156" t="s">
        <v>16</v>
      </c>
      <c r="K4156" s="59" t="s">
        <v>4376</v>
      </c>
    </row>
    <row r="4157" spans="1:11" x14ac:dyDescent="0.2">
      <c r="A4157" t="s">
        <v>4196</v>
      </c>
      <c r="B4157">
        <v>2022</v>
      </c>
      <c r="C4157" t="s">
        <v>19</v>
      </c>
      <c r="D4157">
        <v>47</v>
      </c>
      <c r="E4157" t="s">
        <v>25</v>
      </c>
      <c r="F4157" t="s">
        <v>26</v>
      </c>
      <c r="G4157" t="s">
        <v>15</v>
      </c>
      <c r="H4157">
        <v>-2.7956267345653019</v>
      </c>
      <c r="I4157">
        <v>2</v>
      </c>
      <c r="J4157" t="s">
        <v>23</v>
      </c>
      <c r="K4157" s="59" t="s">
        <v>23</v>
      </c>
    </row>
    <row r="4158" spans="1:11" x14ac:dyDescent="0.2">
      <c r="A4158" t="s">
        <v>4197</v>
      </c>
      <c r="B4158">
        <v>2024</v>
      </c>
      <c r="C4158" t="s">
        <v>19</v>
      </c>
      <c r="D4158">
        <v>255</v>
      </c>
      <c r="E4158" t="s">
        <v>13</v>
      </c>
      <c r="F4158" t="s">
        <v>14</v>
      </c>
      <c r="G4158" t="s">
        <v>15</v>
      </c>
      <c r="H4158">
        <v>0.80514687032390808</v>
      </c>
      <c r="I4158">
        <v>4</v>
      </c>
      <c r="J4158" t="s">
        <v>23</v>
      </c>
      <c r="K4158" s="59" t="s">
        <v>17</v>
      </c>
    </row>
    <row r="4159" spans="1:11" x14ac:dyDescent="0.2">
      <c r="A4159" t="s">
        <v>4198</v>
      </c>
      <c r="B4159">
        <v>2021</v>
      </c>
      <c r="C4159" t="s">
        <v>12</v>
      </c>
      <c r="D4159">
        <v>343</v>
      </c>
      <c r="E4159" t="s">
        <v>38</v>
      </c>
      <c r="F4159" t="s">
        <v>39</v>
      </c>
      <c r="G4159" t="s">
        <v>15</v>
      </c>
      <c r="H4159">
        <v>0.79091725609484598</v>
      </c>
      <c r="I4159">
        <v>3</v>
      </c>
      <c r="J4159" t="s">
        <v>23</v>
      </c>
      <c r="K4159" s="59" t="s">
        <v>16</v>
      </c>
    </row>
    <row r="4160" spans="1:11" x14ac:dyDescent="0.2">
      <c r="A4160" t="s">
        <v>4199</v>
      </c>
      <c r="B4160">
        <v>2024</v>
      </c>
      <c r="C4160" t="s">
        <v>19</v>
      </c>
      <c r="D4160">
        <v>617</v>
      </c>
      <c r="E4160" t="s">
        <v>53</v>
      </c>
      <c r="F4160" t="s">
        <v>54</v>
      </c>
      <c r="G4160" t="s">
        <v>15</v>
      </c>
      <c r="H4160">
        <v>-0.12422943301980099</v>
      </c>
      <c r="I4160">
        <v>3</v>
      </c>
      <c r="J4160" t="s">
        <v>16</v>
      </c>
      <c r="K4160" s="59" t="s">
        <v>17</v>
      </c>
    </row>
    <row r="4161" spans="1:11" x14ac:dyDescent="0.2">
      <c r="A4161" t="s">
        <v>4200</v>
      </c>
      <c r="B4161">
        <v>2024</v>
      </c>
      <c r="C4161" t="s">
        <v>33</v>
      </c>
      <c r="D4161">
        <v>598</v>
      </c>
      <c r="E4161" t="s">
        <v>53</v>
      </c>
      <c r="F4161" t="s">
        <v>54</v>
      </c>
      <c r="G4161" t="s">
        <v>15</v>
      </c>
      <c r="H4161">
        <v>-0.340911879999171</v>
      </c>
      <c r="I4161">
        <v>3</v>
      </c>
      <c r="J4161" t="s">
        <v>16</v>
      </c>
      <c r="K4161" s="59" t="s">
        <v>17</v>
      </c>
    </row>
    <row r="4162" spans="1:11" x14ac:dyDescent="0.2">
      <c r="A4162" t="s">
        <v>4201</v>
      </c>
      <c r="B4162">
        <v>2024</v>
      </c>
      <c r="C4162" t="s">
        <v>33</v>
      </c>
      <c r="D4162">
        <v>617</v>
      </c>
      <c r="E4162" t="s">
        <v>53</v>
      </c>
      <c r="F4162" t="s">
        <v>54</v>
      </c>
      <c r="G4162" t="s">
        <v>15</v>
      </c>
      <c r="H4162">
        <v>-0.12422943301980099</v>
      </c>
      <c r="I4162">
        <v>3</v>
      </c>
      <c r="J4162" t="s">
        <v>16</v>
      </c>
      <c r="K4162" s="59" t="s">
        <v>16</v>
      </c>
    </row>
    <row r="4163" spans="1:11" x14ac:dyDescent="0.2">
      <c r="A4163" t="s">
        <v>4202</v>
      </c>
      <c r="B4163">
        <v>2024</v>
      </c>
      <c r="C4163" t="s">
        <v>33</v>
      </c>
      <c r="D4163">
        <v>617</v>
      </c>
      <c r="E4163" t="s">
        <v>53</v>
      </c>
      <c r="F4163" t="s">
        <v>54</v>
      </c>
      <c r="G4163" t="s">
        <v>15</v>
      </c>
      <c r="H4163">
        <v>-0.12422943301980099</v>
      </c>
      <c r="I4163">
        <v>3</v>
      </c>
      <c r="J4163" t="s">
        <v>16</v>
      </c>
      <c r="K4163" s="59" t="s">
        <v>4376</v>
      </c>
    </row>
    <row r="4164" spans="1:11" x14ac:dyDescent="0.2">
      <c r="A4164" t="s">
        <v>4203</v>
      </c>
      <c r="B4164">
        <v>2024</v>
      </c>
      <c r="C4164" t="s">
        <v>33</v>
      </c>
      <c r="D4164">
        <v>596</v>
      </c>
      <c r="E4164" t="s">
        <v>53</v>
      </c>
      <c r="F4164" t="s">
        <v>54</v>
      </c>
      <c r="G4164" t="s">
        <v>15</v>
      </c>
      <c r="H4164">
        <v>-0.34369613422991568</v>
      </c>
      <c r="I4164">
        <v>3</v>
      </c>
      <c r="J4164" t="s">
        <v>16</v>
      </c>
      <c r="K4164" s="59" t="s">
        <v>4376</v>
      </c>
    </row>
    <row r="4165" spans="1:11" x14ac:dyDescent="0.2">
      <c r="A4165" t="s">
        <v>4204</v>
      </c>
      <c r="B4165">
        <v>2022</v>
      </c>
      <c r="C4165" t="s">
        <v>12</v>
      </c>
      <c r="D4165">
        <v>101</v>
      </c>
      <c r="E4165" t="s">
        <v>13</v>
      </c>
      <c r="F4165" t="s">
        <v>14</v>
      </c>
      <c r="G4165" t="s">
        <v>48</v>
      </c>
      <c r="H4165">
        <v>-0.69316682793165418</v>
      </c>
      <c r="I4165">
        <v>4</v>
      </c>
      <c r="J4165" t="s">
        <v>23</v>
      </c>
      <c r="K4165" s="59" t="s">
        <v>23</v>
      </c>
    </row>
    <row r="4166" spans="1:11" x14ac:dyDescent="0.2">
      <c r="A4166" t="s">
        <v>4205</v>
      </c>
      <c r="B4166">
        <v>2021</v>
      </c>
      <c r="C4166" t="s">
        <v>19</v>
      </c>
      <c r="D4166">
        <v>348</v>
      </c>
      <c r="E4166" t="s">
        <v>38</v>
      </c>
      <c r="F4166" t="s">
        <v>39</v>
      </c>
      <c r="G4166" t="s">
        <v>15</v>
      </c>
      <c r="H4166">
        <v>0.86332914166181662</v>
      </c>
      <c r="I4166">
        <v>3</v>
      </c>
      <c r="J4166" t="s">
        <v>23</v>
      </c>
      <c r="K4166" s="59" t="s">
        <v>16</v>
      </c>
    </row>
    <row r="4167" spans="1:11" x14ac:dyDescent="0.2">
      <c r="A4167" t="s">
        <v>4206</v>
      </c>
      <c r="B4167">
        <v>2022</v>
      </c>
      <c r="C4167" t="s">
        <v>33</v>
      </c>
      <c r="D4167">
        <v>111</v>
      </c>
      <c r="E4167" t="s">
        <v>25</v>
      </c>
      <c r="F4167" t="s">
        <v>26</v>
      </c>
      <c r="G4167" t="s">
        <v>80</v>
      </c>
      <c r="H4167">
        <v>-0.48772895763689011</v>
      </c>
      <c r="I4167">
        <v>2</v>
      </c>
      <c r="J4167" t="s">
        <v>17</v>
      </c>
      <c r="K4167" s="59" t="s">
        <v>17</v>
      </c>
    </row>
    <row r="4168" spans="1:11" x14ac:dyDescent="0.2">
      <c r="A4168" t="s">
        <v>4207</v>
      </c>
      <c r="B4168">
        <v>2024</v>
      </c>
      <c r="C4168" t="s">
        <v>33</v>
      </c>
      <c r="D4168">
        <v>114</v>
      </c>
      <c r="E4168" t="s">
        <v>25</v>
      </c>
      <c r="F4168" t="s">
        <v>26</v>
      </c>
      <c r="G4168" t="s">
        <v>15</v>
      </c>
      <c r="H4168">
        <v>-0.13665031143673101</v>
      </c>
      <c r="I4168">
        <v>2</v>
      </c>
      <c r="J4168" t="s">
        <v>16</v>
      </c>
      <c r="K4168" s="59" t="s">
        <v>4376</v>
      </c>
    </row>
    <row r="4169" spans="1:11" x14ac:dyDescent="0.2">
      <c r="A4169" t="s">
        <v>4208</v>
      </c>
      <c r="B4169">
        <v>2024</v>
      </c>
      <c r="C4169" t="s">
        <v>33</v>
      </c>
      <c r="D4169">
        <v>443</v>
      </c>
      <c r="E4169" t="s">
        <v>13</v>
      </c>
      <c r="F4169" t="s">
        <v>14</v>
      </c>
      <c r="G4169" t="s">
        <v>15</v>
      </c>
      <c r="H4169">
        <v>-2.8869848496900312</v>
      </c>
      <c r="I4169">
        <v>4</v>
      </c>
      <c r="J4169" t="s">
        <v>16</v>
      </c>
      <c r="K4169" s="59" t="s">
        <v>4376</v>
      </c>
    </row>
    <row r="4170" spans="1:11" x14ac:dyDescent="0.2">
      <c r="A4170" t="s">
        <v>4209</v>
      </c>
      <c r="B4170">
        <v>2024</v>
      </c>
      <c r="C4170" t="s">
        <v>33</v>
      </c>
      <c r="D4170">
        <v>91</v>
      </c>
      <c r="E4170" t="s">
        <v>20</v>
      </c>
      <c r="F4170" t="s">
        <v>21</v>
      </c>
      <c r="G4170" t="s">
        <v>36</v>
      </c>
      <c r="H4170">
        <v>-0.45283473113829409</v>
      </c>
      <c r="I4170">
        <v>3</v>
      </c>
      <c r="J4170" t="s">
        <v>16</v>
      </c>
      <c r="K4170" s="59" t="s">
        <v>4376</v>
      </c>
    </row>
    <row r="4171" spans="1:11" x14ac:dyDescent="0.2">
      <c r="A4171" t="s">
        <v>4210</v>
      </c>
      <c r="B4171">
        <v>2024</v>
      </c>
      <c r="C4171" t="s">
        <v>19</v>
      </c>
      <c r="D4171">
        <v>151</v>
      </c>
      <c r="E4171" t="s">
        <v>20</v>
      </c>
      <c r="F4171" t="s">
        <v>21</v>
      </c>
      <c r="G4171" t="s">
        <v>41</v>
      </c>
      <c r="H4171">
        <v>1.8300795972036219</v>
      </c>
      <c r="I4171">
        <v>3</v>
      </c>
      <c r="J4171" t="s">
        <v>23</v>
      </c>
      <c r="K4171" s="59" t="s">
        <v>23</v>
      </c>
    </row>
    <row r="4172" spans="1:11" x14ac:dyDescent="0.2">
      <c r="A4172" t="s">
        <v>4211</v>
      </c>
      <c r="B4172">
        <v>2022</v>
      </c>
      <c r="C4172" t="s">
        <v>19</v>
      </c>
      <c r="D4172">
        <v>147</v>
      </c>
      <c r="E4172" t="s">
        <v>20</v>
      </c>
      <c r="F4172" t="s">
        <v>21</v>
      </c>
      <c r="G4172" t="s">
        <v>48</v>
      </c>
      <c r="H4172">
        <v>1.5270819922310179</v>
      </c>
      <c r="I4172">
        <v>3</v>
      </c>
      <c r="J4172" t="s">
        <v>23</v>
      </c>
      <c r="K4172" s="59" t="s">
        <v>16</v>
      </c>
    </row>
    <row r="4173" spans="1:11" x14ac:dyDescent="0.2">
      <c r="A4173" t="s">
        <v>4212</v>
      </c>
      <c r="B4173">
        <v>2022</v>
      </c>
      <c r="C4173" t="s">
        <v>19</v>
      </c>
      <c r="D4173">
        <v>496</v>
      </c>
      <c r="E4173" t="s">
        <v>20</v>
      </c>
      <c r="F4173" t="s">
        <v>21</v>
      </c>
      <c r="G4173" t="s">
        <v>15</v>
      </c>
      <c r="H4173">
        <v>0.43862967440916872</v>
      </c>
      <c r="I4173">
        <v>3</v>
      </c>
      <c r="J4173" t="s">
        <v>23</v>
      </c>
      <c r="K4173" s="59" t="s">
        <v>16</v>
      </c>
    </row>
    <row r="4174" spans="1:11" x14ac:dyDescent="0.2">
      <c r="A4174" t="s">
        <v>4213</v>
      </c>
      <c r="B4174">
        <v>2024</v>
      </c>
      <c r="C4174" t="s">
        <v>33</v>
      </c>
      <c r="D4174">
        <v>77</v>
      </c>
      <c r="E4174" t="s">
        <v>25</v>
      </c>
      <c r="F4174" t="s">
        <v>26</v>
      </c>
      <c r="G4174" t="s">
        <v>15</v>
      </c>
      <c r="H4174">
        <v>1.8179442830820229</v>
      </c>
      <c r="I4174">
        <v>2</v>
      </c>
      <c r="J4174" t="s">
        <v>16</v>
      </c>
      <c r="K4174" s="59" t="s">
        <v>17</v>
      </c>
    </row>
    <row r="4175" spans="1:11" x14ac:dyDescent="0.2">
      <c r="A4175" t="s">
        <v>4214</v>
      </c>
      <c r="B4175">
        <v>2022</v>
      </c>
      <c r="C4175" t="s">
        <v>19</v>
      </c>
      <c r="D4175">
        <v>35</v>
      </c>
      <c r="E4175" t="s">
        <v>20</v>
      </c>
      <c r="F4175" t="s">
        <v>21</v>
      </c>
      <c r="G4175" t="s">
        <v>15</v>
      </c>
      <c r="H4175">
        <v>-2.942787036288105</v>
      </c>
      <c r="I4175">
        <v>3</v>
      </c>
      <c r="J4175" t="s">
        <v>16</v>
      </c>
      <c r="K4175" s="59" t="s">
        <v>23</v>
      </c>
    </row>
    <row r="4176" spans="1:11" x14ac:dyDescent="0.2">
      <c r="A4176" t="s">
        <v>4215</v>
      </c>
      <c r="B4176">
        <v>2024</v>
      </c>
      <c r="C4176" t="s">
        <v>33</v>
      </c>
      <c r="D4176">
        <v>54</v>
      </c>
      <c r="E4176" t="s">
        <v>13</v>
      </c>
      <c r="F4176" t="s">
        <v>14</v>
      </c>
      <c r="G4176" t="s">
        <v>48</v>
      </c>
      <c r="H4176">
        <v>-1.506276091009368</v>
      </c>
      <c r="I4176">
        <v>4</v>
      </c>
      <c r="J4176" t="s">
        <v>23</v>
      </c>
      <c r="K4176" s="59" t="s">
        <v>4376</v>
      </c>
    </row>
    <row r="4177" spans="1:11" x14ac:dyDescent="0.2">
      <c r="A4177" t="s">
        <v>4216</v>
      </c>
      <c r="B4177">
        <v>2024</v>
      </c>
      <c r="C4177" t="s">
        <v>33</v>
      </c>
      <c r="D4177">
        <v>352</v>
      </c>
      <c r="E4177" t="s">
        <v>13</v>
      </c>
      <c r="F4177" t="s">
        <v>14</v>
      </c>
      <c r="G4177" t="s">
        <v>48</v>
      </c>
      <c r="H4177">
        <v>-0.36989088928364339</v>
      </c>
      <c r="I4177">
        <v>4</v>
      </c>
      <c r="J4177" t="s">
        <v>17</v>
      </c>
      <c r="K4177" s="59" t="s">
        <v>4376</v>
      </c>
    </row>
    <row r="4178" spans="1:11" x14ac:dyDescent="0.2">
      <c r="A4178" t="s">
        <v>4217</v>
      </c>
      <c r="B4178">
        <v>2024</v>
      </c>
      <c r="C4178" t="s">
        <v>19</v>
      </c>
      <c r="D4178">
        <v>617</v>
      </c>
      <c r="E4178" t="s">
        <v>53</v>
      </c>
      <c r="F4178" t="s">
        <v>54</v>
      </c>
      <c r="G4178" t="s">
        <v>15</v>
      </c>
      <c r="H4178">
        <v>-0.12422943301980099</v>
      </c>
      <c r="I4178">
        <v>3</v>
      </c>
      <c r="J4178" t="s">
        <v>16</v>
      </c>
      <c r="K4178" s="59" t="s">
        <v>17</v>
      </c>
    </row>
    <row r="4179" spans="1:11" x14ac:dyDescent="0.2">
      <c r="A4179" t="s">
        <v>4218</v>
      </c>
      <c r="B4179">
        <v>2024</v>
      </c>
      <c r="C4179" t="s">
        <v>19</v>
      </c>
      <c r="D4179">
        <v>596</v>
      </c>
      <c r="E4179" t="s">
        <v>53</v>
      </c>
      <c r="F4179" t="s">
        <v>54</v>
      </c>
      <c r="G4179" t="s">
        <v>15</v>
      </c>
      <c r="H4179">
        <v>-0.34369613422991568</v>
      </c>
      <c r="I4179">
        <v>3</v>
      </c>
      <c r="J4179" t="s">
        <v>16</v>
      </c>
      <c r="K4179" s="59" t="s">
        <v>16</v>
      </c>
    </row>
    <row r="4180" spans="1:11" x14ac:dyDescent="0.2">
      <c r="A4180" t="s">
        <v>4219</v>
      </c>
      <c r="B4180">
        <v>2024</v>
      </c>
      <c r="C4180" t="s">
        <v>33</v>
      </c>
      <c r="D4180">
        <v>173</v>
      </c>
      <c r="E4180" t="s">
        <v>20</v>
      </c>
      <c r="F4180" t="s">
        <v>21</v>
      </c>
      <c r="G4180" t="s">
        <v>15</v>
      </c>
      <c r="H4180">
        <v>0.34678409856428721</v>
      </c>
      <c r="I4180">
        <v>3</v>
      </c>
      <c r="J4180" t="s">
        <v>23</v>
      </c>
      <c r="K4180" s="59" t="s">
        <v>16</v>
      </c>
    </row>
    <row r="4181" spans="1:11" x14ac:dyDescent="0.2">
      <c r="A4181" t="s">
        <v>4220</v>
      </c>
      <c r="B4181">
        <v>2024</v>
      </c>
      <c r="C4181" t="s">
        <v>33</v>
      </c>
      <c r="D4181">
        <v>617</v>
      </c>
      <c r="E4181" t="s">
        <v>53</v>
      </c>
      <c r="F4181" t="s">
        <v>54</v>
      </c>
      <c r="G4181" t="s">
        <v>15</v>
      </c>
      <c r="H4181">
        <v>-0.12422943301980099</v>
      </c>
      <c r="I4181">
        <v>3</v>
      </c>
      <c r="J4181" t="s">
        <v>16</v>
      </c>
      <c r="K4181" s="59" t="s">
        <v>16</v>
      </c>
    </row>
    <row r="4182" spans="1:11" x14ac:dyDescent="0.2">
      <c r="A4182" t="s">
        <v>4221</v>
      </c>
      <c r="B4182">
        <v>2024</v>
      </c>
      <c r="C4182" t="s">
        <v>33</v>
      </c>
      <c r="D4182">
        <v>617</v>
      </c>
      <c r="E4182" t="s">
        <v>53</v>
      </c>
      <c r="F4182" t="s">
        <v>54</v>
      </c>
      <c r="G4182" t="s">
        <v>15</v>
      </c>
      <c r="H4182">
        <v>-0.12422943301980099</v>
      </c>
      <c r="I4182">
        <v>3</v>
      </c>
      <c r="J4182" t="s">
        <v>16</v>
      </c>
      <c r="K4182" s="59" t="s">
        <v>16</v>
      </c>
    </row>
    <row r="4183" spans="1:11" x14ac:dyDescent="0.2">
      <c r="A4183" t="s">
        <v>4222</v>
      </c>
      <c r="B4183">
        <v>2024</v>
      </c>
      <c r="C4183" t="s">
        <v>33</v>
      </c>
      <c r="D4183">
        <v>336</v>
      </c>
      <c r="E4183" t="s">
        <v>13</v>
      </c>
      <c r="F4183" t="s">
        <v>14</v>
      </c>
      <c r="G4183" t="s">
        <v>48</v>
      </c>
      <c r="H4183">
        <v>0.18468928902083601</v>
      </c>
      <c r="I4183">
        <v>4</v>
      </c>
      <c r="J4183" t="s">
        <v>17</v>
      </c>
      <c r="K4183" s="59" t="s">
        <v>4376</v>
      </c>
    </row>
    <row r="4184" spans="1:11" x14ac:dyDescent="0.2">
      <c r="A4184" t="s">
        <v>4223</v>
      </c>
      <c r="B4184">
        <v>2024</v>
      </c>
      <c r="C4184" t="s">
        <v>33</v>
      </c>
      <c r="D4184">
        <v>596</v>
      </c>
      <c r="E4184" t="s">
        <v>53</v>
      </c>
      <c r="F4184" t="s">
        <v>54</v>
      </c>
      <c r="G4184" t="s">
        <v>15</v>
      </c>
      <c r="H4184">
        <v>-0.34369613422991568</v>
      </c>
      <c r="I4184">
        <v>3</v>
      </c>
      <c r="J4184" t="s">
        <v>16</v>
      </c>
      <c r="K4184" s="59" t="s">
        <v>23</v>
      </c>
    </row>
    <row r="4185" spans="1:11" x14ac:dyDescent="0.2">
      <c r="A4185" t="s">
        <v>4224</v>
      </c>
      <c r="B4185">
        <v>2024</v>
      </c>
      <c r="C4185" t="s">
        <v>33</v>
      </c>
      <c r="D4185">
        <v>556</v>
      </c>
      <c r="E4185" t="s">
        <v>53</v>
      </c>
      <c r="F4185" t="s">
        <v>54</v>
      </c>
      <c r="G4185" t="s">
        <v>15</v>
      </c>
      <c r="H4185">
        <v>-0.35460757904071438</v>
      </c>
      <c r="I4185">
        <v>3</v>
      </c>
      <c r="J4185" t="s">
        <v>16</v>
      </c>
      <c r="K4185" s="59" t="s">
        <v>16</v>
      </c>
    </row>
    <row r="4186" spans="1:11" x14ac:dyDescent="0.2">
      <c r="A4186" t="s">
        <v>4225</v>
      </c>
      <c r="B4186">
        <v>2024</v>
      </c>
      <c r="C4186" t="s">
        <v>19</v>
      </c>
      <c r="D4186">
        <v>183</v>
      </c>
      <c r="E4186" t="s">
        <v>13</v>
      </c>
      <c r="F4186" t="s">
        <v>14</v>
      </c>
      <c r="G4186" t="s">
        <v>15</v>
      </c>
      <c r="H4186">
        <v>-0.87164807159934254</v>
      </c>
      <c r="I4186">
        <v>4</v>
      </c>
      <c r="J4186" t="s">
        <v>23</v>
      </c>
      <c r="K4186" s="59" t="s">
        <v>17</v>
      </c>
    </row>
    <row r="4187" spans="1:11" x14ac:dyDescent="0.2">
      <c r="A4187" t="s">
        <v>4226</v>
      </c>
      <c r="B4187">
        <v>2024</v>
      </c>
      <c r="C4187" t="s">
        <v>33</v>
      </c>
      <c r="D4187">
        <v>334</v>
      </c>
      <c r="E4187" t="s">
        <v>13</v>
      </c>
      <c r="F4187" t="s">
        <v>14</v>
      </c>
      <c r="G4187" t="s">
        <v>48</v>
      </c>
      <c r="H4187">
        <v>0.178299012875373</v>
      </c>
      <c r="I4187">
        <v>4</v>
      </c>
      <c r="J4187" t="s">
        <v>17</v>
      </c>
      <c r="K4187" s="59" t="s">
        <v>4376</v>
      </c>
    </row>
    <row r="4188" spans="1:11" x14ac:dyDescent="0.2">
      <c r="A4188" t="s">
        <v>4227</v>
      </c>
      <c r="B4188">
        <v>2024</v>
      </c>
      <c r="C4188" t="s">
        <v>33</v>
      </c>
      <c r="D4188">
        <v>55</v>
      </c>
      <c r="E4188" t="s">
        <v>20</v>
      </c>
      <c r="F4188" t="s">
        <v>21</v>
      </c>
      <c r="G4188" t="s">
        <v>15</v>
      </c>
      <c r="H4188">
        <v>0.11335597390869109</v>
      </c>
      <c r="I4188">
        <v>3</v>
      </c>
      <c r="J4188" t="s">
        <v>23</v>
      </c>
      <c r="K4188" s="59" t="s">
        <v>17</v>
      </c>
    </row>
    <row r="4189" spans="1:11" x14ac:dyDescent="0.2">
      <c r="A4189" t="s">
        <v>4228</v>
      </c>
      <c r="B4189">
        <v>2022</v>
      </c>
      <c r="C4189" t="s">
        <v>19</v>
      </c>
      <c r="D4189">
        <v>153</v>
      </c>
      <c r="E4189" t="s">
        <v>20</v>
      </c>
      <c r="F4189" t="s">
        <v>21</v>
      </c>
      <c r="G4189" t="s">
        <v>15</v>
      </c>
      <c r="H4189">
        <v>-7.266060744950982E-2</v>
      </c>
      <c r="I4189">
        <v>3</v>
      </c>
      <c r="J4189" t="s">
        <v>23</v>
      </c>
      <c r="K4189" s="59" t="s">
        <v>17</v>
      </c>
    </row>
    <row r="4190" spans="1:11" x14ac:dyDescent="0.2">
      <c r="A4190" t="s">
        <v>4229</v>
      </c>
      <c r="B4190">
        <v>2022</v>
      </c>
      <c r="C4190" t="s">
        <v>33</v>
      </c>
      <c r="D4190">
        <v>352</v>
      </c>
      <c r="E4190" t="s">
        <v>20</v>
      </c>
      <c r="F4190" t="s">
        <v>21</v>
      </c>
      <c r="G4190" t="s">
        <v>48</v>
      </c>
      <c r="H4190">
        <v>0.11335597390869109</v>
      </c>
      <c r="I4190">
        <v>3</v>
      </c>
      <c r="J4190" t="s">
        <v>23</v>
      </c>
      <c r="K4190" s="59" t="s">
        <v>4376</v>
      </c>
    </row>
    <row r="4191" spans="1:11" x14ac:dyDescent="0.2">
      <c r="A4191" t="s">
        <v>4230</v>
      </c>
      <c r="B4191">
        <v>2022</v>
      </c>
      <c r="C4191" t="s">
        <v>12</v>
      </c>
      <c r="D4191">
        <v>344</v>
      </c>
      <c r="E4191" t="s">
        <v>13</v>
      </c>
      <c r="F4191" t="s">
        <v>14</v>
      </c>
      <c r="G4191" t="s">
        <v>22</v>
      </c>
      <c r="H4191">
        <v>0.36453289129054323</v>
      </c>
      <c r="I4191">
        <v>4</v>
      </c>
      <c r="J4191" t="s">
        <v>23</v>
      </c>
      <c r="K4191" s="59" t="s">
        <v>17</v>
      </c>
    </row>
    <row r="4192" spans="1:11" x14ac:dyDescent="0.2">
      <c r="A4192" t="s">
        <v>4231</v>
      </c>
      <c r="B4192">
        <v>2024</v>
      </c>
      <c r="C4192" t="s">
        <v>12</v>
      </c>
      <c r="D4192">
        <v>174</v>
      </c>
      <c r="E4192" t="s">
        <v>25</v>
      </c>
      <c r="F4192" t="s">
        <v>26</v>
      </c>
      <c r="G4192" t="s">
        <v>48</v>
      </c>
      <c r="H4192">
        <v>1.4789972435701011</v>
      </c>
      <c r="I4192">
        <v>2</v>
      </c>
      <c r="J4192" t="s">
        <v>23</v>
      </c>
      <c r="K4192" s="59" t="s">
        <v>23</v>
      </c>
    </row>
    <row r="4193" spans="1:11" x14ac:dyDescent="0.2">
      <c r="A4193" t="s">
        <v>4232</v>
      </c>
      <c r="B4193">
        <v>2024</v>
      </c>
      <c r="C4193" t="s">
        <v>33</v>
      </c>
      <c r="D4193">
        <v>129</v>
      </c>
      <c r="E4193" t="s">
        <v>20</v>
      </c>
      <c r="F4193" t="s">
        <v>21</v>
      </c>
      <c r="G4193" t="s">
        <v>41</v>
      </c>
      <c r="H4193">
        <v>0.82475597285907909</v>
      </c>
      <c r="I4193">
        <v>3</v>
      </c>
      <c r="J4193" t="s">
        <v>16</v>
      </c>
      <c r="K4193" s="59" t="s">
        <v>4376</v>
      </c>
    </row>
    <row r="4194" spans="1:11" x14ac:dyDescent="0.2">
      <c r="A4194" t="s">
        <v>4233</v>
      </c>
      <c r="B4194">
        <v>2024</v>
      </c>
      <c r="C4194" t="s">
        <v>19</v>
      </c>
      <c r="D4194">
        <v>193</v>
      </c>
      <c r="E4194" t="s">
        <v>20</v>
      </c>
      <c r="F4194" t="s">
        <v>21</v>
      </c>
      <c r="G4194" t="s">
        <v>15</v>
      </c>
      <c r="H4194">
        <v>0.40997360058970028</v>
      </c>
      <c r="I4194">
        <v>3</v>
      </c>
      <c r="J4194" t="s">
        <v>23</v>
      </c>
      <c r="K4194" s="59" t="s">
        <v>17</v>
      </c>
    </row>
    <row r="4195" spans="1:11" x14ac:dyDescent="0.2">
      <c r="A4195" t="s">
        <v>4234</v>
      </c>
      <c r="B4195">
        <v>2024</v>
      </c>
      <c r="C4195" t="s">
        <v>33</v>
      </c>
      <c r="D4195">
        <v>78</v>
      </c>
      <c r="E4195" t="s">
        <v>20</v>
      </c>
      <c r="F4195" t="s">
        <v>21</v>
      </c>
      <c r="G4195" t="s">
        <v>15</v>
      </c>
      <c r="H4195">
        <v>1.207133472294913</v>
      </c>
      <c r="I4195">
        <v>3</v>
      </c>
      <c r="J4195" t="s">
        <v>23</v>
      </c>
      <c r="K4195" s="59" t="s">
        <v>4376</v>
      </c>
    </row>
    <row r="4196" spans="1:11" x14ac:dyDescent="0.2">
      <c r="A4196" t="s">
        <v>4235</v>
      </c>
      <c r="B4196">
        <v>2024</v>
      </c>
      <c r="C4196" t="s">
        <v>33</v>
      </c>
      <c r="D4196">
        <v>596</v>
      </c>
      <c r="E4196" t="s">
        <v>53</v>
      </c>
      <c r="F4196" t="s">
        <v>54</v>
      </c>
      <c r="G4196" t="s">
        <v>15</v>
      </c>
      <c r="H4196">
        <v>-0.34369613422991568</v>
      </c>
      <c r="I4196">
        <v>3</v>
      </c>
      <c r="J4196" t="s">
        <v>16</v>
      </c>
      <c r="K4196" s="59" t="s">
        <v>16</v>
      </c>
    </row>
    <row r="4197" spans="1:11" x14ac:dyDescent="0.2">
      <c r="A4197" t="s">
        <v>4236</v>
      </c>
      <c r="B4197">
        <v>2024</v>
      </c>
      <c r="C4197" t="s">
        <v>19</v>
      </c>
      <c r="D4197">
        <v>617</v>
      </c>
      <c r="E4197" t="s">
        <v>53</v>
      </c>
      <c r="F4197" t="s">
        <v>54</v>
      </c>
      <c r="G4197" t="s">
        <v>15</v>
      </c>
      <c r="H4197">
        <v>-0.12422943301980099</v>
      </c>
      <c r="I4197">
        <v>3</v>
      </c>
      <c r="J4197" t="s">
        <v>16</v>
      </c>
      <c r="K4197" s="59" t="s">
        <v>17</v>
      </c>
    </row>
    <row r="4198" spans="1:11" x14ac:dyDescent="0.2">
      <c r="A4198" t="s">
        <v>4237</v>
      </c>
      <c r="B4198">
        <v>2024</v>
      </c>
      <c r="C4198" t="s">
        <v>19</v>
      </c>
      <c r="D4198">
        <v>74</v>
      </c>
      <c r="E4198" t="s">
        <v>20</v>
      </c>
      <c r="F4198" t="s">
        <v>21</v>
      </c>
      <c r="G4198" t="s">
        <v>15</v>
      </c>
      <c r="H4198">
        <v>2.461331670444447</v>
      </c>
      <c r="I4198">
        <v>3</v>
      </c>
      <c r="J4198" t="s">
        <v>23</v>
      </c>
      <c r="K4198" s="59" t="s">
        <v>23</v>
      </c>
    </row>
    <row r="4199" spans="1:11" x14ac:dyDescent="0.2">
      <c r="A4199" t="s">
        <v>4238</v>
      </c>
      <c r="B4199">
        <v>2022</v>
      </c>
      <c r="C4199" t="s">
        <v>12</v>
      </c>
      <c r="D4199">
        <v>232</v>
      </c>
      <c r="E4199" t="s">
        <v>25</v>
      </c>
      <c r="F4199" t="s">
        <v>26</v>
      </c>
      <c r="G4199" t="s">
        <v>15</v>
      </c>
      <c r="H4199">
        <v>-0.23053913475422569</v>
      </c>
      <c r="I4199">
        <v>2</v>
      </c>
      <c r="J4199" t="s">
        <v>23</v>
      </c>
      <c r="K4199" s="59" t="s">
        <v>17</v>
      </c>
    </row>
    <row r="4200" spans="1:11" x14ac:dyDescent="0.2">
      <c r="A4200" t="s">
        <v>4239</v>
      </c>
      <c r="B4200">
        <v>2021</v>
      </c>
      <c r="C4200" t="s">
        <v>33</v>
      </c>
      <c r="D4200">
        <v>382</v>
      </c>
      <c r="E4200" t="s">
        <v>29</v>
      </c>
      <c r="F4200" t="s">
        <v>30</v>
      </c>
      <c r="G4200" t="s">
        <v>15</v>
      </c>
      <c r="H4200">
        <v>-0.1911280323988247</v>
      </c>
      <c r="I4200">
        <v>4</v>
      </c>
      <c r="J4200" t="s">
        <v>17</v>
      </c>
      <c r="K4200" s="59" t="s">
        <v>4376</v>
      </c>
    </row>
    <row r="4201" spans="1:11" x14ac:dyDescent="0.2">
      <c r="A4201" t="s">
        <v>4240</v>
      </c>
      <c r="B4201">
        <v>2023</v>
      </c>
      <c r="C4201" t="s">
        <v>33</v>
      </c>
      <c r="D4201">
        <v>92</v>
      </c>
      <c r="E4201" t="s">
        <v>20</v>
      </c>
      <c r="F4201" t="s">
        <v>21</v>
      </c>
      <c r="G4201" t="s">
        <v>48</v>
      </c>
      <c r="H4201">
        <v>-0.86022619498453923</v>
      </c>
      <c r="I4201">
        <v>3</v>
      </c>
      <c r="J4201" t="s">
        <v>23</v>
      </c>
      <c r="K4201" s="59" t="s">
        <v>17</v>
      </c>
    </row>
    <row r="4202" spans="1:11" x14ac:dyDescent="0.2">
      <c r="A4202" t="s">
        <v>4241</v>
      </c>
      <c r="B4202">
        <v>2022</v>
      </c>
      <c r="C4202" t="s">
        <v>33</v>
      </c>
      <c r="D4202">
        <v>353</v>
      </c>
      <c r="E4202" t="s">
        <v>53</v>
      </c>
      <c r="F4202" t="s">
        <v>54</v>
      </c>
      <c r="G4202" t="s">
        <v>15</v>
      </c>
      <c r="H4202">
        <v>0.46280219742872031</v>
      </c>
      <c r="I4202">
        <v>3</v>
      </c>
      <c r="J4202" t="s">
        <v>16</v>
      </c>
      <c r="K4202" s="59" t="s">
        <v>17</v>
      </c>
    </row>
    <row r="4203" spans="1:11" x14ac:dyDescent="0.2">
      <c r="A4203" t="s">
        <v>4242</v>
      </c>
      <c r="B4203">
        <v>2024</v>
      </c>
      <c r="C4203" t="s">
        <v>33</v>
      </c>
      <c r="D4203">
        <v>596</v>
      </c>
      <c r="E4203" t="s">
        <v>53</v>
      </c>
      <c r="F4203" t="s">
        <v>54</v>
      </c>
      <c r="G4203" t="s">
        <v>15</v>
      </c>
      <c r="H4203">
        <v>-0.34369613422991568</v>
      </c>
      <c r="I4203">
        <v>3</v>
      </c>
      <c r="J4203" t="s">
        <v>16</v>
      </c>
      <c r="K4203" s="59" t="s">
        <v>23</v>
      </c>
    </row>
    <row r="4204" spans="1:11" x14ac:dyDescent="0.2">
      <c r="A4204" t="s">
        <v>4243</v>
      </c>
      <c r="B4204">
        <v>2024</v>
      </c>
      <c r="C4204" t="s">
        <v>19</v>
      </c>
      <c r="D4204">
        <v>617</v>
      </c>
      <c r="E4204" t="s">
        <v>53</v>
      </c>
      <c r="F4204" t="s">
        <v>54</v>
      </c>
      <c r="G4204" t="s">
        <v>15</v>
      </c>
      <c r="H4204">
        <v>-0.12422943301980099</v>
      </c>
      <c r="I4204">
        <v>3</v>
      </c>
      <c r="J4204" t="s">
        <v>16</v>
      </c>
      <c r="K4204" s="59" t="s">
        <v>23</v>
      </c>
    </row>
    <row r="4205" spans="1:11" x14ac:dyDescent="0.2">
      <c r="A4205" t="s">
        <v>4244</v>
      </c>
      <c r="B4205">
        <v>2023</v>
      </c>
      <c r="C4205" t="s">
        <v>33</v>
      </c>
      <c r="D4205">
        <v>59</v>
      </c>
      <c r="E4205" t="s">
        <v>25</v>
      </c>
      <c r="F4205" t="s">
        <v>26</v>
      </c>
      <c r="G4205" t="s">
        <v>15</v>
      </c>
      <c r="H4205">
        <v>-0.47259625736964178</v>
      </c>
      <c r="I4205">
        <v>2</v>
      </c>
      <c r="J4205" t="s">
        <v>23</v>
      </c>
      <c r="K4205" s="59" t="s">
        <v>17</v>
      </c>
    </row>
    <row r="4206" spans="1:11" x14ac:dyDescent="0.2">
      <c r="A4206" t="s">
        <v>4245</v>
      </c>
      <c r="B4206">
        <v>2021</v>
      </c>
      <c r="C4206" t="s">
        <v>33</v>
      </c>
      <c r="D4206">
        <v>285</v>
      </c>
      <c r="E4206" t="s">
        <v>20</v>
      </c>
      <c r="F4206" t="s">
        <v>21</v>
      </c>
      <c r="G4206" t="s">
        <v>80</v>
      </c>
      <c r="H4206">
        <v>0.25959362479183051</v>
      </c>
      <c r="I4206">
        <v>3</v>
      </c>
      <c r="J4206" t="s">
        <v>23</v>
      </c>
      <c r="K4206" s="59" t="s">
        <v>4376</v>
      </c>
    </row>
    <row r="4207" spans="1:11" x14ac:dyDescent="0.2">
      <c r="A4207" t="s">
        <v>4246</v>
      </c>
      <c r="B4207">
        <v>2023</v>
      </c>
      <c r="C4207" t="s">
        <v>19</v>
      </c>
      <c r="D4207">
        <v>88</v>
      </c>
      <c r="E4207" t="s">
        <v>20</v>
      </c>
      <c r="F4207" t="s">
        <v>21</v>
      </c>
      <c r="G4207" t="s">
        <v>15</v>
      </c>
      <c r="H4207">
        <v>0.66024472310180182</v>
      </c>
      <c r="I4207">
        <v>3</v>
      </c>
      <c r="J4207" t="s">
        <v>23</v>
      </c>
      <c r="K4207" s="59" t="s">
        <v>17</v>
      </c>
    </row>
    <row r="4208" spans="1:11" x14ac:dyDescent="0.2">
      <c r="A4208" t="s">
        <v>4247</v>
      </c>
      <c r="B4208">
        <v>2024</v>
      </c>
      <c r="C4208" t="s">
        <v>19</v>
      </c>
      <c r="D4208">
        <v>66</v>
      </c>
      <c r="E4208" t="s">
        <v>20</v>
      </c>
      <c r="F4208" t="s">
        <v>21</v>
      </c>
      <c r="G4208" t="s">
        <v>15</v>
      </c>
      <c r="H4208">
        <v>-0.9635941783485118</v>
      </c>
      <c r="I4208">
        <v>3</v>
      </c>
      <c r="J4208" t="s">
        <v>23</v>
      </c>
      <c r="K4208" s="59" t="s">
        <v>17</v>
      </c>
    </row>
    <row r="4209" spans="1:11" x14ac:dyDescent="0.2">
      <c r="A4209" t="s">
        <v>4248</v>
      </c>
      <c r="B4209">
        <v>2022</v>
      </c>
      <c r="C4209" t="s">
        <v>12</v>
      </c>
      <c r="D4209">
        <v>41</v>
      </c>
      <c r="E4209" t="s">
        <v>13</v>
      </c>
      <c r="F4209" t="s">
        <v>14</v>
      </c>
      <c r="G4209" t="s">
        <v>15</v>
      </c>
      <c r="H4209">
        <v>-1.2047861395311139</v>
      </c>
      <c r="I4209">
        <v>4</v>
      </c>
      <c r="J4209" t="s">
        <v>23</v>
      </c>
      <c r="K4209" s="59" t="s">
        <v>23</v>
      </c>
    </row>
    <row r="4210" spans="1:11" x14ac:dyDescent="0.2">
      <c r="A4210" t="s">
        <v>4249</v>
      </c>
      <c r="B4210">
        <v>2024</v>
      </c>
      <c r="C4210" t="s">
        <v>33</v>
      </c>
      <c r="D4210">
        <v>176</v>
      </c>
      <c r="E4210" t="s">
        <v>29</v>
      </c>
      <c r="F4210" t="s">
        <v>30</v>
      </c>
      <c r="G4210" t="s">
        <v>15</v>
      </c>
      <c r="H4210">
        <v>0.38200307877548229</v>
      </c>
      <c r="I4210">
        <v>4</v>
      </c>
      <c r="J4210" t="s">
        <v>17</v>
      </c>
      <c r="K4210" s="59" t="s">
        <v>4376</v>
      </c>
    </row>
    <row r="4211" spans="1:11" x14ac:dyDescent="0.2">
      <c r="A4211" t="s">
        <v>4250</v>
      </c>
      <c r="B4211">
        <v>2024</v>
      </c>
      <c r="C4211" t="s">
        <v>33</v>
      </c>
      <c r="D4211">
        <v>598</v>
      </c>
      <c r="E4211" t="s">
        <v>53</v>
      </c>
      <c r="F4211" t="s">
        <v>54</v>
      </c>
      <c r="G4211" t="s">
        <v>15</v>
      </c>
      <c r="H4211">
        <v>-0.340911879999171</v>
      </c>
      <c r="I4211">
        <v>3</v>
      </c>
      <c r="J4211" t="s">
        <v>16</v>
      </c>
      <c r="K4211" s="59" t="s">
        <v>23</v>
      </c>
    </row>
    <row r="4212" spans="1:11" x14ac:dyDescent="0.2">
      <c r="A4212" t="s">
        <v>4251</v>
      </c>
      <c r="B4212">
        <v>2020</v>
      </c>
      <c r="C4212" t="s">
        <v>12</v>
      </c>
      <c r="D4212">
        <v>350</v>
      </c>
      <c r="E4212" t="s">
        <v>13</v>
      </c>
      <c r="F4212" t="s">
        <v>14</v>
      </c>
      <c r="G4212" t="s">
        <v>15</v>
      </c>
      <c r="H4212">
        <v>0.46166264126222839</v>
      </c>
      <c r="I4212">
        <v>4</v>
      </c>
      <c r="J4212" t="s">
        <v>17</v>
      </c>
      <c r="K4212" s="59" t="s">
        <v>23</v>
      </c>
    </row>
    <row r="4213" spans="1:11" x14ac:dyDescent="0.2">
      <c r="A4213" t="s">
        <v>4252</v>
      </c>
      <c r="B4213">
        <v>2021</v>
      </c>
      <c r="C4213" t="s">
        <v>12</v>
      </c>
      <c r="D4213">
        <v>34</v>
      </c>
      <c r="E4213" t="s">
        <v>38</v>
      </c>
      <c r="F4213" t="s">
        <v>39</v>
      </c>
      <c r="G4213" t="s">
        <v>15</v>
      </c>
      <c r="H4213">
        <v>-1.732393554618058</v>
      </c>
      <c r="I4213">
        <v>3</v>
      </c>
      <c r="J4213" t="s">
        <v>23</v>
      </c>
      <c r="K4213" s="59" t="s">
        <v>17</v>
      </c>
    </row>
    <row r="4214" spans="1:11" x14ac:dyDescent="0.2">
      <c r="A4214" t="s">
        <v>4253</v>
      </c>
      <c r="B4214">
        <v>2021</v>
      </c>
      <c r="C4214" t="s">
        <v>33</v>
      </c>
      <c r="D4214">
        <v>45</v>
      </c>
      <c r="E4214" t="s">
        <v>20</v>
      </c>
      <c r="F4214" t="s">
        <v>21</v>
      </c>
      <c r="G4214" t="s">
        <v>15</v>
      </c>
      <c r="H4214">
        <v>0.16196830717030089</v>
      </c>
      <c r="I4214">
        <v>3</v>
      </c>
      <c r="J4214" t="s">
        <v>16</v>
      </c>
      <c r="K4214" s="59" t="s">
        <v>23</v>
      </c>
    </row>
    <row r="4215" spans="1:11" x14ac:dyDescent="0.2">
      <c r="A4215" t="s">
        <v>4254</v>
      </c>
      <c r="B4215">
        <v>2023</v>
      </c>
      <c r="C4215" t="s">
        <v>33</v>
      </c>
      <c r="D4215">
        <v>321</v>
      </c>
      <c r="E4215" t="s">
        <v>13</v>
      </c>
      <c r="F4215" t="s">
        <v>14</v>
      </c>
      <c r="G4215" t="s">
        <v>15</v>
      </c>
      <c r="H4215">
        <v>7.2579181205696036E-2</v>
      </c>
      <c r="I4215">
        <v>4</v>
      </c>
      <c r="J4215" t="s">
        <v>23</v>
      </c>
      <c r="K4215" s="59" t="s">
        <v>4376</v>
      </c>
    </row>
    <row r="4216" spans="1:11" x14ac:dyDescent="0.2">
      <c r="A4216" t="s">
        <v>4255</v>
      </c>
      <c r="B4216">
        <v>2023</v>
      </c>
      <c r="C4216" t="s">
        <v>33</v>
      </c>
      <c r="D4216">
        <v>115</v>
      </c>
      <c r="E4216" t="s">
        <v>25</v>
      </c>
      <c r="F4216" t="s">
        <v>26</v>
      </c>
      <c r="G4216" t="s">
        <v>15</v>
      </c>
      <c r="H4216">
        <v>-1.290163824905487</v>
      </c>
      <c r="I4216">
        <v>2</v>
      </c>
      <c r="J4216" t="s">
        <v>23</v>
      </c>
      <c r="K4216" s="59" t="s">
        <v>17</v>
      </c>
    </row>
    <row r="4217" spans="1:11" x14ac:dyDescent="0.2">
      <c r="A4217" t="s">
        <v>4256</v>
      </c>
      <c r="B4217">
        <v>2021</v>
      </c>
      <c r="C4217" t="s">
        <v>33</v>
      </c>
      <c r="D4217">
        <v>164</v>
      </c>
      <c r="E4217" t="s">
        <v>25</v>
      </c>
      <c r="F4217" t="s">
        <v>26</v>
      </c>
      <c r="G4217" t="s">
        <v>15</v>
      </c>
      <c r="H4217">
        <v>0.88499352414006649</v>
      </c>
      <c r="I4217">
        <v>2</v>
      </c>
      <c r="J4217" t="s">
        <v>23</v>
      </c>
      <c r="K4217" s="59" t="s">
        <v>17</v>
      </c>
    </row>
    <row r="4218" spans="1:11" x14ac:dyDescent="0.2">
      <c r="A4218" t="s">
        <v>4257</v>
      </c>
      <c r="B4218">
        <v>2021</v>
      </c>
      <c r="C4218" t="s">
        <v>19</v>
      </c>
      <c r="D4218">
        <v>161</v>
      </c>
      <c r="E4218" t="s">
        <v>25</v>
      </c>
      <c r="F4218" t="s">
        <v>26</v>
      </c>
      <c r="G4218" t="s">
        <v>15</v>
      </c>
      <c r="H4218">
        <v>0.55390524409203035</v>
      </c>
      <c r="I4218">
        <v>2</v>
      </c>
      <c r="J4218" t="s">
        <v>23</v>
      </c>
      <c r="K4218" s="59" t="s">
        <v>17</v>
      </c>
    </row>
    <row r="4219" spans="1:11" x14ac:dyDescent="0.2">
      <c r="A4219" t="s">
        <v>4258</v>
      </c>
      <c r="B4219">
        <v>2022</v>
      </c>
      <c r="C4219" t="s">
        <v>12</v>
      </c>
      <c r="D4219">
        <v>105</v>
      </c>
      <c r="E4219" t="s">
        <v>25</v>
      </c>
      <c r="F4219" t="s">
        <v>26</v>
      </c>
      <c r="G4219" t="s">
        <v>48</v>
      </c>
      <c r="H4219">
        <v>0.30266361786015239</v>
      </c>
      <c r="I4219">
        <v>2</v>
      </c>
      <c r="J4219" t="s">
        <v>17</v>
      </c>
      <c r="K4219" s="59" t="s">
        <v>17</v>
      </c>
    </row>
    <row r="4220" spans="1:11" x14ac:dyDescent="0.2">
      <c r="A4220" t="s">
        <v>4259</v>
      </c>
      <c r="B4220">
        <v>2021</v>
      </c>
      <c r="C4220" t="s">
        <v>33</v>
      </c>
      <c r="D4220">
        <v>180</v>
      </c>
      <c r="E4220" t="s">
        <v>25</v>
      </c>
      <c r="F4220" t="s">
        <v>26</v>
      </c>
      <c r="G4220" t="s">
        <v>15</v>
      </c>
      <c r="H4220">
        <v>0.90945984931638402</v>
      </c>
      <c r="I4220">
        <v>2</v>
      </c>
      <c r="J4220" t="s">
        <v>23</v>
      </c>
      <c r="K4220" s="59" t="s">
        <v>17</v>
      </c>
    </row>
    <row r="4221" spans="1:11" x14ac:dyDescent="0.2">
      <c r="A4221" t="s">
        <v>4260</v>
      </c>
      <c r="B4221">
        <v>2021</v>
      </c>
      <c r="C4221" t="s">
        <v>33</v>
      </c>
      <c r="D4221">
        <v>220</v>
      </c>
      <c r="E4221" t="s">
        <v>25</v>
      </c>
      <c r="F4221" t="s">
        <v>26</v>
      </c>
      <c r="G4221" t="s">
        <v>48</v>
      </c>
      <c r="H4221">
        <v>0.72226303486596899</v>
      </c>
      <c r="I4221">
        <v>2</v>
      </c>
      <c r="J4221" t="s">
        <v>23</v>
      </c>
      <c r="K4221" s="59" t="s">
        <v>17</v>
      </c>
    </row>
    <row r="4222" spans="1:11" x14ac:dyDescent="0.2">
      <c r="A4222" t="s">
        <v>4261</v>
      </c>
      <c r="B4222">
        <v>2024</v>
      </c>
      <c r="C4222" t="s">
        <v>19</v>
      </c>
      <c r="D4222">
        <v>82</v>
      </c>
      <c r="E4222" t="s">
        <v>20</v>
      </c>
      <c r="F4222" t="s">
        <v>21</v>
      </c>
      <c r="G4222" t="s">
        <v>15</v>
      </c>
      <c r="H4222">
        <v>0.61922806691231846</v>
      </c>
      <c r="I4222">
        <v>3</v>
      </c>
      <c r="J4222" t="s">
        <v>23</v>
      </c>
      <c r="K4222" s="59" t="s">
        <v>23</v>
      </c>
    </row>
    <row r="4223" spans="1:11" x14ac:dyDescent="0.2">
      <c r="A4223" t="s">
        <v>4262</v>
      </c>
      <c r="B4223">
        <v>2021</v>
      </c>
      <c r="C4223" t="s">
        <v>33</v>
      </c>
      <c r="D4223">
        <v>340</v>
      </c>
      <c r="E4223" t="s">
        <v>25</v>
      </c>
      <c r="F4223" t="s">
        <v>26</v>
      </c>
      <c r="G4223" t="s">
        <v>48</v>
      </c>
      <c r="H4223">
        <v>0.88499352414006649</v>
      </c>
      <c r="I4223">
        <v>2</v>
      </c>
      <c r="J4223" t="s">
        <v>23</v>
      </c>
      <c r="K4223" s="59" t="s">
        <v>4376</v>
      </c>
    </row>
    <row r="4224" spans="1:11" x14ac:dyDescent="0.2">
      <c r="A4224" t="s">
        <v>4263</v>
      </c>
      <c r="B4224">
        <v>2024</v>
      </c>
      <c r="C4224" t="s">
        <v>12</v>
      </c>
      <c r="D4224">
        <v>343</v>
      </c>
      <c r="E4224" t="s">
        <v>13</v>
      </c>
      <c r="F4224" t="s">
        <v>14</v>
      </c>
      <c r="G4224" t="s">
        <v>15</v>
      </c>
      <c r="H4224">
        <v>-1.1976713324165831</v>
      </c>
      <c r="I4224">
        <v>4</v>
      </c>
      <c r="J4224" t="s">
        <v>23</v>
      </c>
      <c r="K4224" s="59" t="s">
        <v>16</v>
      </c>
    </row>
    <row r="4225" spans="1:11" x14ac:dyDescent="0.2">
      <c r="A4225" t="s">
        <v>4264</v>
      </c>
      <c r="B4225">
        <v>2024</v>
      </c>
      <c r="C4225" t="s">
        <v>19</v>
      </c>
      <c r="D4225">
        <v>51</v>
      </c>
      <c r="E4225" t="s">
        <v>20</v>
      </c>
      <c r="F4225" t="s">
        <v>21</v>
      </c>
      <c r="G4225" t="s">
        <v>15</v>
      </c>
      <c r="H4225">
        <v>-0.63727564263087266</v>
      </c>
      <c r="I4225">
        <v>3</v>
      </c>
      <c r="J4225" t="s">
        <v>23</v>
      </c>
      <c r="K4225" s="59" t="s">
        <v>23</v>
      </c>
    </row>
    <row r="4226" spans="1:11" x14ac:dyDescent="0.2">
      <c r="A4226" t="s">
        <v>4265</v>
      </c>
      <c r="B4226">
        <v>2021</v>
      </c>
      <c r="C4226" t="s">
        <v>33</v>
      </c>
      <c r="D4226">
        <v>167</v>
      </c>
      <c r="E4226" t="s">
        <v>25</v>
      </c>
      <c r="F4226" t="s">
        <v>26</v>
      </c>
      <c r="G4226" t="s">
        <v>34</v>
      </c>
      <c r="H4226">
        <v>-0.32237652544842138</v>
      </c>
      <c r="I4226">
        <v>2</v>
      </c>
      <c r="J4226" t="s">
        <v>23</v>
      </c>
      <c r="K4226" s="59" t="s">
        <v>4376</v>
      </c>
    </row>
    <row r="4227" spans="1:11" x14ac:dyDescent="0.2">
      <c r="A4227" t="s">
        <v>4266</v>
      </c>
      <c r="B4227">
        <v>2023</v>
      </c>
      <c r="C4227" t="s">
        <v>12</v>
      </c>
      <c r="D4227">
        <v>350</v>
      </c>
      <c r="E4227" t="s">
        <v>53</v>
      </c>
      <c r="F4227" t="s">
        <v>54</v>
      </c>
      <c r="G4227" t="s">
        <v>15</v>
      </c>
      <c r="H4227">
        <v>0.4538612812141114</v>
      </c>
      <c r="I4227">
        <v>3</v>
      </c>
      <c r="J4227" t="s">
        <v>16</v>
      </c>
      <c r="K4227" s="59" t="s">
        <v>23</v>
      </c>
    </row>
    <row r="4228" spans="1:11" x14ac:dyDescent="0.2">
      <c r="A4228" t="s">
        <v>4267</v>
      </c>
      <c r="B4228">
        <v>2022</v>
      </c>
      <c r="C4228" t="s">
        <v>33</v>
      </c>
      <c r="D4228">
        <v>289</v>
      </c>
      <c r="E4228" t="s">
        <v>53</v>
      </c>
      <c r="F4228" t="s">
        <v>54</v>
      </c>
      <c r="G4228" t="s">
        <v>15</v>
      </c>
      <c r="H4228">
        <v>0.87591915940331022</v>
      </c>
      <c r="I4228">
        <v>3</v>
      </c>
      <c r="J4228" t="s">
        <v>23</v>
      </c>
      <c r="K4228" s="59" t="s">
        <v>4376</v>
      </c>
    </row>
    <row r="4229" spans="1:11" x14ac:dyDescent="0.2">
      <c r="A4229" t="s">
        <v>4268</v>
      </c>
      <c r="B4229">
        <v>2024</v>
      </c>
      <c r="C4229" t="s">
        <v>12</v>
      </c>
      <c r="D4229">
        <v>125</v>
      </c>
      <c r="E4229" t="s">
        <v>38</v>
      </c>
      <c r="F4229" t="s">
        <v>39</v>
      </c>
      <c r="G4229" t="s">
        <v>15</v>
      </c>
      <c r="H4229">
        <v>0.80168146858277878</v>
      </c>
      <c r="I4229">
        <v>3</v>
      </c>
      <c r="J4229" t="s">
        <v>23</v>
      </c>
      <c r="K4229" s="59" t="s">
        <v>16</v>
      </c>
    </row>
    <row r="4230" spans="1:11" x14ac:dyDescent="0.2">
      <c r="A4230" t="s">
        <v>4269</v>
      </c>
      <c r="B4230">
        <v>2023</v>
      </c>
      <c r="C4230" t="s">
        <v>12</v>
      </c>
      <c r="D4230">
        <v>59</v>
      </c>
      <c r="E4230" t="s">
        <v>20</v>
      </c>
      <c r="F4230" t="s">
        <v>21</v>
      </c>
      <c r="G4230" t="s">
        <v>15</v>
      </c>
      <c r="H4230">
        <v>0.80855353644230632</v>
      </c>
      <c r="I4230">
        <v>3</v>
      </c>
      <c r="J4230" t="s">
        <v>23</v>
      </c>
      <c r="K4230" s="59" t="s">
        <v>17</v>
      </c>
    </row>
    <row r="4231" spans="1:11" x14ac:dyDescent="0.2">
      <c r="A4231" t="s">
        <v>4270</v>
      </c>
      <c r="B4231">
        <v>2023</v>
      </c>
      <c r="C4231" t="s">
        <v>33</v>
      </c>
      <c r="D4231">
        <v>910</v>
      </c>
      <c r="E4231" t="s">
        <v>25</v>
      </c>
      <c r="F4231" t="s">
        <v>26</v>
      </c>
      <c r="G4231" t="s">
        <v>57</v>
      </c>
      <c r="H4231">
        <v>0.12592812906255571</v>
      </c>
      <c r="I4231">
        <v>2</v>
      </c>
      <c r="J4231" t="s">
        <v>17</v>
      </c>
      <c r="K4231" s="59" t="s">
        <v>4376</v>
      </c>
    </row>
    <row r="4232" spans="1:11" x14ac:dyDescent="0.2">
      <c r="A4232" t="s">
        <v>4271</v>
      </c>
      <c r="B4232">
        <v>2024</v>
      </c>
      <c r="C4232" t="s">
        <v>33</v>
      </c>
      <c r="D4232">
        <v>446</v>
      </c>
      <c r="E4232" t="s">
        <v>53</v>
      </c>
      <c r="F4232" t="s">
        <v>54</v>
      </c>
      <c r="G4232" t="s">
        <v>15</v>
      </c>
      <c r="H4232">
        <v>-5.0022740472898501E-2</v>
      </c>
      <c r="I4232">
        <v>3</v>
      </c>
      <c r="J4232" t="s">
        <v>16</v>
      </c>
      <c r="K4232" s="59" t="s">
        <v>4376</v>
      </c>
    </row>
    <row r="4233" spans="1:11" x14ac:dyDescent="0.2">
      <c r="A4233" t="s">
        <v>4272</v>
      </c>
      <c r="B4233">
        <v>2024</v>
      </c>
      <c r="C4233" t="s">
        <v>33</v>
      </c>
      <c r="D4233">
        <v>363</v>
      </c>
      <c r="E4233" t="s">
        <v>53</v>
      </c>
      <c r="F4233" t="s">
        <v>54</v>
      </c>
      <c r="G4233" t="s">
        <v>15</v>
      </c>
      <c r="H4233">
        <v>-0.18942342938021511</v>
      </c>
      <c r="I4233">
        <v>3</v>
      </c>
      <c r="J4233" t="s">
        <v>16</v>
      </c>
      <c r="K4233" s="59" t="s">
        <v>4376</v>
      </c>
    </row>
    <row r="4234" spans="1:11" x14ac:dyDescent="0.2">
      <c r="A4234" t="s">
        <v>4273</v>
      </c>
      <c r="B4234">
        <v>2022</v>
      </c>
      <c r="C4234" t="s">
        <v>33</v>
      </c>
      <c r="D4234">
        <v>289</v>
      </c>
      <c r="E4234" t="s">
        <v>53</v>
      </c>
      <c r="F4234" t="s">
        <v>54</v>
      </c>
      <c r="G4234" t="s">
        <v>15</v>
      </c>
      <c r="H4234">
        <v>0.87591915940331022</v>
      </c>
      <c r="I4234">
        <v>3</v>
      </c>
      <c r="J4234" t="s">
        <v>23</v>
      </c>
      <c r="K4234" s="59" t="s">
        <v>23</v>
      </c>
    </row>
    <row r="4235" spans="1:11" x14ac:dyDescent="0.2">
      <c r="A4235" t="s">
        <v>4274</v>
      </c>
      <c r="B4235">
        <v>2022</v>
      </c>
      <c r="C4235" t="s">
        <v>33</v>
      </c>
      <c r="D4235">
        <v>289</v>
      </c>
      <c r="E4235" t="s">
        <v>53</v>
      </c>
      <c r="F4235" t="s">
        <v>54</v>
      </c>
      <c r="G4235" t="s">
        <v>15</v>
      </c>
      <c r="H4235">
        <v>0.87591915940331022</v>
      </c>
      <c r="I4235">
        <v>3</v>
      </c>
      <c r="J4235" t="s">
        <v>23</v>
      </c>
      <c r="K4235" s="59" t="s">
        <v>4376</v>
      </c>
    </row>
    <row r="4236" spans="1:11" x14ac:dyDescent="0.2">
      <c r="A4236" t="s">
        <v>4275</v>
      </c>
      <c r="B4236">
        <v>2022</v>
      </c>
      <c r="C4236" t="s">
        <v>33</v>
      </c>
      <c r="D4236">
        <v>352</v>
      </c>
      <c r="E4236" t="s">
        <v>53</v>
      </c>
      <c r="F4236" t="s">
        <v>54</v>
      </c>
      <c r="G4236" t="s">
        <v>36</v>
      </c>
      <c r="H4236">
        <v>5.4377775466296963E-2</v>
      </c>
      <c r="I4236">
        <v>3</v>
      </c>
      <c r="J4236" t="s">
        <v>16</v>
      </c>
      <c r="K4236" s="59" t="s">
        <v>17</v>
      </c>
    </row>
    <row r="4237" spans="1:11" x14ac:dyDescent="0.2">
      <c r="A4237" t="s">
        <v>4276</v>
      </c>
      <c r="B4237">
        <v>2022</v>
      </c>
      <c r="C4237" t="s">
        <v>33</v>
      </c>
      <c r="D4237">
        <v>352</v>
      </c>
      <c r="E4237" t="s">
        <v>53</v>
      </c>
      <c r="F4237" t="s">
        <v>54</v>
      </c>
      <c r="G4237" t="s">
        <v>36</v>
      </c>
      <c r="H4237">
        <v>5.4377775466296963E-2</v>
      </c>
      <c r="I4237">
        <v>3</v>
      </c>
      <c r="J4237" t="s">
        <v>16</v>
      </c>
      <c r="K4237" s="59" t="s">
        <v>16</v>
      </c>
    </row>
    <row r="4238" spans="1:11" x14ac:dyDescent="0.2">
      <c r="A4238" t="s">
        <v>4277</v>
      </c>
      <c r="B4238">
        <v>2022</v>
      </c>
      <c r="C4238" t="s">
        <v>33</v>
      </c>
      <c r="D4238">
        <v>289</v>
      </c>
      <c r="E4238" t="s">
        <v>53</v>
      </c>
      <c r="F4238" t="s">
        <v>54</v>
      </c>
      <c r="G4238" t="s">
        <v>15</v>
      </c>
      <c r="H4238">
        <v>0.87591915940331022</v>
      </c>
      <c r="I4238">
        <v>3</v>
      </c>
      <c r="J4238" t="s">
        <v>23</v>
      </c>
      <c r="K4238" s="59" t="s">
        <v>4376</v>
      </c>
    </row>
    <row r="4239" spans="1:11" x14ac:dyDescent="0.2">
      <c r="A4239" t="s">
        <v>4278</v>
      </c>
      <c r="B4239">
        <v>2022</v>
      </c>
      <c r="C4239" t="s">
        <v>33</v>
      </c>
      <c r="D4239">
        <v>289</v>
      </c>
      <c r="E4239" t="s">
        <v>53</v>
      </c>
      <c r="F4239" t="s">
        <v>54</v>
      </c>
      <c r="G4239" t="s">
        <v>15</v>
      </c>
      <c r="H4239">
        <v>0.87591915940331022</v>
      </c>
      <c r="I4239">
        <v>3</v>
      </c>
      <c r="J4239" t="s">
        <v>23</v>
      </c>
      <c r="K4239" s="59" t="s">
        <v>4376</v>
      </c>
    </row>
    <row r="4240" spans="1:11" x14ac:dyDescent="0.2">
      <c r="A4240" t="s">
        <v>4279</v>
      </c>
      <c r="B4240">
        <v>2021</v>
      </c>
      <c r="C4240" t="s">
        <v>33</v>
      </c>
      <c r="D4240">
        <v>382</v>
      </c>
      <c r="E4240" t="s">
        <v>29</v>
      </c>
      <c r="F4240" t="s">
        <v>30</v>
      </c>
      <c r="G4240" t="s">
        <v>15</v>
      </c>
      <c r="H4240">
        <v>-0.1911280323988247</v>
      </c>
      <c r="I4240">
        <v>4</v>
      </c>
      <c r="J4240" t="s">
        <v>17</v>
      </c>
      <c r="K4240" s="59" t="s">
        <v>16</v>
      </c>
    </row>
    <row r="4241" spans="1:11" x14ac:dyDescent="0.2">
      <c r="A4241" t="s">
        <v>4280</v>
      </c>
      <c r="B4241">
        <v>2021</v>
      </c>
      <c r="C4241" t="s">
        <v>12</v>
      </c>
      <c r="D4241">
        <v>294</v>
      </c>
      <c r="E4241" t="s">
        <v>38</v>
      </c>
      <c r="F4241" t="s">
        <v>39</v>
      </c>
      <c r="G4241" t="s">
        <v>15</v>
      </c>
      <c r="H4241">
        <v>8.3491741870841948E-2</v>
      </c>
      <c r="I4241">
        <v>3</v>
      </c>
      <c r="J4241" t="s">
        <v>23</v>
      </c>
      <c r="K4241" s="59" t="s">
        <v>4376</v>
      </c>
    </row>
    <row r="4242" spans="1:11" x14ac:dyDescent="0.2">
      <c r="A4242" t="s">
        <v>4281</v>
      </c>
      <c r="B4242">
        <v>2021</v>
      </c>
      <c r="C4242" t="s">
        <v>19</v>
      </c>
      <c r="D4242">
        <v>259</v>
      </c>
      <c r="E4242" t="s">
        <v>25</v>
      </c>
      <c r="F4242" t="s">
        <v>26</v>
      </c>
      <c r="G4242" t="s">
        <v>15</v>
      </c>
      <c r="H4242">
        <v>0.26270711826664911</v>
      </c>
      <c r="I4242">
        <v>2</v>
      </c>
      <c r="J4242" t="s">
        <v>23</v>
      </c>
      <c r="K4242" s="59" t="s">
        <v>17</v>
      </c>
    </row>
    <row r="4243" spans="1:11" x14ac:dyDescent="0.2">
      <c r="A4243" t="s">
        <v>4282</v>
      </c>
      <c r="B4243">
        <v>2021</v>
      </c>
      <c r="C4243" t="s">
        <v>33</v>
      </c>
      <c r="D4243">
        <v>441</v>
      </c>
      <c r="E4243" t="s">
        <v>38</v>
      </c>
      <c r="F4243" t="s">
        <v>39</v>
      </c>
      <c r="G4243" t="s">
        <v>15</v>
      </c>
      <c r="H4243">
        <v>0.51117068710679503</v>
      </c>
      <c r="I4243">
        <v>3</v>
      </c>
      <c r="J4243" t="s">
        <v>23</v>
      </c>
      <c r="K4243" s="59" t="s">
        <v>4376</v>
      </c>
    </row>
    <row r="4244" spans="1:11" x14ac:dyDescent="0.2">
      <c r="A4244" t="s">
        <v>4283</v>
      </c>
      <c r="B4244">
        <v>2022</v>
      </c>
      <c r="C4244" t="s">
        <v>19</v>
      </c>
      <c r="D4244">
        <v>353</v>
      </c>
      <c r="E4244" t="s">
        <v>53</v>
      </c>
      <c r="F4244" t="s">
        <v>54</v>
      </c>
      <c r="G4244" t="s">
        <v>15</v>
      </c>
      <c r="H4244">
        <v>0.46280219742872031</v>
      </c>
      <c r="I4244">
        <v>3</v>
      </c>
      <c r="J4244" t="s">
        <v>16</v>
      </c>
      <c r="K4244" s="59" t="s">
        <v>17</v>
      </c>
    </row>
    <row r="4245" spans="1:11" x14ac:dyDescent="0.2">
      <c r="A4245" t="s">
        <v>4284</v>
      </c>
      <c r="B4245">
        <v>2022</v>
      </c>
      <c r="C4245" t="s">
        <v>33</v>
      </c>
      <c r="D4245">
        <v>83</v>
      </c>
      <c r="E4245" t="s">
        <v>13</v>
      </c>
      <c r="F4245" t="s">
        <v>14</v>
      </c>
      <c r="G4245" t="s">
        <v>41</v>
      </c>
      <c r="H4245">
        <v>0.60415356933840592</v>
      </c>
      <c r="I4245">
        <v>4</v>
      </c>
      <c r="J4245" t="s">
        <v>23</v>
      </c>
      <c r="K4245" s="59" t="s">
        <v>23</v>
      </c>
    </row>
    <row r="4246" spans="1:11" x14ac:dyDescent="0.2">
      <c r="A4246" t="s">
        <v>4285</v>
      </c>
      <c r="B4246">
        <v>2022</v>
      </c>
      <c r="C4246" t="s">
        <v>12</v>
      </c>
      <c r="D4246">
        <v>72</v>
      </c>
      <c r="E4246" t="s">
        <v>20</v>
      </c>
      <c r="F4246" t="s">
        <v>21</v>
      </c>
      <c r="G4246" t="s">
        <v>15</v>
      </c>
      <c r="H4246">
        <v>-0.15612543873718959</v>
      </c>
      <c r="I4246">
        <v>3</v>
      </c>
      <c r="J4246" t="s">
        <v>23</v>
      </c>
      <c r="K4246" s="59" t="s">
        <v>17</v>
      </c>
    </row>
    <row r="4247" spans="1:11" x14ac:dyDescent="0.2">
      <c r="A4247" t="s">
        <v>4286</v>
      </c>
      <c r="B4247">
        <v>2022</v>
      </c>
      <c r="C4247" t="s">
        <v>33</v>
      </c>
      <c r="D4247">
        <v>352</v>
      </c>
      <c r="E4247" t="s">
        <v>53</v>
      </c>
      <c r="F4247" t="s">
        <v>54</v>
      </c>
      <c r="G4247" t="s">
        <v>36</v>
      </c>
      <c r="H4247">
        <v>5.4377775466296963E-2</v>
      </c>
      <c r="I4247">
        <v>3</v>
      </c>
      <c r="J4247" t="s">
        <v>16</v>
      </c>
      <c r="K4247" s="59" t="s">
        <v>17</v>
      </c>
    </row>
    <row r="4248" spans="1:11" x14ac:dyDescent="0.2">
      <c r="A4248" t="s">
        <v>4287</v>
      </c>
      <c r="B4248">
        <v>2022</v>
      </c>
      <c r="C4248" t="s">
        <v>33</v>
      </c>
      <c r="D4248">
        <v>352</v>
      </c>
      <c r="E4248" t="s">
        <v>53</v>
      </c>
      <c r="F4248" t="s">
        <v>54</v>
      </c>
      <c r="G4248" t="s">
        <v>36</v>
      </c>
      <c r="H4248">
        <v>5.4377775466296963E-2</v>
      </c>
      <c r="I4248">
        <v>3</v>
      </c>
      <c r="J4248" t="s">
        <v>16</v>
      </c>
      <c r="K4248" s="59" t="s">
        <v>17</v>
      </c>
    </row>
    <row r="4249" spans="1:11" x14ac:dyDescent="0.2">
      <c r="A4249" t="s">
        <v>4288</v>
      </c>
      <c r="B4249">
        <v>2022</v>
      </c>
      <c r="C4249" t="s">
        <v>33</v>
      </c>
      <c r="D4249">
        <v>352</v>
      </c>
      <c r="E4249" t="s">
        <v>53</v>
      </c>
      <c r="F4249" t="s">
        <v>54</v>
      </c>
      <c r="G4249" t="s">
        <v>36</v>
      </c>
      <c r="H4249">
        <v>5.4377775466296963E-2</v>
      </c>
      <c r="I4249">
        <v>3</v>
      </c>
      <c r="J4249" t="s">
        <v>16</v>
      </c>
      <c r="K4249" s="59" t="s">
        <v>16</v>
      </c>
    </row>
    <row r="4250" spans="1:11" x14ac:dyDescent="0.2">
      <c r="A4250" t="s">
        <v>4289</v>
      </c>
      <c r="B4250">
        <v>2022</v>
      </c>
      <c r="C4250" t="s">
        <v>33</v>
      </c>
      <c r="D4250">
        <v>352</v>
      </c>
      <c r="E4250" t="s">
        <v>53</v>
      </c>
      <c r="F4250" t="s">
        <v>54</v>
      </c>
      <c r="G4250" t="s">
        <v>36</v>
      </c>
      <c r="H4250">
        <v>5.4377775466296963E-2</v>
      </c>
      <c r="I4250">
        <v>3</v>
      </c>
      <c r="J4250" t="s">
        <v>16</v>
      </c>
      <c r="K4250" s="59" t="s">
        <v>17</v>
      </c>
    </row>
    <row r="4251" spans="1:11" x14ac:dyDescent="0.2">
      <c r="A4251" t="s">
        <v>4290</v>
      </c>
      <c r="B4251">
        <v>2022</v>
      </c>
      <c r="C4251" t="s">
        <v>33</v>
      </c>
      <c r="D4251">
        <v>353</v>
      </c>
      <c r="E4251" t="s">
        <v>53</v>
      </c>
      <c r="F4251" t="s">
        <v>54</v>
      </c>
      <c r="G4251" t="s">
        <v>15</v>
      </c>
      <c r="H4251">
        <v>0.46058692577733279</v>
      </c>
      <c r="I4251">
        <v>3</v>
      </c>
      <c r="J4251" t="s">
        <v>16</v>
      </c>
      <c r="K4251" s="59" t="s">
        <v>23</v>
      </c>
    </row>
    <row r="4252" spans="1:11" x14ac:dyDescent="0.2">
      <c r="A4252" t="s">
        <v>4291</v>
      </c>
      <c r="B4252">
        <v>2022</v>
      </c>
      <c r="C4252" t="s">
        <v>33</v>
      </c>
      <c r="D4252">
        <v>353</v>
      </c>
      <c r="E4252" t="s">
        <v>53</v>
      </c>
      <c r="F4252" t="s">
        <v>54</v>
      </c>
      <c r="G4252" t="s">
        <v>15</v>
      </c>
      <c r="H4252">
        <v>0.46058692577733279</v>
      </c>
      <c r="I4252">
        <v>3</v>
      </c>
      <c r="J4252" t="s">
        <v>16</v>
      </c>
      <c r="K4252" s="59" t="s">
        <v>23</v>
      </c>
    </row>
    <row r="4253" spans="1:11" x14ac:dyDescent="0.2">
      <c r="A4253" t="s">
        <v>4292</v>
      </c>
      <c r="B4253">
        <v>2022</v>
      </c>
      <c r="C4253" t="s">
        <v>33</v>
      </c>
      <c r="D4253">
        <v>353</v>
      </c>
      <c r="E4253" t="s">
        <v>53</v>
      </c>
      <c r="F4253" t="s">
        <v>54</v>
      </c>
      <c r="G4253" t="s">
        <v>15</v>
      </c>
      <c r="H4253">
        <v>0.46058692577733279</v>
      </c>
      <c r="I4253">
        <v>3</v>
      </c>
      <c r="J4253" t="s">
        <v>16</v>
      </c>
      <c r="K4253" s="59" t="s">
        <v>16</v>
      </c>
    </row>
    <row r="4254" spans="1:11" x14ac:dyDescent="0.2">
      <c r="A4254" t="s">
        <v>4293</v>
      </c>
      <c r="B4254">
        <v>2022</v>
      </c>
      <c r="C4254" t="s">
        <v>33</v>
      </c>
      <c r="D4254">
        <v>353</v>
      </c>
      <c r="E4254" t="s">
        <v>53</v>
      </c>
      <c r="F4254" t="s">
        <v>54</v>
      </c>
      <c r="G4254" t="s">
        <v>15</v>
      </c>
      <c r="H4254">
        <v>0.46058692577733279</v>
      </c>
      <c r="I4254">
        <v>3</v>
      </c>
      <c r="J4254" t="s">
        <v>16</v>
      </c>
      <c r="K4254" s="59" t="s">
        <v>23</v>
      </c>
    </row>
    <row r="4255" spans="1:11" x14ac:dyDescent="0.2">
      <c r="A4255" t="s">
        <v>4294</v>
      </c>
      <c r="B4255">
        <v>2022</v>
      </c>
      <c r="C4255" t="s">
        <v>33</v>
      </c>
      <c r="D4255">
        <v>353</v>
      </c>
      <c r="E4255" t="s">
        <v>53</v>
      </c>
      <c r="F4255" t="s">
        <v>54</v>
      </c>
      <c r="G4255" t="s">
        <v>15</v>
      </c>
      <c r="H4255">
        <v>0.46058692577733279</v>
      </c>
      <c r="I4255">
        <v>3</v>
      </c>
      <c r="J4255" t="s">
        <v>16</v>
      </c>
      <c r="K4255" s="59" t="s">
        <v>23</v>
      </c>
    </row>
    <row r="4256" spans="1:11" x14ac:dyDescent="0.2">
      <c r="A4256" t="s">
        <v>4295</v>
      </c>
      <c r="B4256">
        <v>2022</v>
      </c>
      <c r="C4256" t="s">
        <v>33</v>
      </c>
      <c r="D4256">
        <v>353</v>
      </c>
      <c r="E4256" t="s">
        <v>53</v>
      </c>
      <c r="F4256" t="s">
        <v>54</v>
      </c>
      <c r="G4256" t="s">
        <v>15</v>
      </c>
      <c r="H4256">
        <v>0.46058692577733279</v>
      </c>
      <c r="I4256">
        <v>3</v>
      </c>
      <c r="J4256" t="s">
        <v>16</v>
      </c>
      <c r="K4256" s="59" t="s">
        <v>16</v>
      </c>
    </row>
    <row r="4257" spans="1:11" x14ac:dyDescent="0.2">
      <c r="A4257" t="s">
        <v>4296</v>
      </c>
      <c r="B4257">
        <v>2022</v>
      </c>
      <c r="C4257" t="s">
        <v>33</v>
      </c>
      <c r="D4257">
        <v>353</v>
      </c>
      <c r="E4257" t="s">
        <v>53</v>
      </c>
      <c r="F4257" t="s">
        <v>54</v>
      </c>
      <c r="G4257" t="s">
        <v>15</v>
      </c>
      <c r="H4257">
        <v>0.46058692577733279</v>
      </c>
      <c r="I4257">
        <v>3</v>
      </c>
      <c r="J4257" t="s">
        <v>16</v>
      </c>
      <c r="K4257" s="59" t="s">
        <v>17</v>
      </c>
    </row>
    <row r="4258" spans="1:11" x14ac:dyDescent="0.2">
      <c r="A4258" t="s">
        <v>4297</v>
      </c>
      <c r="B4258">
        <v>2021</v>
      </c>
      <c r="C4258" t="s">
        <v>33</v>
      </c>
      <c r="D4258">
        <v>171</v>
      </c>
      <c r="E4258" t="s">
        <v>20</v>
      </c>
      <c r="F4258" t="s">
        <v>21</v>
      </c>
      <c r="G4258" t="s">
        <v>48</v>
      </c>
      <c r="H4258">
        <v>-0.57653162986385564</v>
      </c>
      <c r="I4258">
        <v>3</v>
      </c>
      <c r="J4258" t="s">
        <v>23</v>
      </c>
      <c r="K4258" s="59" t="s">
        <v>17</v>
      </c>
    </row>
    <row r="4259" spans="1:11" x14ac:dyDescent="0.2">
      <c r="A4259" t="s">
        <v>4298</v>
      </c>
      <c r="B4259">
        <v>2022</v>
      </c>
      <c r="C4259" t="s">
        <v>19</v>
      </c>
      <c r="D4259">
        <v>409</v>
      </c>
      <c r="E4259" t="s">
        <v>20</v>
      </c>
      <c r="F4259" t="s">
        <v>21</v>
      </c>
      <c r="G4259" t="s">
        <v>44</v>
      </c>
      <c r="H4259">
        <v>-0.32525154424117209</v>
      </c>
      <c r="I4259">
        <v>3</v>
      </c>
      <c r="J4259" t="s">
        <v>23</v>
      </c>
      <c r="K4259" s="59" t="s">
        <v>23</v>
      </c>
    </row>
    <row r="4260" spans="1:11" x14ac:dyDescent="0.2">
      <c r="A4260" t="s">
        <v>4299</v>
      </c>
      <c r="B4260">
        <v>2022</v>
      </c>
      <c r="C4260" t="s">
        <v>12</v>
      </c>
      <c r="D4260">
        <v>635</v>
      </c>
      <c r="E4260" t="s">
        <v>25</v>
      </c>
      <c r="F4260" t="s">
        <v>26</v>
      </c>
      <c r="G4260" t="s">
        <v>15</v>
      </c>
      <c r="H4260">
        <v>0.157753931504476</v>
      </c>
      <c r="I4260">
        <v>2</v>
      </c>
      <c r="J4260" t="s">
        <v>23</v>
      </c>
      <c r="K4260" s="59" t="s">
        <v>17</v>
      </c>
    </row>
    <row r="4261" spans="1:11" x14ac:dyDescent="0.2">
      <c r="A4261" t="s">
        <v>4300</v>
      </c>
      <c r="B4261">
        <v>2024</v>
      </c>
      <c r="C4261" t="s">
        <v>19</v>
      </c>
      <c r="D4261">
        <v>143</v>
      </c>
      <c r="E4261" t="s">
        <v>25</v>
      </c>
      <c r="F4261" t="s">
        <v>26</v>
      </c>
      <c r="G4261" t="s">
        <v>15</v>
      </c>
      <c r="H4261">
        <v>-0.68305884761129976</v>
      </c>
      <c r="I4261">
        <v>2</v>
      </c>
      <c r="J4261" t="s">
        <v>23</v>
      </c>
      <c r="K4261" s="59" t="s">
        <v>17</v>
      </c>
    </row>
    <row r="4262" spans="1:11" x14ac:dyDescent="0.2">
      <c r="A4262" t="s">
        <v>4301</v>
      </c>
      <c r="B4262">
        <v>2024</v>
      </c>
      <c r="C4262" t="s">
        <v>33</v>
      </c>
      <c r="D4262">
        <v>113</v>
      </c>
      <c r="E4262" t="s">
        <v>20</v>
      </c>
      <c r="F4262" t="s">
        <v>21</v>
      </c>
      <c r="G4262" t="s">
        <v>112</v>
      </c>
      <c r="H4262">
        <v>-0.58457823934727904</v>
      </c>
      <c r="I4262">
        <v>3</v>
      </c>
      <c r="J4262" t="s">
        <v>23</v>
      </c>
      <c r="K4262" s="59" t="s">
        <v>4376</v>
      </c>
    </row>
    <row r="4263" spans="1:11" x14ac:dyDescent="0.2">
      <c r="A4263" t="s">
        <v>4302</v>
      </c>
      <c r="B4263">
        <v>2024</v>
      </c>
      <c r="C4263" t="s">
        <v>19</v>
      </c>
      <c r="D4263">
        <v>865</v>
      </c>
      <c r="E4263" t="s">
        <v>25</v>
      </c>
      <c r="F4263" t="s">
        <v>26</v>
      </c>
      <c r="G4263" t="s">
        <v>48</v>
      </c>
      <c r="H4263">
        <v>0.24122253770107721</v>
      </c>
      <c r="I4263">
        <v>2</v>
      </c>
      <c r="J4263" t="s">
        <v>23</v>
      </c>
      <c r="K4263" s="59" t="s">
        <v>23</v>
      </c>
    </row>
    <row r="4264" spans="1:11" x14ac:dyDescent="0.2">
      <c r="A4264" t="s">
        <v>4303</v>
      </c>
      <c r="B4264">
        <v>2021</v>
      </c>
      <c r="C4264" t="s">
        <v>33</v>
      </c>
      <c r="D4264">
        <v>382</v>
      </c>
      <c r="E4264" t="s">
        <v>29</v>
      </c>
      <c r="F4264" t="s">
        <v>30</v>
      </c>
      <c r="G4264" t="s">
        <v>15</v>
      </c>
      <c r="H4264">
        <v>-0.1911280323988247</v>
      </c>
      <c r="I4264">
        <v>4</v>
      </c>
      <c r="J4264" t="s">
        <v>17</v>
      </c>
      <c r="K4264" s="59" t="s">
        <v>4376</v>
      </c>
    </row>
    <row r="4265" spans="1:11" x14ac:dyDescent="0.2">
      <c r="A4265" t="s">
        <v>4304</v>
      </c>
      <c r="B4265">
        <v>2021</v>
      </c>
      <c r="C4265" t="s">
        <v>33</v>
      </c>
      <c r="D4265">
        <v>368</v>
      </c>
      <c r="E4265" t="s">
        <v>38</v>
      </c>
      <c r="F4265" t="s">
        <v>39</v>
      </c>
      <c r="G4265" t="s">
        <v>15</v>
      </c>
      <c r="H4265">
        <v>0.69029355547504967</v>
      </c>
      <c r="I4265">
        <v>3</v>
      </c>
      <c r="J4265" t="s">
        <v>23</v>
      </c>
      <c r="K4265" s="59" t="s">
        <v>17</v>
      </c>
    </row>
    <row r="4266" spans="1:11" x14ac:dyDescent="0.2">
      <c r="A4266" t="s">
        <v>4305</v>
      </c>
      <c r="B4266">
        <v>2021</v>
      </c>
      <c r="C4266" t="s">
        <v>33</v>
      </c>
      <c r="D4266">
        <v>369</v>
      </c>
      <c r="E4266" t="s">
        <v>38</v>
      </c>
      <c r="F4266" t="s">
        <v>39</v>
      </c>
      <c r="G4266" t="s">
        <v>15</v>
      </c>
      <c r="H4266">
        <v>0.69311781731559541</v>
      </c>
      <c r="I4266">
        <v>3</v>
      </c>
      <c r="J4266" t="s">
        <v>23</v>
      </c>
      <c r="K4266" s="59" t="s">
        <v>16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"/>
  <sheetViews>
    <sheetView topLeftCell="A202" workbookViewId="0">
      <selection activeCell="J215" sqref="J215"/>
    </sheetView>
  </sheetViews>
  <sheetFormatPr baseColWidth="10" defaultColWidth="8.83203125" defaultRowHeight="15" x14ac:dyDescent="0.2"/>
  <cols>
    <col min="1" max="1" width="30" customWidth="1"/>
    <col min="2" max="2" width="10" customWidth="1"/>
    <col min="3" max="3" width="13" customWidth="1"/>
    <col min="4" max="6" width="15" customWidth="1"/>
    <col min="7" max="7" width="11" customWidth="1"/>
    <col min="8" max="8" width="12" customWidth="1"/>
  </cols>
  <sheetData>
    <row r="1" spans="1:3" ht="21" customHeight="1" x14ac:dyDescent="0.25">
      <c r="A1" s="46" t="s">
        <v>4306</v>
      </c>
    </row>
    <row r="3" spans="1:3" ht="19" customHeight="1" x14ac:dyDescent="0.25">
      <c r="A3" s="47" t="s">
        <v>4307</v>
      </c>
    </row>
    <row r="4" spans="1:3" ht="17" customHeight="1" x14ac:dyDescent="0.2">
      <c r="A4" s="3" t="s">
        <v>4308</v>
      </c>
      <c r="B4" s="3" t="s">
        <v>4309</v>
      </c>
      <c r="C4" s="3" t="s">
        <v>4310</v>
      </c>
    </row>
    <row r="5" spans="1:3" ht="48" customHeight="1" x14ac:dyDescent="0.2">
      <c r="A5" s="4" t="s">
        <v>4311</v>
      </c>
      <c r="B5" s="5">
        <f>COUNTA(Data!A2:A10000)</f>
        <v>4265</v>
      </c>
      <c r="C5" s="6" t="s">
        <v>4312</v>
      </c>
    </row>
    <row r="6" spans="1:3" ht="64" customHeight="1" x14ac:dyDescent="0.2">
      <c r="A6" s="4" t="s">
        <v>4313</v>
      </c>
      <c r="B6" s="5">
        <f>COUNTA(Data!K2:L10000)</f>
        <v>4265</v>
      </c>
      <c r="C6" s="6" t="s">
        <v>4314</v>
      </c>
    </row>
    <row r="7" spans="1:3" ht="48" customHeight="1" x14ac:dyDescent="0.2">
      <c r="A7" s="4" t="s">
        <v>4315</v>
      </c>
      <c r="B7" s="5">
        <f>COUNTBLANK(Data!K2:L4274)</f>
        <v>4281</v>
      </c>
      <c r="C7" s="6" t="s">
        <v>4316</v>
      </c>
    </row>
    <row r="8" spans="1:3" x14ac:dyDescent="0.2">
      <c r="A8" s="4"/>
    </row>
    <row r="9" spans="1:3" ht="32" customHeight="1" x14ac:dyDescent="0.2">
      <c r="A9" s="4" t="s">
        <v>4317</v>
      </c>
      <c r="B9" s="5">
        <f>COUNTIFS(Data!J2:J10000,"MALE")+COUNTIFS(Data!J2:J10000,"FEMALE")</f>
        <v>3825</v>
      </c>
      <c r="C9" s="6" t="s">
        <v>4318</v>
      </c>
    </row>
    <row r="10" spans="1:3" ht="32" customHeight="1" x14ac:dyDescent="0.2">
      <c r="A10" s="4" t="s">
        <v>4319</v>
      </c>
      <c r="B10" s="5">
        <f>COUNTIFS(Data!J2:J10000,"UNKNOWN")</f>
        <v>440</v>
      </c>
      <c r="C10" s="6" t="s">
        <v>4320</v>
      </c>
    </row>
    <row r="11" spans="1:3" ht="96" customHeight="1" x14ac:dyDescent="0.2">
      <c r="A11" s="52" t="s">
        <v>4321</v>
      </c>
      <c r="B11" s="53">
        <f>SUMPRODUCT((Data!J2:J4274&lt;&gt;"UNKNOWN")*(Data!K2:L4274=""))+SUMPRODUCT((Data!J2:J4274&lt;&gt;"UNKNOWN")*(ISBLANK(Data!K2:L4274)))</f>
        <v>7682</v>
      </c>
      <c r="C11" s="54" t="s">
        <v>4322</v>
      </c>
    </row>
    <row r="12" spans="1:3" ht="32" customHeight="1" x14ac:dyDescent="0.2">
      <c r="A12" s="4" t="s">
        <v>4323</v>
      </c>
      <c r="B12" s="5">
        <f>COUNTIFS(Data!K2:L10000,"MALE")+COUNTIFS(Data!K2:L10000,"FEMALE")</f>
        <v>1293</v>
      </c>
      <c r="C12" s="6" t="s">
        <v>4324</v>
      </c>
    </row>
    <row r="13" spans="1:3" ht="32" customHeight="1" x14ac:dyDescent="0.2">
      <c r="A13" s="4" t="s">
        <v>4325</v>
      </c>
      <c r="B13" s="5">
        <f>COUNTIFS(Data!K2:L10000,"UNKNOWN*")</f>
        <v>1218</v>
      </c>
      <c r="C13" s="6" t="s">
        <v>4326</v>
      </c>
    </row>
    <row r="15" spans="1:3" ht="19" customHeight="1" x14ac:dyDescent="0.25">
      <c r="A15" s="47" t="s">
        <v>4327</v>
      </c>
    </row>
    <row r="16" spans="1:3" x14ac:dyDescent="0.2">
      <c r="A16" s="7" t="s">
        <v>4328</v>
      </c>
    </row>
    <row r="18" spans="1:5" ht="51" customHeight="1" x14ac:dyDescent="0.2">
      <c r="A18" s="3" t="s">
        <v>4308</v>
      </c>
      <c r="B18" s="3" t="s">
        <v>4309</v>
      </c>
      <c r="C18" s="3" t="s">
        <v>4329</v>
      </c>
    </row>
    <row r="19" spans="1:5" ht="32" customHeight="1" x14ac:dyDescent="0.2">
      <c r="A19" s="8" t="s">
        <v>4330</v>
      </c>
      <c r="B19" s="9">
        <f>SUMPRODUCT((Data!J2:J4274&lt;&gt;"UNKNOWN")*(Data!K2:L4274&lt;&gt;"")*(LEFT(Data!K2:L4274,7)&lt;&gt;"UNKNOWN"))</f>
        <v>2714</v>
      </c>
      <c r="C19" s="10">
        <f>IF(B6&gt;0,B19/B6,"N/A")</f>
        <v>0.63634232121922629</v>
      </c>
    </row>
    <row r="20" spans="1:5" ht="32" customHeight="1" x14ac:dyDescent="0.2">
      <c r="A20" s="4" t="s">
        <v>4331</v>
      </c>
      <c r="B20" s="5">
        <f>SUMPRODUCT((Data!J2:J4274&lt;&gt;"UNKNOWN")*(Data!K2:L4274&lt;&gt;"")*(LEFT(Data!K2:L4274,7)="UNKNOWN"))</f>
        <v>1111</v>
      </c>
      <c r="C20" s="11">
        <f>IF(B6&gt;0,B20/B6,"N/A")</f>
        <v>0.26049237983587337</v>
      </c>
    </row>
    <row r="21" spans="1:5" ht="32" customHeight="1" x14ac:dyDescent="0.2">
      <c r="A21" s="4" t="s">
        <v>4332</v>
      </c>
      <c r="B21" s="5">
        <f>SUMPRODUCT((Data!J2:J4274="UNKNOWN")*(Data!K2:L4274&lt;&gt;"")*(LEFT(Data!K2:L4274,7)&lt;&gt;"UNKNOWN"))</f>
        <v>333</v>
      </c>
      <c r="C21" s="11">
        <f>IF(B6&gt;0,B21/B6,"N/A")</f>
        <v>7.8077373974208678E-2</v>
      </c>
    </row>
    <row r="22" spans="1:5" ht="16" customHeight="1" x14ac:dyDescent="0.2">
      <c r="A22" s="4" t="s">
        <v>4333</v>
      </c>
      <c r="B22" s="5">
        <f>SUMPRODUCT((Data!J2:J4274="UNKNOWN")*(Data!K2:L4274&lt;&gt;"")*(LEFT(Data!K2:L4274,7)="UNKNOWN"))</f>
        <v>107</v>
      </c>
      <c r="C22" s="11">
        <f>IF(B6&gt;0,B22/B6,"N/A")</f>
        <v>2.5087924970691677E-2</v>
      </c>
    </row>
    <row r="23" spans="1:5" ht="32" customHeight="1" x14ac:dyDescent="0.2">
      <c r="A23" s="4" t="s">
        <v>4334</v>
      </c>
      <c r="B23" s="5">
        <f>B19+B20+B21+B22</f>
        <v>4265</v>
      </c>
      <c r="C23" s="11" t="str">
        <f>IF(B23=B6,"OK","MISMATCH!")</f>
        <v>OK</v>
      </c>
    </row>
    <row r="25" spans="1:5" ht="19" customHeight="1" x14ac:dyDescent="0.25">
      <c r="A25" s="47" t="s">
        <v>4335</v>
      </c>
    </row>
    <row r="26" spans="1:5" x14ac:dyDescent="0.2">
      <c r="A26" s="49" t="s">
        <v>4336</v>
      </c>
    </row>
    <row r="28" spans="1:5" ht="34" customHeight="1" x14ac:dyDescent="0.2">
      <c r="A28" s="50" t="s">
        <v>4337</v>
      </c>
      <c r="B28" s="3" t="s">
        <v>4338</v>
      </c>
      <c r="C28" s="3" t="s">
        <v>4339</v>
      </c>
      <c r="D28" s="3" t="s">
        <v>4340</v>
      </c>
      <c r="E28" s="3" t="s">
        <v>4341</v>
      </c>
    </row>
    <row r="29" spans="1:5" ht="16" customHeight="1" x14ac:dyDescent="0.2">
      <c r="A29" s="4" t="s">
        <v>4342</v>
      </c>
      <c r="B29" s="5">
        <f>SUMPRODUCT((Data!J2:J4274="MALE")*(Data!K2:L4274="MALE"))</f>
        <v>458</v>
      </c>
      <c r="C29" s="5">
        <f>SUMPRODUCT((Data!J2:J4274="MALE")*(Data!K2:L4274="FEMALE"))</f>
        <v>338</v>
      </c>
      <c r="D29" s="5">
        <f>SUMPRODUCT((Data!J2:J4274="MALE")*(Data!K2:L4274&lt;&gt;"")*(LEFT(Data!K2:L4274,7)="UNKNOWN"))</f>
        <v>767</v>
      </c>
      <c r="E29" s="5">
        <f>B29+C29+D29</f>
        <v>1563</v>
      </c>
    </row>
    <row r="30" spans="1:5" ht="16" customHeight="1" x14ac:dyDescent="0.2">
      <c r="A30" s="4" t="s">
        <v>4343</v>
      </c>
      <c r="B30" s="5">
        <f>SUMPRODUCT((Data!J2:J4274="FEMALE")*(Data!K2:L4274="MALE"))</f>
        <v>205</v>
      </c>
      <c r="C30" s="5">
        <f>SUMPRODUCT((Data!J2:J4274="FEMALE")*(Data!K2:L4274="FEMALE"))</f>
        <v>200</v>
      </c>
      <c r="D30" s="5">
        <f>SUMPRODUCT((Data!J2:J4274="FEMALE")*(Data!K2:L4274&lt;&gt;"")*(LEFT(Data!K2:L4274,7)="UNKNOWN"))</f>
        <v>344</v>
      </c>
      <c r="E30" s="5">
        <f>B30+C30+D30</f>
        <v>749</v>
      </c>
    </row>
    <row r="31" spans="1:5" ht="16" customHeight="1" x14ac:dyDescent="0.2">
      <c r="A31" s="4" t="s">
        <v>4344</v>
      </c>
      <c r="B31" s="5">
        <f>SUMPRODUCT((Data!J2:J4274="UNKNOWN")*(Data!K2:L4274="MALE"))</f>
        <v>52</v>
      </c>
      <c r="C31" s="5">
        <f>SUMPRODUCT((Data!J2:J4274="UNKNOWN")*(Data!K2:L4274="FEMALE"))</f>
        <v>40</v>
      </c>
      <c r="D31" s="5">
        <f>SUMPRODUCT((Data!J2:J4274="UNKNOWN")*(Data!K2:L4274&lt;&gt;"")*(LEFT(Data!K2:L4274,7)="UNKNOWN"))</f>
        <v>107</v>
      </c>
      <c r="E31" s="5">
        <f>B31+C31+D31</f>
        <v>199</v>
      </c>
    </row>
    <row r="32" spans="1:5" ht="17" customHeight="1" x14ac:dyDescent="0.2">
      <c r="A32" s="12" t="s">
        <v>4345</v>
      </c>
      <c r="B32" s="5">
        <f>B29+B30+B31</f>
        <v>715</v>
      </c>
      <c r="C32" s="5">
        <f>C29+C30+C31</f>
        <v>578</v>
      </c>
      <c r="D32" s="5">
        <f>D29+D30+D31</f>
        <v>1218</v>
      </c>
      <c r="E32" s="5">
        <f>E29+E30+E31</f>
        <v>2511</v>
      </c>
    </row>
    <row r="35" spans="1:4" ht="19" customHeight="1" x14ac:dyDescent="0.25">
      <c r="A35" s="47" t="s">
        <v>4346</v>
      </c>
    </row>
    <row r="36" spans="1:4" x14ac:dyDescent="0.2">
      <c r="A36" s="49" t="s">
        <v>4347</v>
      </c>
    </row>
    <row r="38" spans="1:4" ht="17" customHeight="1" x14ac:dyDescent="0.2">
      <c r="A38" s="13" t="s">
        <v>4348</v>
      </c>
    </row>
    <row r="39" spans="1:4" ht="51" customHeight="1" x14ac:dyDescent="0.2">
      <c r="A39" s="14" t="s">
        <v>4349</v>
      </c>
      <c r="B39" s="14" t="s">
        <v>4309</v>
      </c>
      <c r="C39" s="14" t="s">
        <v>4350</v>
      </c>
      <c r="D39" s="14" t="s">
        <v>4351</v>
      </c>
    </row>
    <row r="40" spans="1:4" ht="16" customHeight="1" x14ac:dyDescent="0.2">
      <c r="A40" s="15" t="s">
        <v>4352</v>
      </c>
      <c r="B40" s="16">
        <f>SUMPRODUCT((Data!J2:J4274="MALE")*(Data!K2:L4274="MALE"))</f>
        <v>458</v>
      </c>
      <c r="C40" s="17">
        <f>IF((B40+B41)&gt;0, B40/(B40+B41), 0)</f>
        <v>0.57537688442211055</v>
      </c>
      <c r="D40" s="18" t="str">
        <f>REPT("█",ROUND(B40/MAX(B40:B43)*20,0))</f>
        <v>████████████████████</v>
      </c>
    </row>
    <row r="41" spans="1:4" ht="32" customHeight="1" x14ac:dyDescent="0.2">
      <c r="A41" s="19" t="s">
        <v>4353</v>
      </c>
      <c r="B41" s="16">
        <f>SUMPRODUCT((Data!J2:J4274="MALE")*(Data!K2:L4274="FEMALE"))</f>
        <v>338</v>
      </c>
      <c r="C41" s="17">
        <f>IF((B40+B41)&gt;0, B41/(B40+B41), 0)</f>
        <v>0.42462311557788945</v>
      </c>
      <c r="D41" s="20" t="str">
        <f>REPT("█",ROUND(B41/MAX(B40:B43)*20,0))</f>
        <v>███████████████</v>
      </c>
    </row>
    <row r="42" spans="1:4" ht="32" customHeight="1" x14ac:dyDescent="0.2">
      <c r="A42" s="21" t="s">
        <v>4354</v>
      </c>
      <c r="B42" s="16">
        <f>SUMPRODUCT((Data!J2:J4274="FEMALE")*(Data!K2:L4274="MALE"))</f>
        <v>205</v>
      </c>
      <c r="C42" s="17">
        <f>IF((B42+B43)&gt;0, B42/(B42+B43), 0)</f>
        <v>0.50617283950617287</v>
      </c>
      <c r="D42" s="22" t="str">
        <f>REPT("█",ROUND(B42/MAX(B40:B43)*20,0))</f>
        <v>█████████</v>
      </c>
    </row>
    <row r="43" spans="1:4" ht="32" customHeight="1" x14ac:dyDescent="0.2">
      <c r="A43" s="23" t="s">
        <v>4355</v>
      </c>
      <c r="B43" s="16">
        <f>SUMPRODUCT((Data!J2:J4274="FEMALE")*(Data!K2:L4274="FEMALE"))</f>
        <v>200</v>
      </c>
      <c r="C43" s="17">
        <f>IF((B42+B43)&gt;0, B43/(B42+B43), 0)</f>
        <v>0.49382716049382713</v>
      </c>
      <c r="D43" s="24" t="str">
        <f>REPT("█",ROUND(B43/MAX(B40:B43)*20,0))</f>
        <v>█████████</v>
      </c>
    </row>
    <row r="44" spans="1:4" ht="17" customHeight="1" x14ac:dyDescent="0.2">
      <c r="A44" s="25" t="s">
        <v>4356</v>
      </c>
      <c r="B44" s="26">
        <f>B40+B41+B42+B43</f>
        <v>1201</v>
      </c>
    </row>
    <row r="47" spans="1:4" ht="17" customHeight="1" x14ac:dyDescent="0.2">
      <c r="A47" s="13" t="s">
        <v>4357</v>
      </c>
    </row>
    <row r="49" spans="1:4" ht="16" customHeight="1" x14ac:dyDescent="0.2">
      <c r="A49" s="27" t="s">
        <v>21</v>
      </c>
    </row>
    <row r="50" spans="1:4" ht="51" customHeight="1" x14ac:dyDescent="0.2">
      <c r="A50" s="14" t="s">
        <v>4349</v>
      </c>
      <c r="B50" s="14" t="s">
        <v>4309</v>
      </c>
      <c r="C50" s="14" t="s">
        <v>4350</v>
      </c>
      <c r="D50" s="14" t="s">
        <v>4351</v>
      </c>
    </row>
    <row r="51" spans="1:4" ht="32" customHeight="1" x14ac:dyDescent="0.2">
      <c r="A51" s="15" t="s">
        <v>4352</v>
      </c>
      <c r="B51" s="16">
        <f>SUMPRODUCT((Data!E2:E4274="T1")*(Data!J2:J4274="MALE")*(Data!K2:L4274="MALE"))</f>
        <v>160</v>
      </c>
      <c r="C51" s="17">
        <f>IF((B51+B52)&gt;0, B51/(B51+B52), 0)</f>
        <v>0.62015503875968991</v>
      </c>
      <c r="D51" s="18" t="str">
        <f>IF(MAX(B51:B54)&gt;0,REPT("█",ROUND(B51/MAX(B51:B54)*20,0)),"")</f>
        <v>████████████████████</v>
      </c>
    </row>
    <row r="52" spans="1:4" ht="32" customHeight="1" x14ac:dyDescent="0.2">
      <c r="A52" s="19" t="s">
        <v>4353</v>
      </c>
      <c r="B52" s="16">
        <f>SUMPRODUCT((Data!E2:E4274="T1")*(Data!J2:J4274="MALE")*(Data!K2:L4274="FEMALE"))</f>
        <v>98</v>
      </c>
      <c r="C52" s="17">
        <f>IF((B51+B52)&gt;0, B52/(B51+B52), 0)</f>
        <v>0.37984496124031009</v>
      </c>
      <c r="D52" s="20" t="str">
        <f>IF(MAX(B51:B54)&gt;0,REPT("█",ROUND(B52/MAX(B51:B54)*20,0)),"")</f>
        <v>████████████</v>
      </c>
    </row>
    <row r="53" spans="1:4" ht="32" customHeight="1" x14ac:dyDescent="0.2">
      <c r="A53" s="21" t="s">
        <v>4354</v>
      </c>
      <c r="B53" s="16">
        <f>SUMPRODUCT((Data!E2:E4274="T1")*(Data!J2:J4274="FEMALE")*(Data!K2:L4274="MALE"))</f>
        <v>52</v>
      </c>
      <c r="C53" s="17">
        <f>IF((B53+B54)&gt;0, B53/(B53+B54), 0)</f>
        <v>0.55913978494623651</v>
      </c>
      <c r="D53" s="22" t="str">
        <f>IF(MAX(B51:B54)&gt;0,REPT("█",ROUND(B53/MAX(B51:B54)*20,0)),"")</f>
        <v>███████</v>
      </c>
    </row>
    <row r="54" spans="1:4" ht="32" customHeight="1" x14ac:dyDescent="0.2">
      <c r="A54" s="23" t="s">
        <v>4355</v>
      </c>
      <c r="B54" s="16">
        <f>SUMPRODUCT((Data!E2:E4274="T1")*(Data!J2:J4274="FEMALE")*(Data!K2:L4274="FEMALE"))</f>
        <v>41</v>
      </c>
      <c r="C54" s="17">
        <f>IF((B53+B54)&gt;0, B54/(B53+B54), 0)</f>
        <v>0.44086021505376344</v>
      </c>
      <c r="D54" s="24" t="str">
        <f>IF(MAX(B51:B54)&gt;0,REPT("█",ROUND(B54/MAX(B51:B54)*20,0)),"")</f>
        <v>█████</v>
      </c>
    </row>
    <row r="55" spans="1:4" ht="17" customHeight="1" x14ac:dyDescent="0.2">
      <c r="A55" s="25" t="s">
        <v>4356</v>
      </c>
      <c r="B55" s="26">
        <f>B51+B52+B53+B54</f>
        <v>351</v>
      </c>
    </row>
    <row r="57" spans="1:4" ht="16" customHeight="1" x14ac:dyDescent="0.2">
      <c r="A57" s="27" t="s">
        <v>26</v>
      </c>
    </row>
    <row r="58" spans="1:4" ht="51" customHeight="1" x14ac:dyDescent="0.2">
      <c r="A58" s="14" t="s">
        <v>4349</v>
      </c>
      <c r="B58" s="14" t="s">
        <v>4309</v>
      </c>
      <c r="C58" s="14" t="s">
        <v>4350</v>
      </c>
      <c r="D58" s="14" t="s">
        <v>4351</v>
      </c>
    </row>
    <row r="59" spans="1:4" ht="16" customHeight="1" x14ac:dyDescent="0.2">
      <c r="A59" s="15" t="s">
        <v>4352</v>
      </c>
      <c r="B59" s="16">
        <f>SUMPRODUCT((Data!E2:E4274="T2")*(Data!J2:J4274="MALE")*(Data!K2:L4274="MALE"))</f>
        <v>78</v>
      </c>
      <c r="C59" s="17">
        <f>IF((B59+B60)&gt;0, B59/(B59+B60), 0)</f>
        <v>0.52348993288590606</v>
      </c>
      <c r="D59" s="18" t="str">
        <f>IF(MAX(B59:B62)&gt;0,REPT("█",ROUND(B59/MAX(B59:B62)*20,0)),"")</f>
        <v>████████████████████</v>
      </c>
    </row>
    <row r="60" spans="1:4" ht="32" customHeight="1" x14ac:dyDescent="0.2">
      <c r="A60" s="19" t="s">
        <v>4353</v>
      </c>
      <c r="B60" s="16">
        <f>SUMPRODUCT((Data!E2:E4274="T2")*(Data!J2:J4274="MALE")*(Data!K2:L4274="FEMALE"))</f>
        <v>71</v>
      </c>
      <c r="C60" s="17">
        <f>IF((B59+B60)&gt;0, B60/(B59+B60), 0)</f>
        <v>0.47651006711409394</v>
      </c>
      <c r="D60" s="20" t="str">
        <f>IF(MAX(B59:B62)&gt;0,REPT("█",ROUND(B60/MAX(B59:B62)*20,0)),"")</f>
        <v>██████████████████</v>
      </c>
    </row>
    <row r="61" spans="1:4" ht="32" customHeight="1" x14ac:dyDescent="0.2">
      <c r="A61" s="21" t="s">
        <v>4354</v>
      </c>
      <c r="B61" s="16">
        <f>SUMPRODUCT((Data!E2:E4274="T2")*(Data!J2:J4274="FEMALE")*(Data!K2:L4274="MALE"))</f>
        <v>43</v>
      </c>
      <c r="C61" s="17">
        <f>IF((B61+B62)&gt;0, B61/(B61+B62), 0)</f>
        <v>0.58108108108108103</v>
      </c>
      <c r="D61" s="22" t="str">
        <f>IF(MAX(B59:B62)&gt;0,REPT("█",ROUND(B61/MAX(B59:B62)*20,0)),"")</f>
        <v>███████████</v>
      </c>
    </row>
    <row r="62" spans="1:4" ht="32" customHeight="1" x14ac:dyDescent="0.2">
      <c r="A62" s="23" t="s">
        <v>4355</v>
      </c>
      <c r="B62" s="16">
        <f>SUMPRODUCT((Data!E2:E4274="T2")*(Data!J2:J4274="FEMALE")*(Data!K2:L4274="FEMALE"))</f>
        <v>31</v>
      </c>
      <c r="C62" s="17">
        <f>IF((B61+B62)&gt;0, B62/(B61+B62), 0)</f>
        <v>0.41891891891891891</v>
      </c>
      <c r="D62" s="24" t="str">
        <f>IF(MAX(B59:B62)&gt;0,REPT("█",ROUND(B62/MAX(B59:B62)*20,0)),"")</f>
        <v>████████</v>
      </c>
    </row>
    <row r="63" spans="1:4" ht="17" customHeight="1" x14ac:dyDescent="0.2">
      <c r="A63" s="25" t="s">
        <v>4356</v>
      </c>
      <c r="B63" s="26">
        <f>B59+B60+B61+B62</f>
        <v>223</v>
      </c>
    </row>
    <row r="65" spans="1:4" ht="16" customHeight="1" x14ac:dyDescent="0.2">
      <c r="A65" s="27" t="s">
        <v>14</v>
      </c>
    </row>
    <row r="66" spans="1:4" ht="51" customHeight="1" x14ac:dyDescent="0.2">
      <c r="A66" s="14" t="s">
        <v>4349</v>
      </c>
      <c r="B66" s="14" t="s">
        <v>4309</v>
      </c>
      <c r="C66" s="14" t="s">
        <v>4350</v>
      </c>
      <c r="D66" s="14" t="s">
        <v>4351</v>
      </c>
    </row>
    <row r="67" spans="1:4" ht="32" customHeight="1" x14ac:dyDescent="0.2">
      <c r="A67" s="15" t="s">
        <v>4352</v>
      </c>
      <c r="B67" s="16">
        <f>SUMPRODUCT((Data!E2:E4274="T3")*(Data!J2:J4274="MALE")*(Data!K2:L4274="MALE"))</f>
        <v>53</v>
      </c>
      <c r="C67" s="17">
        <f>IF((B67+B68)&gt;0, B67/(B67+B68), 0)</f>
        <v>0.60919540229885061</v>
      </c>
      <c r="D67" s="18" t="str">
        <f>IF(MAX(B67:B70)&gt;0,REPT("█",ROUND(B67/MAX(B67:B70)*20,0)),"")</f>
        <v>████████████████████</v>
      </c>
    </row>
    <row r="68" spans="1:4" ht="32" customHeight="1" x14ac:dyDescent="0.2">
      <c r="A68" s="19" t="s">
        <v>4353</v>
      </c>
      <c r="B68" s="16">
        <f>SUMPRODUCT((Data!E2:E4274="T3")*(Data!J2:J4274="MALE")*(Data!K2:L4274="FEMALE"))</f>
        <v>34</v>
      </c>
      <c r="C68" s="17">
        <f>IF((B67+B68)&gt;0, B68/(B67+B68), 0)</f>
        <v>0.39080459770114945</v>
      </c>
      <c r="D68" s="20" t="str">
        <f>IF(MAX(B67:B70)&gt;0,REPT("█",ROUND(B68/MAX(B67:B70)*20,0)),"")</f>
        <v>█████████████</v>
      </c>
    </row>
    <row r="69" spans="1:4" ht="32" customHeight="1" x14ac:dyDescent="0.2">
      <c r="A69" s="21" t="s">
        <v>4354</v>
      </c>
      <c r="B69" s="16">
        <f>SUMPRODUCT((Data!E2:E4274="T3")*(Data!J2:J4274="FEMALE")*(Data!K2:L4274="MALE"))</f>
        <v>11</v>
      </c>
      <c r="C69" s="17">
        <f>IF((B69+B70)&gt;0, B69/(B69+B70), 0)</f>
        <v>0.57894736842105265</v>
      </c>
      <c r="D69" s="22" t="str">
        <f>IF(MAX(B67:B70)&gt;0,REPT("█",ROUND(B69/MAX(B67:B70)*20,0)),"")</f>
        <v>████</v>
      </c>
    </row>
    <row r="70" spans="1:4" ht="32" customHeight="1" x14ac:dyDescent="0.2">
      <c r="A70" s="23" t="s">
        <v>4355</v>
      </c>
      <c r="B70" s="16">
        <f>SUMPRODUCT((Data!E2:E4274="T3")*(Data!J2:J4274="FEMALE")*(Data!K2:L4274="FEMALE"))</f>
        <v>8</v>
      </c>
      <c r="C70" s="17">
        <f>IF((B69+B70)&gt;0, B70/(B69+B70), 0)</f>
        <v>0.42105263157894735</v>
      </c>
      <c r="D70" s="24" t="str">
        <f>IF(MAX(B67:B70)&gt;0,REPT("█",ROUND(B70/MAX(B67:B70)*20,0)),"")</f>
        <v>███</v>
      </c>
    </row>
    <row r="71" spans="1:4" ht="17" customHeight="1" x14ac:dyDescent="0.2">
      <c r="A71" s="25" t="s">
        <v>4356</v>
      </c>
      <c r="B71" s="26">
        <f>B67+B68+B69+B70</f>
        <v>106</v>
      </c>
    </row>
    <row r="73" spans="1:4" ht="16" customHeight="1" x14ac:dyDescent="0.2">
      <c r="A73" s="27" t="s">
        <v>30</v>
      </c>
    </row>
    <row r="74" spans="1:4" ht="51" customHeight="1" x14ac:dyDescent="0.2">
      <c r="A74" s="14" t="s">
        <v>4349</v>
      </c>
      <c r="B74" s="14" t="s">
        <v>4309</v>
      </c>
      <c r="C74" s="14" t="s">
        <v>4350</v>
      </c>
      <c r="D74" s="14" t="s">
        <v>4351</v>
      </c>
    </row>
    <row r="75" spans="1:4" ht="16" customHeight="1" x14ac:dyDescent="0.2">
      <c r="A75" s="15" t="s">
        <v>4352</v>
      </c>
      <c r="B75" s="16">
        <f>SUMPRODUCT((Data!E2:E4274="T4")*(Data!J2:J4274="MALE")*(Data!K2:L4274="MALE"))</f>
        <v>52</v>
      </c>
      <c r="C75" s="17">
        <f>IF((B75+B76)&gt;0, B75/(B75+B76), 0)</f>
        <v>0.56521739130434778</v>
      </c>
      <c r="D75" s="18" t="str">
        <f>IF(MAX(B75:B78)&gt;0,REPT("█",ROUND(B75/MAX(B75:B78)*20,0)),"")</f>
        <v>████████████████████</v>
      </c>
    </row>
    <row r="76" spans="1:4" ht="32" customHeight="1" x14ac:dyDescent="0.2">
      <c r="A76" s="19" t="s">
        <v>4353</v>
      </c>
      <c r="B76" s="16">
        <f>SUMPRODUCT((Data!E2:E4274="T4")*(Data!J2:J4274="MALE")*(Data!K2:L4274="FEMALE"))</f>
        <v>40</v>
      </c>
      <c r="C76" s="17">
        <f>IF((B75+B76)&gt;0, B76/(B75+B76), 0)</f>
        <v>0.43478260869565216</v>
      </c>
      <c r="D76" s="20" t="str">
        <f>IF(MAX(B75:B78)&gt;0,REPT("█",ROUND(B76/MAX(B75:B78)*20,0)),"")</f>
        <v>███████████████</v>
      </c>
    </row>
    <row r="77" spans="1:4" ht="32" customHeight="1" x14ac:dyDescent="0.2">
      <c r="A77" s="21" t="s">
        <v>4354</v>
      </c>
      <c r="B77" s="16">
        <f>SUMPRODUCT((Data!E2:E4274="T4")*(Data!J2:J4274="FEMALE")*(Data!K2:L4274="MALE"))</f>
        <v>23</v>
      </c>
      <c r="C77" s="17">
        <f>IF((B77+B78)&gt;0, B77/(B77+B78), 0)</f>
        <v>0.58974358974358976</v>
      </c>
      <c r="D77" s="22" t="str">
        <f>IF(MAX(B75:B78)&gt;0,REPT("█",ROUND(B77/MAX(B75:B78)*20,0)),"")</f>
        <v>█████████</v>
      </c>
    </row>
    <row r="78" spans="1:4" ht="32" customHeight="1" x14ac:dyDescent="0.2">
      <c r="A78" s="23" t="s">
        <v>4355</v>
      </c>
      <c r="B78" s="16">
        <f>SUMPRODUCT((Data!E2:E4274="T4")*(Data!J2:J4274="FEMALE")*(Data!K2:L4274="FEMALE"))</f>
        <v>16</v>
      </c>
      <c r="C78" s="17">
        <f>IF((B77+B78)&gt;0, B78/(B77+B78), 0)</f>
        <v>0.41025641025641024</v>
      </c>
      <c r="D78" s="24" t="str">
        <f>IF(MAX(B75:B78)&gt;0,REPT("█",ROUND(B78/MAX(B75:B78)*20,0)),"")</f>
        <v>██████</v>
      </c>
    </row>
    <row r="79" spans="1:4" ht="17" customHeight="1" x14ac:dyDescent="0.2">
      <c r="A79" s="25" t="s">
        <v>4356</v>
      </c>
      <c r="B79" s="26">
        <f>B75+B76+B77+B78</f>
        <v>131</v>
      </c>
    </row>
    <row r="81" spans="1:4" ht="16" customHeight="1" x14ac:dyDescent="0.2">
      <c r="A81" s="27" t="s">
        <v>54</v>
      </c>
    </row>
    <row r="82" spans="1:4" ht="51" customHeight="1" x14ac:dyDescent="0.2">
      <c r="A82" s="14" t="s">
        <v>4349</v>
      </c>
      <c r="B82" s="14" t="s">
        <v>4309</v>
      </c>
      <c r="C82" s="14" t="s">
        <v>4350</v>
      </c>
      <c r="D82" s="14" t="s">
        <v>4351</v>
      </c>
    </row>
    <row r="83" spans="1:4" ht="16" customHeight="1" x14ac:dyDescent="0.2">
      <c r="A83" s="15" t="s">
        <v>4352</v>
      </c>
      <c r="B83" s="16">
        <f>SUMPRODUCT((Data!E2:E4274="T5")*(Data!J2:J4274="MALE")*(Data!K2:L4274="MALE"))</f>
        <v>18</v>
      </c>
      <c r="C83" s="17">
        <f>IF((B83+B84)&gt;0, B83/(B83+B84), 0)</f>
        <v>0.6</v>
      </c>
      <c r="D83" s="18" t="str">
        <f>IF(MAX(B83:B86)&gt;0,REPT("█",ROUND(B83/MAX(B83:B86)*20,0)),"")</f>
        <v>████</v>
      </c>
    </row>
    <row r="84" spans="1:4" ht="32" customHeight="1" x14ac:dyDescent="0.2">
      <c r="A84" s="19" t="s">
        <v>4353</v>
      </c>
      <c r="B84" s="16">
        <f>SUMPRODUCT((Data!E2:E4274="T5")*(Data!J2:J4274="MALE")*(Data!K2:L4274="FEMALE"))</f>
        <v>12</v>
      </c>
      <c r="C84" s="17">
        <f>IF((B83+B84)&gt;0, B84/(B83+B84), 0)</f>
        <v>0.4</v>
      </c>
      <c r="D84" s="20" t="str">
        <f>IF(MAX(B83:B86)&gt;0,REPT("█",ROUND(B84/MAX(B83:B86)*20,0)),"")</f>
        <v>███</v>
      </c>
    </row>
    <row r="85" spans="1:4" ht="32" customHeight="1" x14ac:dyDescent="0.2">
      <c r="A85" s="21" t="s">
        <v>4354</v>
      </c>
      <c r="B85" s="16">
        <f>SUMPRODUCT((Data!E2:E4274="T5")*(Data!J2:J4274="FEMALE")*(Data!K2:L4274="MALE"))</f>
        <v>66</v>
      </c>
      <c r="C85" s="17">
        <f>IF((B85+B86)&gt;0, B85/(B85+B86), 0)</f>
        <v>0.44594594594594594</v>
      </c>
      <c r="D85" s="22" t="str">
        <f>IF(MAX(B83:B86)&gt;0,REPT("█",ROUND(B85/MAX(B83:B86)*20,0)),"")</f>
        <v>████████████████</v>
      </c>
    </row>
    <row r="86" spans="1:4" ht="32" customHeight="1" x14ac:dyDescent="0.2">
      <c r="A86" s="23" t="s">
        <v>4355</v>
      </c>
      <c r="B86" s="16">
        <f>SUMPRODUCT((Data!E2:E4274="T5")*(Data!J2:J4274="FEMALE")*(Data!K2:L4274="FEMALE"))</f>
        <v>82</v>
      </c>
      <c r="C86" s="17">
        <f>IF((B85+B86)&gt;0, B86/(B85+B86), 0)</f>
        <v>0.55405405405405406</v>
      </c>
      <c r="D86" s="24" t="str">
        <f>IF(MAX(B83:B86)&gt;0,REPT("█",ROUND(B86/MAX(B83:B86)*20,0)),"")</f>
        <v>████████████████████</v>
      </c>
    </row>
    <row r="87" spans="1:4" ht="17" customHeight="1" x14ac:dyDescent="0.2">
      <c r="A87" s="25" t="s">
        <v>4356</v>
      </c>
      <c r="B87" s="26">
        <f>B83+B84+B85+B86</f>
        <v>178</v>
      </c>
    </row>
    <row r="89" spans="1:4" ht="16" customHeight="1" x14ac:dyDescent="0.2">
      <c r="A89" s="27" t="s">
        <v>39</v>
      </c>
    </row>
    <row r="90" spans="1:4" ht="51" customHeight="1" x14ac:dyDescent="0.2">
      <c r="A90" s="14" t="s">
        <v>4349</v>
      </c>
      <c r="B90" s="14" t="s">
        <v>4309</v>
      </c>
      <c r="C90" s="14" t="s">
        <v>4350</v>
      </c>
      <c r="D90" s="14" t="s">
        <v>4351</v>
      </c>
    </row>
    <row r="91" spans="1:4" ht="32" customHeight="1" x14ac:dyDescent="0.2">
      <c r="A91" s="15" t="s">
        <v>4352</v>
      </c>
      <c r="B91" s="16">
        <f>SUMPRODUCT((Data!E2:E4274="T6")*(Data!J2:J4274="MALE")*(Data!K2:L4274="MALE"))</f>
        <v>97</v>
      </c>
      <c r="C91" s="17">
        <f>IF((B91+B92)&gt;0, B91/(B91+B92), 0)</f>
        <v>0.53888888888888886</v>
      </c>
      <c r="D91" s="18" t="str">
        <f>IF(MAX(B91:B94)&gt;0,REPT("█",ROUND(B91/MAX(B91:B94)*20,0)),"")</f>
        <v>████████████████████</v>
      </c>
    </row>
    <row r="92" spans="1:4" ht="32" customHeight="1" x14ac:dyDescent="0.2">
      <c r="A92" s="19" t="s">
        <v>4353</v>
      </c>
      <c r="B92" s="16">
        <f>SUMPRODUCT((Data!E2:E4274="T6")*(Data!J2:J4274="MALE")*(Data!K2:L4274="FEMALE"))</f>
        <v>83</v>
      </c>
      <c r="C92" s="17">
        <f>IF((B91+B92)&gt;0, B92/(B91+B92), 0)</f>
        <v>0.46111111111111114</v>
      </c>
      <c r="D92" s="20" t="str">
        <f>IF(MAX(B91:B94)&gt;0,REPT("█",ROUND(B92/MAX(B91:B94)*20,0)),"")</f>
        <v>█████████████████</v>
      </c>
    </row>
    <row r="93" spans="1:4" ht="32" customHeight="1" x14ac:dyDescent="0.2">
      <c r="A93" s="21" t="s">
        <v>4354</v>
      </c>
      <c r="B93" s="16">
        <f>SUMPRODUCT((Data!E2:E4274="T6")*(Data!J2:J4274="FEMALE")*(Data!K2:L4274="MALE"))</f>
        <v>10</v>
      </c>
      <c r="C93" s="17">
        <f>IF((B93+B94)&gt;0, B93/(B93+B94), 0)</f>
        <v>0.3125</v>
      </c>
      <c r="D93" s="22" t="str">
        <f>IF(MAX(B91:B94)&gt;0,REPT("█",ROUND(B93/MAX(B91:B94)*20,0)),"")</f>
        <v>██</v>
      </c>
    </row>
    <row r="94" spans="1:4" ht="32" customHeight="1" x14ac:dyDescent="0.2">
      <c r="A94" s="23" t="s">
        <v>4355</v>
      </c>
      <c r="B94" s="16">
        <f>SUMPRODUCT((Data!E2:E4274="T6")*(Data!J2:J4274="FEMALE")*(Data!K2:L4274="FEMALE"))</f>
        <v>22</v>
      </c>
      <c r="C94" s="17">
        <f>IF((B93+B94)&gt;0, B94/(B93+B94), 0)</f>
        <v>0.6875</v>
      </c>
      <c r="D94" s="24" t="str">
        <f>IF(MAX(B91:B94)&gt;0,REPT("█",ROUND(B94/MAX(B91:B94)*20,0)),"")</f>
        <v>█████</v>
      </c>
    </row>
    <row r="95" spans="1:4" ht="17" customHeight="1" x14ac:dyDescent="0.2">
      <c r="A95" s="25" t="s">
        <v>4356</v>
      </c>
      <c r="B95" s="26">
        <f>B91+B92+B93+B94</f>
        <v>212</v>
      </c>
    </row>
    <row r="97" spans="1:8" ht="19" customHeight="1" x14ac:dyDescent="0.25">
      <c r="A97" s="48" t="s">
        <v>4358</v>
      </c>
      <c r="B97" s="28"/>
      <c r="C97" s="28"/>
      <c r="D97" s="28"/>
      <c r="E97" s="28"/>
      <c r="F97" s="28"/>
      <c r="G97" s="28"/>
      <c r="H97" s="28"/>
    </row>
    <row r="98" spans="1:8" x14ac:dyDescent="0.2">
      <c r="A98" s="51" t="s">
        <v>4359</v>
      </c>
      <c r="B98" s="28"/>
      <c r="C98" s="28"/>
      <c r="D98" s="28"/>
      <c r="E98" s="28"/>
      <c r="F98" s="28"/>
      <c r="G98" s="28"/>
      <c r="H98" s="28"/>
    </row>
    <row r="99" spans="1:8" x14ac:dyDescent="0.2">
      <c r="A99" s="28"/>
      <c r="B99" s="28"/>
      <c r="C99" s="28"/>
      <c r="D99" s="28"/>
      <c r="E99" s="28"/>
      <c r="F99" s="28"/>
      <c r="G99" s="28"/>
      <c r="H99" s="28"/>
    </row>
    <row r="100" spans="1:8" ht="17" customHeight="1" x14ac:dyDescent="0.2">
      <c r="A100" s="29" t="s">
        <v>4348</v>
      </c>
      <c r="B100" s="28"/>
      <c r="C100" s="28"/>
      <c r="D100" s="28"/>
      <c r="E100" s="28"/>
      <c r="F100" s="28"/>
      <c r="G100" s="28"/>
      <c r="H100" s="28"/>
    </row>
    <row r="101" spans="1:8" ht="17" customHeight="1" x14ac:dyDescent="0.2">
      <c r="A101" s="14" t="s">
        <v>4360</v>
      </c>
      <c r="B101" s="14" t="s">
        <v>4361</v>
      </c>
      <c r="C101" s="14" t="s">
        <v>19</v>
      </c>
      <c r="D101" s="14" t="s">
        <v>4362</v>
      </c>
      <c r="E101" s="14" t="s">
        <v>12</v>
      </c>
      <c r="F101" s="14" t="s">
        <v>4363</v>
      </c>
      <c r="G101" s="14" t="s">
        <v>33</v>
      </c>
      <c r="H101" s="14" t="s">
        <v>4364</v>
      </c>
    </row>
    <row r="102" spans="1:8" ht="16" customHeight="1" x14ac:dyDescent="0.2">
      <c r="A102" s="15" t="s">
        <v>4365</v>
      </c>
      <c r="B102" s="30">
        <f>SUMPRODUCT((Data!J2:J4274="MALE")*(Data!K2:L4274="MALE"))</f>
        <v>458</v>
      </c>
      <c r="C102" s="31">
        <f>SUMPRODUCT((Data!J2:J4274="MALE")*(Data!K2:L4274="MALE")*(Data!C2:C4274="Successful"))</f>
        <v>267</v>
      </c>
      <c r="D102" s="32">
        <f>IF(B102&gt;0,C102/B102,0)</f>
        <v>0.58296943231441045</v>
      </c>
      <c r="E102" s="33">
        <f>SUMPRODUCT((Data!J2:J4274="MALE")*(Data!K2:L4274="MALE")*(Data!C2:C4274="Not successful"))</f>
        <v>91</v>
      </c>
      <c r="F102" s="32">
        <f>IF(B102&gt;0,E102/B102,0)</f>
        <v>0.19868995633187772</v>
      </c>
      <c r="G102" s="34">
        <f>SUMPRODUCT((Data!J2:J4274="MALE")*(Data!K2:L4274="MALE")*(Data!C2:C4274="Asleep"))</f>
        <v>100</v>
      </c>
      <c r="H102" s="32">
        <f>IF(B102&gt;0,G102/B102,0)</f>
        <v>0.2183406113537118</v>
      </c>
    </row>
    <row r="103" spans="1:8" ht="16" customHeight="1" x14ac:dyDescent="0.2">
      <c r="A103" s="19" t="s">
        <v>4366</v>
      </c>
      <c r="B103" s="30">
        <f>SUMPRODUCT((Data!J2:J4274="MALE")*(Data!K2:L4274="FEMALE"))</f>
        <v>338</v>
      </c>
      <c r="C103" s="31">
        <f>SUMPRODUCT((Data!J2:J4274="MALE")*(Data!K2:L4274="FEMALE")*(Data!C2:C4274="Successful"))</f>
        <v>188</v>
      </c>
      <c r="D103" s="32">
        <f>IF(B103&gt;0,C103/B103,0)</f>
        <v>0.55621301775147924</v>
      </c>
      <c r="E103" s="33">
        <f>SUMPRODUCT((Data!J2:J4274="MALE")*(Data!K2:L4274="FEMALE")*(Data!C2:C4274="Not successful"))</f>
        <v>82</v>
      </c>
      <c r="F103" s="32">
        <f>IF(B103&gt;0,E103/B103,0)</f>
        <v>0.24260355029585798</v>
      </c>
      <c r="G103" s="34">
        <f>SUMPRODUCT((Data!J2:J4274="MALE")*(Data!K2:L4274="FEMALE")*(Data!C2:C4274="Asleep"))</f>
        <v>68</v>
      </c>
      <c r="H103" s="32">
        <f>IF(B103&gt;0,G103/B103,0)</f>
        <v>0.20118343195266272</v>
      </c>
    </row>
    <row r="104" spans="1:8" ht="16" customHeight="1" x14ac:dyDescent="0.2">
      <c r="A104" s="21" t="s">
        <v>4367</v>
      </c>
      <c r="B104" s="30">
        <f>SUMPRODUCT((Data!J2:J4274="FEMALE")*(Data!K2:L4274="MALE"))</f>
        <v>205</v>
      </c>
      <c r="C104" s="31">
        <f>SUMPRODUCT((Data!J2:J4274="FEMALE")*(Data!K2:L4274="MALE")*(Data!C2:C4274="Successful"))</f>
        <v>104</v>
      </c>
      <c r="D104" s="32">
        <f>IF(B104&gt;0,C104/B104,0)</f>
        <v>0.50731707317073171</v>
      </c>
      <c r="E104" s="33">
        <f>SUMPRODUCT((Data!J2:J4274="FEMALE")*(Data!K2:L4274="MALE")*(Data!C2:C4274="Not successful"))</f>
        <v>39</v>
      </c>
      <c r="F104" s="32">
        <f>IF(B104&gt;0,E104/B104,0)</f>
        <v>0.19024390243902439</v>
      </c>
      <c r="G104" s="34">
        <f>SUMPRODUCT((Data!J2:J4274="FEMALE")*(Data!K2:L4274="MALE")*(Data!C2:C4274="Asleep"))</f>
        <v>62</v>
      </c>
      <c r="H104" s="32">
        <f>IF(B104&gt;0,G104/B104,0)</f>
        <v>0.30243902439024389</v>
      </c>
    </row>
    <row r="105" spans="1:8" ht="16" customHeight="1" x14ac:dyDescent="0.2">
      <c r="A105" s="23" t="s">
        <v>4368</v>
      </c>
      <c r="B105" s="30">
        <f>SUMPRODUCT((Data!J2:J4274="FEMALE")*(Data!K2:L4274="FEMALE"))</f>
        <v>200</v>
      </c>
      <c r="C105" s="31">
        <f>SUMPRODUCT((Data!J2:J4274="FEMALE")*(Data!K2:L4274="FEMALE")*(Data!C2:C4274="Successful"))</f>
        <v>108</v>
      </c>
      <c r="D105" s="32">
        <f>IF(B105&gt;0,C105/B105,0)</f>
        <v>0.54</v>
      </c>
      <c r="E105" s="33">
        <f>SUMPRODUCT((Data!J2:J4274="FEMALE")*(Data!K2:L4274="FEMALE")*(Data!C2:C4274="Not successful"))</f>
        <v>33</v>
      </c>
      <c r="F105" s="32">
        <f>IF(B105&gt;0,E105/B105,0)</f>
        <v>0.16500000000000001</v>
      </c>
      <c r="G105" s="34">
        <f>SUMPRODUCT((Data!J2:J4274="FEMALE")*(Data!K2:L4274="FEMALE")*(Data!C2:C4274="Asleep"))</f>
        <v>59</v>
      </c>
      <c r="H105" s="32">
        <f>IF(B105&gt;0,G105/B105,0)</f>
        <v>0.29499999999999998</v>
      </c>
    </row>
    <row r="106" spans="1:8" x14ac:dyDescent="0.2">
      <c r="A106" s="28"/>
      <c r="B106" s="28"/>
      <c r="C106" s="28"/>
      <c r="D106" s="28"/>
      <c r="E106" s="28"/>
      <c r="F106" s="28"/>
      <c r="G106" s="28"/>
      <c r="H106" s="28"/>
    </row>
    <row r="107" spans="1:8" x14ac:dyDescent="0.2">
      <c r="A107" s="28"/>
      <c r="B107" s="28"/>
      <c r="C107" s="28"/>
      <c r="D107" s="28"/>
      <c r="E107" s="28"/>
      <c r="F107" s="28"/>
      <c r="G107" s="28"/>
      <c r="H107" s="28"/>
    </row>
    <row r="108" spans="1:8" ht="17" customHeight="1" x14ac:dyDescent="0.2">
      <c r="A108" s="29" t="s">
        <v>4357</v>
      </c>
      <c r="B108" s="28"/>
      <c r="C108" s="28"/>
      <c r="D108" s="28"/>
      <c r="E108" s="28"/>
      <c r="F108" s="28"/>
      <c r="G108" s="28"/>
      <c r="H108" s="28"/>
    </row>
    <row r="109" spans="1:8" x14ac:dyDescent="0.2">
      <c r="A109" s="28"/>
      <c r="B109" s="28"/>
      <c r="C109" s="28"/>
      <c r="D109" s="28"/>
      <c r="E109" s="28"/>
      <c r="F109" s="28"/>
      <c r="G109" s="28"/>
      <c r="H109" s="28"/>
    </row>
    <row r="110" spans="1:8" ht="16" customHeight="1" x14ac:dyDescent="0.2">
      <c r="A110" s="35" t="s">
        <v>21</v>
      </c>
      <c r="B110" s="28"/>
      <c r="C110" s="28"/>
      <c r="D110" s="28"/>
      <c r="E110" s="28"/>
      <c r="F110" s="28"/>
      <c r="G110" s="28"/>
      <c r="H110" s="28"/>
    </row>
    <row r="111" spans="1:8" ht="17" customHeight="1" x14ac:dyDescent="0.2">
      <c r="A111" s="14" t="s">
        <v>4360</v>
      </c>
      <c r="B111" s="14" t="s">
        <v>4361</v>
      </c>
      <c r="C111" s="14" t="s">
        <v>19</v>
      </c>
      <c r="D111" s="14" t="s">
        <v>4362</v>
      </c>
      <c r="E111" s="14" t="s">
        <v>12</v>
      </c>
      <c r="F111" s="14" t="s">
        <v>4363</v>
      </c>
      <c r="G111" s="14" t="s">
        <v>33</v>
      </c>
      <c r="H111" s="14" t="s">
        <v>4364</v>
      </c>
    </row>
    <row r="112" spans="1:8" ht="16" customHeight="1" x14ac:dyDescent="0.2">
      <c r="A112" s="15" t="s">
        <v>4365</v>
      </c>
      <c r="B112" s="30">
        <f>SUMPRODUCT((Data!E2:E4274="T1")*(Data!J2:J4274="MALE")*(Data!K2:L4274="MALE"))</f>
        <v>160</v>
      </c>
      <c r="C112" s="31">
        <f>SUMPRODUCT((Data!E2:E4274="T1")*(Data!J2:J4274="MALE")*(Data!K2:L4274="MALE")*(Data!C2:C4274="Successful"))</f>
        <v>97</v>
      </c>
      <c r="D112" s="32">
        <f>IF(B112&gt;0,C112/B112,0)</f>
        <v>0.60624999999999996</v>
      </c>
      <c r="E112" s="33">
        <f>SUMPRODUCT((Data!E2:E4274="T1")*(Data!J2:J4274="MALE")*(Data!K2:L4274="MALE")*(Data!C2:C4274="Not successful"))</f>
        <v>31</v>
      </c>
      <c r="F112" s="32">
        <f>IF(B112&gt;0,E112/B112,0)</f>
        <v>0.19375000000000001</v>
      </c>
      <c r="G112" s="34">
        <f>SUMPRODUCT((Data!E2:E4274="T1")*(Data!J2:J4274="MALE")*(Data!K2:L4274="MALE")*(Data!C2:C4274="Asleep"))</f>
        <v>32</v>
      </c>
      <c r="H112" s="32">
        <f>IF(B112&gt;0,G112/B112,0)</f>
        <v>0.2</v>
      </c>
    </row>
    <row r="113" spans="1:8" ht="16" customHeight="1" x14ac:dyDescent="0.2">
      <c r="A113" s="19" t="s">
        <v>4366</v>
      </c>
      <c r="B113" s="30">
        <f>SUMPRODUCT((Data!E2:E4274="T1")*(Data!J2:J4274="MALE")*(Data!K2:L4274="FEMALE"))</f>
        <v>98</v>
      </c>
      <c r="C113" s="31">
        <f>SUMPRODUCT((Data!E2:E4274="T1")*(Data!J2:J4274="MALE")*(Data!K2:L4274="FEMALE")*(Data!C2:C4274="Successful"))</f>
        <v>59</v>
      </c>
      <c r="D113" s="32">
        <f>IF(B113&gt;0,C113/B113,0)</f>
        <v>0.60204081632653061</v>
      </c>
      <c r="E113" s="33">
        <f>SUMPRODUCT((Data!E2:E4274="T1")*(Data!J2:J4274="MALE")*(Data!K2:L4274="FEMALE")*(Data!C2:C4274="Not successful"))</f>
        <v>22</v>
      </c>
      <c r="F113" s="32">
        <f>IF(B113&gt;0,E113/B113,0)</f>
        <v>0.22448979591836735</v>
      </c>
      <c r="G113" s="34">
        <f>SUMPRODUCT((Data!E2:E4274="T1")*(Data!J2:J4274="MALE")*(Data!K2:L4274="FEMALE")*(Data!C2:C4274="Asleep"))</f>
        <v>17</v>
      </c>
      <c r="H113" s="32">
        <f>IF(B113&gt;0,G113/B113,0)</f>
        <v>0.17346938775510204</v>
      </c>
    </row>
    <row r="114" spans="1:8" ht="16" customHeight="1" x14ac:dyDescent="0.2">
      <c r="A114" s="21" t="s">
        <v>4367</v>
      </c>
      <c r="B114" s="30">
        <f>SUMPRODUCT((Data!E2:E4274="T1")*(Data!J2:J4274="FEMALE")*(Data!K2:L4274="MALE"))</f>
        <v>52</v>
      </c>
      <c r="C114" s="31">
        <f>SUMPRODUCT((Data!E2:E4274="T1")*(Data!J2:J4274="FEMALE")*(Data!K2:L4274="MALE")*(Data!C2:C4274="Successful"))</f>
        <v>36</v>
      </c>
      <c r="D114" s="32">
        <f>IF(B114&gt;0,C114/B114,0)</f>
        <v>0.69230769230769229</v>
      </c>
      <c r="E114" s="33">
        <f>SUMPRODUCT((Data!E2:E4274="T1")*(Data!J2:J4274="FEMALE")*(Data!K2:L4274="MALE")*(Data!C2:C4274="Not successful"))</f>
        <v>6</v>
      </c>
      <c r="F114" s="32">
        <f>IF(B114&gt;0,E114/B114,0)</f>
        <v>0.11538461538461539</v>
      </c>
      <c r="G114" s="34">
        <f>SUMPRODUCT((Data!E2:E4274="T1")*(Data!J2:J4274="FEMALE")*(Data!K2:L4274="MALE")*(Data!C2:C4274="Asleep"))</f>
        <v>10</v>
      </c>
      <c r="H114" s="32">
        <f>IF(B114&gt;0,G114/B114,0)</f>
        <v>0.19230769230769232</v>
      </c>
    </row>
    <row r="115" spans="1:8" ht="16" customHeight="1" x14ac:dyDescent="0.2">
      <c r="A115" s="23" t="s">
        <v>4368</v>
      </c>
      <c r="B115" s="30">
        <f>SUMPRODUCT((Data!E2:E4274="T1")*(Data!J2:J4274="FEMALE")*(Data!K2:L4274="FEMALE"))</f>
        <v>41</v>
      </c>
      <c r="C115" s="31">
        <f>SUMPRODUCT((Data!E2:E4274="T1")*(Data!J2:J4274="FEMALE")*(Data!K2:L4274="FEMALE")*(Data!C2:C4274="Successful"))</f>
        <v>25</v>
      </c>
      <c r="D115" s="32">
        <f>IF(B115&gt;0,C115/B115,0)</f>
        <v>0.6097560975609756</v>
      </c>
      <c r="E115" s="33">
        <f>SUMPRODUCT((Data!E2:E4274="T1")*(Data!J2:J4274="FEMALE")*(Data!K2:L4274="FEMALE")*(Data!C2:C4274="Not successful"))</f>
        <v>8</v>
      </c>
      <c r="F115" s="32">
        <f>IF(B115&gt;0,E115/B115,0)</f>
        <v>0.1951219512195122</v>
      </c>
      <c r="G115" s="34">
        <f>SUMPRODUCT((Data!E2:E4274="T1")*(Data!J2:J4274="FEMALE")*(Data!K2:L4274="FEMALE")*(Data!C2:C4274="Asleep"))</f>
        <v>8</v>
      </c>
      <c r="H115" s="32">
        <f>IF(B115&gt;0,G115/B115,0)</f>
        <v>0.1951219512195122</v>
      </c>
    </row>
    <row r="116" spans="1:8" x14ac:dyDescent="0.2">
      <c r="A116" s="28"/>
      <c r="B116" s="28"/>
      <c r="C116" s="28"/>
      <c r="D116" s="28"/>
      <c r="E116" s="28"/>
      <c r="F116" s="28"/>
      <c r="G116" s="28"/>
      <c r="H116" s="28"/>
    </row>
    <row r="117" spans="1:8" ht="34" customHeight="1" x14ac:dyDescent="0.2">
      <c r="A117" s="36" t="s">
        <v>26</v>
      </c>
      <c r="B117" s="37"/>
      <c r="C117" s="37"/>
      <c r="D117" s="37"/>
      <c r="E117" s="37"/>
      <c r="F117" s="37"/>
      <c r="G117" s="28"/>
      <c r="H117" s="28"/>
    </row>
    <row r="118" spans="1:8" ht="17" customHeight="1" x14ac:dyDescent="0.2">
      <c r="A118" s="14" t="s">
        <v>4360</v>
      </c>
      <c r="B118" s="26" t="s">
        <v>4361</v>
      </c>
      <c r="C118" s="26" t="s">
        <v>19</v>
      </c>
      <c r="D118" s="38" t="s">
        <v>4362</v>
      </c>
      <c r="E118" s="26" t="s">
        <v>12</v>
      </c>
      <c r="F118" s="38" t="s">
        <v>4363</v>
      </c>
      <c r="G118" s="14" t="s">
        <v>33</v>
      </c>
      <c r="H118" s="14" t="s">
        <v>4364</v>
      </c>
    </row>
    <row r="119" spans="1:8" ht="16" customHeight="1" x14ac:dyDescent="0.2">
      <c r="A119" s="15" t="s">
        <v>4365</v>
      </c>
      <c r="B119" s="30">
        <f>SUMPRODUCT((Data!E2:E4274="T2")*(Data!J2:J4274="MALE")*(Data!K2:L4274="MALE"))</f>
        <v>78</v>
      </c>
      <c r="C119" s="31">
        <f>SUMPRODUCT((Data!E2:E4274="T2")*(Data!J2:J4274="MALE")*(Data!K2:L4274="MALE")*(Data!C2:C4274="Successful"))</f>
        <v>41</v>
      </c>
      <c r="D119" s="32">
        <f>IF(B119&gt;0,C119/B119,0)</f>
        <v>0.52564102564102566</v>
      </c>
      <c r="E119" s="33">
        <f>SUMPRODUCT((Data!E2:E4274="T2")*(Data!J2:J4274="MALE")*(Data!K2:L4274="MALE")*(Data!C2:C4274="Not successful"))</f>
        <v>18</v>
      </c>
      <c r="F119" s="32">
        <f>IF(B119&gt;0,E119/B119,0)</f>
        <v>0.23076923076923078</v>
      </c>
      <c r="G119" s="34">
        <f>SUMPRODUCT((Data!E2:E4274="T2")*(Data!J2:J4274="MALE")*(Data!K2:L4274="MALE")*(Data!C2:C4274="Asleep"))</f>
        <v>19</v>
      </c>
      <c r="H119" s="32">
        <f>IF(B119&gt;0,G119/B119,0)</f>
        <v>0.24358974358974358</v>
      </c>
    </row>
    <row r="120" spans="1:8" ht="16" customHeight="1" x14ac:dyDescent="0.2">
      <c r="A120" s="19" t="s">
        <v>4366</v>
      </c>
      <c r="B120" s="30">
        <f>SUMPRODUCT((Data!E2:E4274="T2")*(Data!J2:J4274="MALE")*(Data!K2:L4274="FEMALE"))</f>
        <v>71</v>
      </c>
      <c r="C120" s="31">
        <f>SUMPRODUCT((Data!E2:E4274="T2")*(Data!J2:J4274="MALE")*(Data!K2:L4274="FEMALE")*(Data!C2:C4274="Successful"))</f>
        <v>52</v>
      </c>
      <c r="D120" s="32">
        <f>IF(B120&gt;0,C120/B120,0)</f>
        <v>0.73239436619718312</v>
      </c>
      <c r="E120" s="33">
        <f>SUMPRODUCT((Data!E2:E4274="T2")*(Data!J2:J4274="MALE")*(Data!K2:L4274="FEMALE")*(Data!C2:C4274="Not successful"))</f>
        <v>14</v>
      </c>
      <c r="F120" s="32">
        <f>IF(B120&gt;0,E120/B120,0)</f>
        <v>0.19718309859154928</v>
      </c>
      <c r="G120" s="34">
        <f>SUMPRODUCT((Data!E2:E4274="T2")*(Data!J2:J4274="MALE")*(Data!K2:L4274="FEMALE")*(Data!C2:C4274="Asleep"))</f>
        <v>5</v>
      </c>
      <c r="H120" s="32">
        <f>IF(B120&gt;0,G120/B120,0)</f>
        <v>7.0422535211267609E-2</v>
      </c>
    </row>
    <row r="121" spans="1:8" ht="16" customHeight="1" x14ac:dyDescent="0.2">
      <c r="A121" s="21" t="s">
        <v>4367</v>
      </c>
      <c r="B121" s="30">
        <f>SUMPRODUCT((Data!E2:E4274="T2")*(Data!J2:J4274="FEMALE")*(Data!K2:L4274="MALE"))</f>
        <v>43</v>
      </c>
      <c r="C121" s="31">
        <f>SUMPRODUCT((Data!E2:E4274="T2")*(Data!J2:J4274="FEMALE")*(Data!K2:L4274="MALE")*(Data!C2:C4274="Successful"))</f>
        <v>21</v>
      </c>
      <c r="D121" s="32">
        <f>IF(B121&gt;0,C121/B121,0)</f>
        <v>0.48837209302325579</v>
      </c>
      <c r="E121" s="33">
        <f>SUMPRODUCT((Data!E2:E4274="T2")*(Data!J2:J4274="FEMALE")*(Data!K2:L4274="MALE")*(Data!C2:C4274="Not successful"))</f>
        <v>12</v>
      </c>
      <c r="F121" s="32">
        <f>IF(B121&gt;0,E121/B121,0)</f>
        <v>0.27906976744186046</v>
      </c>
      <c r="G121" s="34">
        <f>SUMPRODUCT((Data!E2:E4274="T2")*(Data!J2:J4274="FEMALE")*(Data!K2:L4274="MALE")*(Data!C2:C4274="Asleep"))</f>
        <v>10</v>
      </c>
      <c r="H121" s="32">
        <f>IF(B121&gt;0,G121/B121,0)</f>
        <v>0.23255813953488372</v>
      </c>
    </row>
    <row r="122" spans="1:8" ht="16" customHeight="1" x14ac:dyDescent="0.2">
      <c r="A122" s="23" t="s">
        <v>4368</v>
      </c>
      <c r="B122" s="30">
        <f>SUMPRODUCT((Data!E2:E4274="T2")*(Data!J2:J4274="FEMALE")*(Data!K2:L4274="FEMALE"))</f>
        <v>31</v>
      </c>
      <c r="C122" s="31">
        <f>SUMPRODUCT((Data!E2:E4274="T2")*(Data!J2:J4274="FEMALE")*(Data!K2:L4274="FEMALE")*(Data!C2:C4274="Successful"))</f>
        <v>18</v>
      </c>
      <c r="D122" s="32">
        <f>IF(B122&gt;0,C122/B122,0)</f>
        <v>0.58064516129032262</v>
      </c>
      <c r="E122" s="33">
        <f>SUMPRODUCT((Data!E2:E4274="T2")*(Data!J2:J4274="FEMALE")*(Data!K2:L4274="FEMALE")*(Data!C2:C4274="Not successful"))</f>
        <v>6</v>
      </c>
      <c r="F122" s="32">
        <f>IF(B122&gt;0,E122/B122,0)</f>
        <v>0.19354838709677419</v>
      </c>
      <c r="G122" s="34">
        <f>SUMPRODUCT((Data!E2:E4274="T2")*(Data!J2:J4274="FEMALE")*(Data!K2:L4274="FEMALE")*(Data!C2:C4274="Asleep"))</f>
        <v>7</v>
      </c>
      <c r="H122" s="32">
        <f>IF(B122&gt;0,G122/B122,0)</f>
        <v>0.22580645161290322</v>
      </c>
    </row>
    <row r="123" spans="1:8" x14ac:dyDescent="0.2">
      <c r="A123" s="39"/>
      <c r="B123" s="40"/>
      <c r="C123" s="40"/>
      <c r="D123" s="41"/>
      <c r="E123" s="40"/>
      <c r="F123" s="41"/>
      <c r="G123" s="28"/>
      <c r="H123" s="28"/>
    </row>
    <row r="124" spans="1:8" ht="34" customHeight="1" x14ac:dyDescent="0.2">
      <c r="A124" s="42" t="s">
        <v>14</v>
      </c>
      <c r="B124" s="40"/>
      <c r="C124" s="40"/>
      <c r="D124" s="41"/>
      <c r="E124" s="40"/>
      <c r="F124" s="41"/>
      <c r="G124" s="28"/>
      <c r="H124" s="28"/>
    </row>
    <row r="125" spans="1:8" ht="17" customHeight="1" x14ac:dyDescent="0.2">
      <c r="A125" s="14" t="s">
        <v>4360</v>
      </c>
      <c r="B125" s="14" t="s">
        <v>4361</v>
      </c>
      <c r="C125" s="14" t="s">
        <v>19</v>
      </c>
      <c r="D125" s="14" t="s">
        <v>4362</v>
      </c>
      <c r="E125" s="14" t="s">
        <v>12</v>
      </c>
      <c r="F125" s="14" t="s">
        <v>4363</v>
      </c>
      <c r="G125" s="14" t="s">
        <v>33</v>
      </c>
      <c r="H125" s="14" t="s">
        <v>4364</v>
      </c>
    </row>
    <row r="126" spans="1:8" ht="16" customHeight="1" x14ac:dyDescent="0.2">
      <c r="A126" s="15" t="s">
        <v>4365</v>
      </c>
      <c r="B126" s="30">
        <f>SUMPRODUCT((Data!E2:E4274="T3")*(Data!J2:J4274="MALE")*(Data!K2:L4274="MALE"))</f>
        <v>53</v>
      </c>
      <c r="C126" s="31">
        <f>SUMPRODUCT((Data!E2:E4274="T3")*(Data!J2:J4274="MALE")*(Data!K2:L4274="MALE")*(Data!C2:C4274="Successful"))</f>
        <v>23</v>
      </c>
      <c r="D126" s="32">
        <f>IF(B126&gt;0,C126/B126,0)</f>
        <v>0.43396226415094341</v>
      </c>
      <c r="E126" s="33">
        <f>SUMPRODUCT((Data!E2:E4274="T3")*(Data!J2:J4274="MALE")*(Data!K2:L4274="MALE")*(Data!C2:C4274="Not successful"))</f>
        <v>9</v>
      </c>
      <c r="F126" s="32">
        <f>IF(B126&gt;0,E126/B126,0)</f>
        <v>0.16981132075471697</v>
      </c>
      <c r="G126" s="34">
        <f>SUMPRODUCT((Data!E2:E4274="T3")*(Data!J2:J4274="MALE")*(Data!K2:L4274="MALE")*(Data!C2:C4274="Asleep"))</f>
        <v>21</v>
      </c>
      <c r="H126" s="32">
        <f>IF(B126&gt;0,G126/B126,0)</f>
        <v>0.39622641509433965</v>
      </c>
    </row>
    <row r="127" spans="1:8" ht="16" customHeight="1" x14ac:dyDescent="0.2">
      <c r="A127" s="19" t="s">
        <v>4366</v>
      </c>
      <c r="B127" s="30">
        <f>SUMPRODUCT((Data!E2:E4274="T3")*(Data!J2:J4274="MALE")*(Data!K2:L4274="FEMALE"))</f>
        <v>34</v>
      </c>
      <c r="C127" s="31">
        <f>SUMPRODUCT((Data!E2:E4274="T3")*(Data!J2:J4274="MALE")*(Data!K2:L4274="FEMALE")*(Data!C2:C4274="Successful"))</f>
        <v>12</v>
      </c>
      <c r="D127" s="32">
        <f>IF(B127&gt;0,C127/B127,0)</f>
        <v>0.35294117647058826</v>
      </c>
      <c r="E127" s="33">
        <f>SUMPRODUCT((Data!E2:E4274="T3")*(Data!J2:J4274="MALE")*(Data!K2:L4274="FEMALE")*(Data!C2:C4274="Not successful"))</f>
        <v>7</v>
      </c>
      <c r="F127" s="32">
        <f>IF(B127&gt;0,E127/B127,0)</f>
        <v>0.20588235294117646</v>
      </c>
      <c r="G127" s="34">
        <f>SUMPRODUCT((Data!E2:E4274="T3")*(Data!J2:J4274="MALE")*(Data!K2:L4274="FEMALE")*(Data!C2:C4274="Asleep"))</f>
        <v>15</v>
      </c>
      <c r="H127" s="32">
        <f>IF(B127&gt;0,G127/B127,0)</f>
        <v>0.44117647058823528</v>
      </c>
    </row>
    <row r="128" spans="1:8" ht="16" customHeight="1" x14ac:dyDescent="0.2">
      <c r="A128" s="21" t="s">
        <v>4367</v>
      </c>
      <c r="B128" s="30">
        <f>SUMPRODUCT((Data!E2:E4274="T3")*(Data!J2:J4274="FEMALE")*(Data!K2:L4274="MALE"))</f>
        <v>11</v>
      </c>
      <c r="C128" s="31">
        <f>SUMPRODUCT((Data!E2:E4274="T3")*(Data!J2:J4274="FEMALE")*(Data!K2:L4274="MALE")*(Data!C2:C4274="Successful"))</f>
        <v>4</v>
      </c>
      <c r="D128" s="32">
        <f>IF(B128&gt;0,C128/B128,0)</f>
        <v>0.36363636363636365</v>
      </c>
      <c r="E128" s="33">
        <f>SUMPRODUCT((Data!E2:E4274="T3")*(Data!J2:J4274="FEMALE")*(Data!K2:L4274="MALE")*(Data!C2:C4274="Not successful"))</f>
        <v>3</v>
      </c>
      <c r="F128" s="32">
        <f>IF(B128&gt;0,E128/B128,0)</f>
        <v>0.27272727272727271</v>
      </c>
      <c r="G128" s="34">
        <f>SUMPRODUCT((Data!E2:E4274="T3")*(Data!J2:J4274="FEMALE")*(Data!K2:L4274="MALE")*(Data!C2:C4274="Asleep"))</f>
        <v>4</v>
      </c>
      <c r="H128" s="32">
        <f>IF(B128&gt;0,G128/B128,0)</f>
        <v>0.36363636363636365</v>
      </c>
    </row>
    <row r="129" spans="1:8" ht="16" customHeight="1" x14ac:dyDescent="0.2">
      <c r="A129" s="23" t="s">
        <v>4368</v>
      </c>
      <c r="B129" s="30">
        <f>SUMPRODUCT((Data!E2:E4274="T3")*(Data!J2:J4274="FEMALE")*(Data!K2:L4274="FEMALE"))</f>
        <v>8</v>
      </c>
      <c r="C129" s="31">
        <f>SUMPRODUCT((Data!E2:E4274="T3")*(Data!J2:J4274="FEMALE")*(Data!K2:L4274="FEMALE")*(Data!C2:C4274="Successful"))</f>
        <v>3</v>
      </c>
      <c r="D129" s="32">
        <f>IF(B129&gt;0,C129/B129,0)</f>
        <v>0.375</v>
      </c>
      <c r="E129" s="33">
        <f>SUMPRODUCT((Data!E2:E4274="T3")*(Data!J2:J4274="FEMALE")*(Data!K2:L4274="FEMALE")*(Data!C2:C4274="Not successful"))</f>
        <v>2</v>
      </c>
      <c r="F129" s="32">
        <f>IF(B129&gt;0,E129/B129,0)</f>
        <v>0.25</v>
      </c>
      <c r="G129" s="34">
        <f>SUMPRODUCT((Data!E2:E4274="T3")*(Data!J2:J4274="FEMALE")*(Data!K2:L4274="FEMALE")*(Data!C2:C4274="Asleep"))</f>
        <v>3</v>
      </c>
      <c r="H129" s="32">
        <f>IF(B129&gt;0,G129/B129,0)</f>
        <v>0.375</v>
      </c>
    </row>
    <row r="130" spans="1:8" x14ac:dyDescent="0.2">
      <c r="A130" s="28"/>
      <c r="B130" s="28"/>
      <c r="C130" s="28"/>
      <c r="D130" s="28"/>
      <c r="E130" s="28"/>
      <c r="F130" s="28"/>
      <c r="G130" s="28"/>
      <c r="H130" s="28"/>
    </row>
    <row r="131" spans="1:8" ht="16" customHeight="1" x14ac:dyDescent="0.2">
      <c r="A131" s="35" t="s">
        <v>30</v>
      </c>
      <c r="B131" s="28"/>
      <c r="C131" s="28"/>
      <c r="D131" s="28"/>
      <c r="E131" s="28"/>
      <c r="F131" s="28"/>
      <c r="G131" s="28"/>
      <c r="H131" s="28"/>
    </row>
    <row r="132" spans="1:8" ht="17" customHeight="1" x14ac:dyDescent="0.2">
      <c r="A132" s="14" t="s">
        <v>4360</v>
      </c>
      <c r="B132" s="14" t="s">
        <v>4361</v>
      </c>
      <c r="C132" s="14" t="s">
        <v>19</v>
      </c>
      <c r="D132" s="14" t="s">
        <v>4362</v>
      </c>
      <c r="E132" s="14" t="s">
        <v>12</v>
      </c>
      <c r="F132" s="14" t="s">
        <v>4363</v>
      </c>
      <c r="G132" s="14" t="s">
        <v>33</v>
      </c>
      <c r="H132" s="14" t="s">
        <v>4364</v>
      </c>
    </row>
    <row r="133" spans="1:8" ht="16" customHeight="1" x14ac:dyDescent="0.2">
      <c r="A133" s="15" t="s">
        <v>4365</v>
      </c>
      <c r="B133" s="30">
        <f>SUMPRODUCT((Data!E2:E4274="T4")*(Data!J2:J4274="MALE")*(Data!K2:L4274="MALE"))</f>
        <v>52</v>
      </c>
      <c r="C133" s="31">
        <f>SUMPRODUCT((Data!E2:E4274="T4")*(Data!J2:J4274="MALE")*(Data!K2:L4274="MALE")*(Data!C2:C4274="Successful"))</f>
        <v>38</v>
      </c>
      <c r="D133" s="32">
        <f>IF(B133&gt;0,C133/B133,0)</f>
        <v>0.73076923076923073</v>
      </c>
      <c r="E133" s="33">
        <f>SUMPRODUCT((Data!E2:E4274="T4")*(Data!J2:J4274="MALE")*(Data!K2:L4274="MALE")*(Data!C2:C4274="Not successful"))</f>
        <v>8</v>
      </c>
      <c r="F133" s="32">
        <f>IF(B133&gt;0,E133/B133,0)</f>
        <v>0.15384615384615385</v>
      </c>
      <c r="G133" s="34">
        <f>SUMPRODUCT((Data!E2:E4274="T4")*(Data!J2:J4274="MALE")*(Data!K2:L4274="MALE")*(Data!C2:C4274="Asleep"))</f>
        <v>6</v>
      </c>
      <c r="H133" s="32">
        <f>IF(B133&gt;0,G133/B133,0)</f>
        <v>0.11538461538461539</v>
      </c>
    </row>
    <row r="134" spans="1:8" ht="16" customHeight="1" x14ac:dyDescent="0.2">
      <c r="A134" s="19" t="s">
        <v>4366</v>
      </c>
      <c r="B134" s="30">
        <f>SUMPRODUCT((Data!E2:E4274="T4")*(Data!J2:J4274="MALE")*(Data!K2:L4274="FEMALE"))</f>
        <v>40</v>
      </c>
      <c r="C134" s="31">
        <f>SUMPRODUCT((Data!E2:E4274="T4")*(Data!J2:J4274="MALE")*(Data!K2:L4274="FEMALE")*(Data!C2:C4274="Successful"))</f>
        <v>25</v>
      </c>
      <c r="D134" s="32">
        <f>IF(B134&gt;0,C134/B134,0)</f>
        <v>0.625</v>
      </c>
      <c r="E134" s="33">
        <f>SUMPRODUCT((Data!E2:E4274="T4")*(Data!J2:J4274="MALE")*(Data!K2:L4274="FEMALE")*(Data!C2:C4274="Not successful"))</f>
        <v>9</v>
      </c>
      <c r="F134" s="32">
        <f>IF(B134&gt;0,E134/B134,0)</f>
        <v>0.22500000000000001</v>
      </c>
      <c r="G134" s="34">
        <f>SUMPRODUCT((Data!E2:E4274="T4")*(Data!J2:J4274="MALE")*(Data!K2:L4274="FEMALE")*(Data!C2:C4274="Asleep"))</f>
        <v>6</v>
      </c>
      <c r="H134" s="32">
        <f>IF(B134&gt;0,G134/B134,0)</f>
        <v>0.15</v>
      </c>
    </row>
    <row r="135" spans="1:8" ht="16" customHeight="1" x14ac:dyDescent="0.2">
      <c r="A135" s="21" t="s">
        <v>4367</v>
      </c>
      <c r="B135" s="30">
        <f>SUMPRODUCT((Data!E2:E4274="T4")*(Data!J2:J4274="FEMALE")*(Data!K2:L4274="MALE"))</f>
        <v>23</v>
      </c>
      <c r="C135" s="31">
        <f>SUMPRODUCT((Data!E2:E4274="T4")*(Data!J2:J4274="FEMALE")*(Data!K2:L4274="MALE")*(Data!C2:C4274="Successful"))</f>
        <v>6</v>
      </c>
      <c r="D135" s="32">
        <f>IF(B135&gt;0,C135/B135,0)</f>
        <v>0.2608695652173913</v>
      </c>
      <c r="E135" s="33">
        <f>SUMPRODUCT((Data!E2:E4274="T4")*(Data!J2:J4274="FEMALE")*(Data!K2:L4274="MALE")*(Data!C2:C4274="Not successful"))</f>
        <v>6</v>
      </c>
      <c r="F135" s="32">
        <f>IF(B135&gt;0,E135/B135,0)</f>
        <v>0.2608695652173913</v>
      </c>
      <c r="G135" s="34">
        <f>SUMPRODUCT((Data!E2:E4274="T4")*(Data!J2:J4274="FEMALE")*(Data!K2:L4274="MALE")*(Data!C2:C4274="Asleep"))</f>
        <v>11</v>
      </c>
      <c r="H135" s="32">
        <f>IF(B135&gt;0,G135/B135,0)</f>
        <v>0.47826086956521741</v>
      </c>
    </row>
    <row r="136" spans="1:8" ht="16" customHeight="1" x14ac:dyDescent="0.2">
      <c r="A136" s="23" t="s">
        <v>4368</v>
      </c>
      <c r="B136" s="30">
        <f>SUMPRODUCT((Data!E2:E4274="T4")*(Data!J2:J4274="FEMALE")*(Data!K2:L4274="FEMALE"))</f>
        <v>16</v>
      </c>
      <c r="C136" s="31">
        <f>SUMPRODUCT((Data!E2:E4274="T4")*(Data!J2:J4274="FEMALE")*(Data!K2:L4274="FEMALE")*(Data!C2:C4274="Successful"))</f>
        <v>6</v>
      </c>
      <c r="D136" s="32">
        <f>IF(B136&gt;0,C136/B136,0)</f>
        <v>0.375</v>
      </c>
      <c r="E136" s="33">
        <f>SUMPRODUCT((Data!E2:E4274="T4")*(Data!J2:J4274="FEMALE")*(Data!K2:L4274="FEMALE")*(Data!C2:C4274="Not successful"))</f>
        <v>5</v>
      </c>
      <c r="F136" s="32">
        <f>IF(B136&gt;0,E136/B136,0)</f>
        <v>0.3125</v>
      </c>
      <c r="G136" s="34">
        <f>SUMPRODUCT((Data!E2:E4274="T4")*(Data!J2:J4274="FEMALE")*(Data!K2:L4274="FEMALE")*(Data!C2:C4274="Asleep"))</f>
        <v>5</v>
      </c>
      <c r="H136" s="32">
        <f>IF(B136&gt;0,G136/B136,0)</f>
        <v>0.3125</v>
      </c>
    </row>
    <row r="137" spans="1:8" x14ac:dyDescent="0.2">
      <c r="A137" s="37"/>
      <c r="B137" s="37"/>
      <c r="C137" s="37"/>
      <c r="D137" s="37"/>
      <c r="E137" s="37"/>
      <c r="F137" s="37"/>
      <c r="G137" s="28"/>
      <c r="H137" s="28"/>
    </row>
    <row r="138" spans="1:8" ht="34" customHeight="1" x14ac:dyDescent="0.2">
      <c r="A138" s="42" t="s">
        <v>54</v>
      </c>
      <c r="B138" s="40"/>
      <c r="C138" s="40"/>
      <c r="D138" s="41"/>
      <c r="E138" s="40"/>
      <c r="F138" s="41"/>
      <c r="G138" s="28"/>
      <c r="H138" s="28"/>
    </row>
    <row r="139" spans="1:8" ht="17" customHeight="1" x14ac:dyDescent="0.2">
      <c r="A139" s="14" t="s">
        <v>4360</v>
      </c>
      <c r="B139" s="26" t="s">
        <v>4361</v>
      </c>
      <c r="C139" s="26" t="s">
        <v>19</v>
      </c>
      <c r="D139" s="38" t="s">
        <v>4362</v>
      </c>
      <c r="E139" s="26" t="s">
        <v>12</v>
      </c>
      <c r="F139" s="38" t="s">
        <v>4363</v>
      </c>
      <c r="G139" s="14" t="s">
        <v>33</v>
      </c>
      <c r="H139" s="14" t="s">
        <v>4364</v>
      </c>
    </row>
    <row r="140" spans="1:8" ht="16" customHeight="1" x14ac:dyDescent="0.2">
      <c r="A140" s="15" t="s">
        <v>4365</v>
      </c>
      <c r="B140" s="16">
        <f>SUMPRODUCT((Data!E2:E4274="T5")*(Data!J2:J4274="MALE")*(Data!K2:L4274="MALE"))</f>
        <v>18</v>
      </c>
      <c r="C140" s="43">
        <f>SUMPRODUCT((Data!E2:E4274="T5")*(Data!J2:J4274="MALE")*(Data!K2:L4274="MALE")*(Data!C2:C4274="Successful"))</f>
        <v>15</v>
      </c>
      <c r="D140" s="17">
        <f>IF(B140&gt;0,C140/B140,0)</f>
        <v>0.83333333333333337</v>
      </c>
      <c r="E140" s="44">
        <f>SUMPRODUCT((Data!E2:E4274="T5")*(Data!J2:J4274="MALE")*(Data!K2:L4274="MALE")*(Data!C2:C4274="Not successful"))</f>
        <v>1</v>
      </c>
      <c r="F140" s="17">
        <f>IF(B140&gt;0,E140/B140,0)</f>
        <v>5.5555555555555552E-2</v>
      </c>
      <c r="G140" s="45">
        <f>SUMPRODUCT((Data!E2:E4274="T5")*(Data!J2:J4274="MALE")*(Data!K2:L4274="MALE")*(Data!C2:C4274="Asleep"))</f>
        <v>2</v>
      </c>
      <c r="H140" s="17">
        <f>IF(B140&gt;0,G140/B140,0)</f>
        <v>0.1111111111111111</v>
      </c>
    </row>
    <row r="141" spans="1:8" ht="16" customHeight="1" x14ac:dyDescent="0.2">
      <c r="A141" s="19" t="s">
        <v>4366</v>
      </c>
      <c r="B141" s="16">
        <f>SUMPRODUCT((Data!E2:E4274="T5")*(Data!J2:J4274="MALE")*(Data!K2:L4274="FEMALE"))</f>
        <v>12</v>
      </c>
      <c r="C141" s="43">
        <f>SUMPRODUCT((Data!E2:E4274="T5")*(Data!J2:J4274="MALE")*(Data!K2:L4274="FEMALE")*(Data!C2:C4274="Successful"))</f>
        <v>10</v>
      </c>
      <c r="D141" s="17">
        <f>IF(B141&gt;0,C141/B141,0)</f>
        <v>0.83333333333333337</v>
      </c>
      <c r="E141" s="44">
        <f>SUMPRODUCT((Data!E2:E4274="T5")*(Data!J2:J4274="MALE")*(Data!K2:L4274="FEMALE")*(Data!C2:C4274="Not successful"))</f>
        <v>1</v>
      </c>
      <c r="F141" s="17">
        <f>IF(B141&gt;0,E141/B141,0)</f>
        <v>8.3333333333333329E-2</v>
      </c>
      <c r="G141" s="45">
        <f>SUMPRODUCT((Data!E2:E4274="T5")*(Data!J2:J4274="MALE")*(Data!K2:L4274="FEMALE")*(Data!C2:C4274="Asleep"))</f>
        <v>1</v>
      </c>
      <c r="H141" s="17">
        <f>IF(B141&gt;0,G141/B141,0)</f>
        <v>8.3333333333333329E-2</v>
      </c>
    </row>
    <row r="142" spans="1:8" ht="16" customHeight="1" x14ac:dyDescent="0.2">
      <c r="A142" s="21" t="s">
        <v>4367</v>
      </c>
      <c r="B142" s="16">
        <f>SUMPRODUCT((Data!E2:E4274="T5")*(Data!J2:J4274="FEMALE")*(Data!K2:L4274="MALE"))</f>
        <v>66</v>
      </c>
      <c r="C142" s="43">
        <f>SUMPRODUCT((Data!E2:E4274="T5")*(Data!J2:J4274="FEMALE")*(Data!K2:L4274="MALE")*(Data!C2:C4274="Successful"))</f>
        <v>34</v>
      </c>
      <c r="D142" s="17">
        <f>IF(B142&gt;0,C142/B142,0)</f>
        <v>0.51515151515151514</v>
      </c>
      <c r="E142" s="44">
        <f>SUMPRODUCT((Data!E2:E4274="T5")*(Data!J2:J4274="FEMALE")*(Data!K2:L4274="MALE")*(Data!C2:C4274="Not successful"))</f>
        <v>7</v>
      </c>
      <c r="F142" s="17">
        <f>IF(B142&gt;0,E142/B142,0)</f>
        <v>0.10606060606060606</v>
      </c>
      <c r="G142" s="45">
        <f>SUMPRODUCT((Data!E2:E4274="T5")*(Data!J2:J4274="FEMALE")*(Data!K2:L4274="MALE")*(Data!C2:C4274="Asleep"))</f>
        <v>25</v>
      </c>
      <c r="H142" s="17">
        <f>IF(B142&gt;0,G142/B142,0)</f>
        <v>0.37878787878787878</v>
      </c>
    </row>
    <row r="143" spans="1:8" ht="16" customHeight="1" x14ac:dyDescent="0.2">
      <c r="A143" s="23" t="s">
        <v>4368</v>
      </c>
      <c r="B143" s="16">
        <f>SUMPRODUCT((Data!E2:E4274="T5")*(Data!J2:J4274="FEMALE")*(Data!K2:L4274="FEMALE"))</f>
        <v>82</v>
      </c>
      <c r="C143" s="43">
        <f>SUMPRODUCT((Data!E2:E4274="T5")*(Data!J2:J4274="FEMALE")*(Data!K2:L4274="FEMALE")*(Data!C2:C4274="Successful"))</f>
        <v>48</v>
      </c>
      <c r="D143" s="17">
        <f>IF(B143&gt;0,C143/B143,0)</f>
        <v>0.58536585365853655</v>
      </c>
      <c r="E143" s="44">
        <f>SUMPRODUCT((Data!E2:E4274="T5")*(Data!J2:J4274="FEMALE")*(Data!K2:L4274="FEMALE")*(Data!C2:C4274="Not successful"))</f>
        <v>6</v>
      </c>
      <c r="F143" s="17">
        <f>IF(B143&gt;0,E143/B143,0)</f>
        <v>7.3170731707317069E-2</v>
      </c>
      <c r="G143" s="45">
        <f>SUMPRODUCT((Data!E2:E4274="T5")*(Data!J2:J4274="FEMALE")*(Data!K2:L4274="FEMALE")*(Data!C2:C4274="Asleep"))</f>
        <v>28</v>
      </c>
      <c r="H143" s="17">
        <f>IF(B143&gt;0,G143/B143,0)</f>
        <v>0.34146341463414637</v>
      </c>
    </row>
    <row r="145" spans="1:8" ht="16" customHeight="1" x14ac:dyDescent="0.2">
      <c r="A145" s="27" t="s">
        <v>39</v>
      </c>
    </row>
    <row r="146" spans="1:8" ht="17" customHeight="1" x14ac:dyDescent="0.2">
      <c r="A146" s="14" t="s">
        <v>4360</v>
      </c>
      <c r="B146" s="14" t="s">
        <v>4361</v>
      </c>
      <c r="C146" s="14" t="s">
        <v>19</v>
      </c>
      <c r="D146" s="14" t="s">
        <v>4362</v>
      </c>
      <c r="E146" s="14" t="s">
        <v>12</v>
      </c>
      <c r="F146" s="14" t="s">
        <v>4363</v>
      </c>
      <c r="G146" s="14" t="s">
        <v>33</v>
      </c>
      <c r="H146" s="14" t="s">
        <v>4364</v>
      </c>
    </row>
    <row r="147" spans="1:8" ht="16" customHeight="1" x14ac:dyDescent="0.2">
      <c r="A147" s="15" t="s">
        <v>4365</v>
      </c>
      <c r="B147" s="16">
        <f>SUMPRODUCT((Data!E2:E4274="T6")*(Data!J2:J4274="MALE")*(Data!K2:L4274="MALE"))</f>
        <v>97</v>
      </c>
      <c r="C147" s="43">
        <f>SUMPRODUCT((Data!E2:E4274="T6")*(Data!J2:J4274="MALE")*(Data!K2:L4274="MALE")*(Data!C2:C4274="Successful"))</f>
        <v>53</v>
      </c>
      <c r="D147" s="17">
        <f>IF(B147&gt;0,C147/B147,0)</f>
        <v>0.54639175257731953</v>
      </c>
      <c r="E147" s="44">
        <f>SUMPRODUCT((Data!E2:E4274="T6")*(Data!J2:J4274="MALE")*(Data!K2:L4274="MALE")*(Data!C2:C4274="Not successful"))</f>
        <v>24</v>
      </c>
      <c r="F147" s="17">
        <f>IF(B147&gt;0,E147/B147,0)</f>
        <v>0.24742268041237114</v>
      </c>
      <c r="G147" s="45">
        <f>SUMPRODUCT((Data!E2:E4274="T6")*(Data!J2:J4274="MALE")*(Data!K2:L4274="MALE")*(Data!C2:C4274="Asleep"))</f>
        <v>20</v>
      </c>
      <c r="H147" s="17">
        <f>IF(B147&gt;0,G147/B147,0)</f>
        <v>0.20618556701030927</v>
      </c>
    </row>
    <row r="148" spans="1:8" ht="16" customHeight="1" x14ac:dyDescent="0.2">
      <c r="A148" s="19" t="s">
        <v>4366</v>
      </c>
      <c r="B148" s="16">
        <f>SUMPRODUCT((Data!E2:E4274="T6")*(Data!J2:J4274="MALE")*(Data!K2:L4274="FEMALE"))</f>
        <v>83</v>
      </c>
      <c r="C148" s="43">
        <f>SUMPRODUCT((Data!E2:E4274="T6")*(Data!J2:J4274="MALE")*(Data!K2:L4274="FEMALE")*(Data!C2:C4274="Successful"))</f>
        <v>30</v>
      </c>
      <c r="D148" s="17">
        <f>IF(B148&gt;0,C148/B148,0)</f>
        <v>0.36144578313253012</v>
      </c>
      <c r="E148" s="44">
        <f>SUMPRODUCT((Data!E2:E4274="T6")*(Data!J2:J4274="MALE")*(Data!K2:L4274="FEMALE")*(Data!C2:C4274="Not successful"))</f>
        <v>29</v>
      </c>
      <c r="F148" s="17">
        <f>IF(B148&gt;0,E148/B148,0)</f>
        <v>0.3493975903614458</v>
      </c>
      <c r="G148" s="45">
        <f>SUMPRODUCT((Data!E2:E4274="T6")*(Data!J2:J4274="MALE")*(Data!K2:L4274="FEMALE")*(Data!C2:C4274="Asleep"))</f>
        <v>24</v>
      </c>
      <c r="H148" s="17">
        <f>IF(B148&gt;0,G148/B148,0)</f>
        <v>0.28915662650602408</v>
      </c>
    </row>
    <row r="149" spans="1:8" ht="16" customHeight="1" x14ac:dyDescent="0.2">
      <c r="A149" s="21" t="s">
        <v>4367</v>
      </c>
      <c r="B149" s="16">
        <f>SUMPRODUCT((Data!E2:E4274="T6")*(Data!J2:J4274="FEMALE")*(Data!K2:L4274="MALE"))</f>
        <v>10</v>
      </c>
      <c r="C149" s="43">
        <f>SUMPRODUCT((Data!E2:E4274="T6")*(Data!J2:J4274="FEMALE")*(Data!K2:L4274="MALE")*(Data!C2:C4274="Successful"))</f>
        <v>3</v>
      </c>
      <c r="D149" s="17">
        <f>IF(B149&gt;0,C149/B149,0)</f>
        <v>0.3</v>
      </c>
      <c r="E149" s="44">
        <f>SUMPRODUCT((Data!E2:E4274="T6")*(Data!J2:J4274="FEMALE")*(Data!K2:L4274="MALE")*(Data!C2:C4274="Not successful"))</f>
        <v>5</v>
      </c>
      <c r="F149" s="17">
        <f>IF(B149&gt;0,E149/B149,0)</f>
        <v>0.5</v>
      </c>
      <c r="G149" s="45">
        <f>SUMPRODUCT((Data!E2:E4274="T6")*(Data!J2:J4274="FEMALE")*(Data!K2:L4274="MALE")*(Data!C2:C4274="Asleep"))</f>
        <v>2</v>
      </c>
      <c r="H149" s="17">
        <f>IF(B149&gt;0,G149/B149,0)</f>
        <v>0.2</v>
      </c>
    </row>
    <row r="150" spans="1:8" ht="16" customHeight="1" x14ac:dyDescent="0.2">
      <c r="A150" s="23" t="s">
        <v>4368</v>
      </c>
      <c r="B150" s="16">
        <f>SUMPRODUCT((Data!E2:E4274="T6")*(Data!J2:J4274="FEMALE")*(Data!K2:L4274="FEMALE"))</f>
        <v>22</v>
      </c>
      <c r="C150" s="43">
        <f>SUMPRODUCT((Data!E2:E4274="T6")*(Data!J2:J4274="FEMALE")*(Data!K2:L4274="FEMALE")*(Data!C2:C4274="Successful"))</f>
        <v>8</v>
      </c>
      <c r="D150" s="17">
        <f>IF(B150&gt;0,C150/B150,0)</f>
        <v>0.36363636363636365</v>
      </c>
      <c r="E150" s="44">
        <f>SUMPRODUCT((Data!E2:E4274="T6")*(Data!J2:J4274="FEMALE")*(Data!K2:L4274="FEMALE")*(Data!C2:C4274="Not successful"))</f>
        <v>6</v>
      </c>
      <c r="F150" s="17">
        <f>IF(B150&gt;0,E150/B150,0)</f>
        <v>0.27272727272727271</v>
      </c>
      <c r="G150" s="45">
        <f>SUMPRODUCT((Data!E2:E4274="T6")*(Data!J2:J4274="FEMALE")*(Data!K2:L4274="FEMALE")*(Data!C2:C4274="Asleep"))</f>
        <v>8</v>
      </c>
      <c r="H150" s="17">
        <f>IF(B150&gt;0,G150/B150,0)</f>
        <v>0.36363636363636365</v>
      </c>
    </row>
    <row r="153" spans="1:8" ht="19" customHeight="1" x14ac:dyDescent="0.25">
      <c r="A153" s="47" t="s">
        <v>4369</v>
      </c>
    </row>
    <row r="154" spans="1:8" ht="16" customHeight="1" x14ac:dyDescent="0.2">
      <c r="A154" s="55" t="s">
        <v>4370</v>
      </c>
    </row>
    <row r="155" spans="1:8" ht="18" customHeight="1" x14ac:dyDescent="0.2">
      <c r="A155" s="70" t="s">
        <v>4371</v>
      </c>
      <c r="B155" s="61"/>
      <c r="C155" s="61"/>
      <c r="D155" s="61"/>
      <c r="E155" s="61"/>
      <c r="F155" s="61"/>
      <c r="G155" s="61"/>
      <c r="H155" s="62"/>
    </row>
    <row r="156" spans="1:8" ht="18" customHeight="1" x14ac:dyDescent="0.2">
      <c r="A156" s="63"/>
      <c r="B156" s="64"/>
      <c r="C156" s="64"/>
      <c r="D156" s="64"/>
      <c r="E156" s="64"/>
      <c r="F156" s="64"/>
      <c r="G156" s="64"/>
      <c r="H156" s="65"/>
    </row>
    <row r="157" spans="1:8" ht="18" customHeight="1" x14ac:dyDescent="0.2">
      <c r="A157" s="63"/>
      <c r="B157" s="64"/>
      <c r="C157" s="64"/>
      <c r="D157" s="64"/>
      <c r="E157" s="64"/>
      <c r="F157" s="64"/>
      <c r="G157" s="64"/>
      <c r="H157" s="65"/>
    </row>
    <row r="158" spans="1:8" ht="18" customHeight="1" x14ac:dyDescent="0.2">
      <c r="A158" s="63"/>
      <c r="B158" s="64"/>
      <c r="C158" s="64"/>
      <c r="D158" s="64"/>
      <c r="E158" s="64"/>
      <c r="F158" s="64"/>
      <c r="G158" s="64"/>
      <c r="H158" s="65"/>
    </row>
    <row r="159" spans="1:8" ht="18" customHeight="1" x14ac:dyDescent="0.2">
      <c r="A159" s="63"/>
      <c r="B159" s="64"/>
      <c r="C159" s="64"/>
      <c r="D159" s="64"/>
      <c r="E159" s="64"/>
      <c r="F159" s="64"/>
      <c r="G159" s="64"/>
      <c r="H159" s="65"/>
    </row>
    <row r="160" spans="1:8" ht="18" customHeight="1" x14ac:dyDescent="0.2">
      <c r="A160" s="63"/>
      <c r="B160" s="64"/>
      <c r="C160" s="64"/>
      <c r="D160" s="64"/>
      <c r="E160" s="64"/>
      <c r="F160" s="64"/>
      <c r="G160" s="64"/>
      <c r="H160" s="65"/>
    </row>
    <row r="161" spans="1:8" ht="18" customHeight="1" x14ac:dyDescent="0.2">
      <c r="A161" s="63"/>
      <c r="B161" s="64"/>
      <c r="C161" s="64"/>
      <c r="D161" s="64"/>
      <c r="E161" s="64"/>
      <c r="F161" s="64"/>
      <c r="G161" s="64"/>
      <c r="H161" s="65"/>
    </row>
    <row r="162" spans="1:8" ht="18" customHeight="1" x14ac:dyDescent="0.2">
      <c r="A162" s="63"/>
      <c r="B162" s="64"/>
      <c r="C162" s="64"/>
      <c r="D162" s="64"/>
      <c r="E162" s="64"/>
      <c r="F162" s="64"/>
      <c r="G162" s="64"/>
      <c r="H162" s="65"/>
    </row>
    <row r="163" spans="1:8" ht="18" customHeight="1" x14ac:dyDescent="0.2">
      <c r="A163" s="63"/>
      <c r="B163" s="64"/>
      <c r="C163" s="64"/>
      <c r="D163" s="64"/>
      <c r="E163" s="64"/>
      <c r="F163" s="64"/>
      <c r="G163" s="64"/>
      <c r="H163" s="65"/>
    </row>
    <row r="164" spans="1:8" ht="18" customHeight="1" x14ac:dyDescent="0.2">
      <c r="A164" s="63"/>
      <c r="B164" s="64"/>
      <c r="C164" s="64"/>
      <c r="D164" s="64"/>
      <c r="E164" s="64"/>
      <c r="F164" s="64"/>
      <c r="G164" s="64"/>
      <c r="H164" s="65"/>
    </row>
    <row r="165" spans="1:8" ht="18" customHeight="1" x14ac:dyDescent="0.2">
      <c r="A165" s="63"/>
      <c r="B165" s="64"/>
      <c r="C165" s="64"/>
      <c r="D165" s="64"/>
      <c r="E165" s="64"/>
      <c r="F165" s="64"/>
      <c r="G165" s="64"/>
      <c r="H165" s="65"/>
    </row>
    <row r="166" spans="1:8" ht="18" customHeight="1" x14ac:dyDescent="0.2">
      <c r="A166" s="66"/>
      <c r="B166" s="67"/>
      <c r="C166" s="67"/>
      <c r="D166" s="67"/>
      <c r="E166" s="67"/>
      <c r="F166" s="67"/>
      <c r="G166" s="67"/>
      <c r="H166" s="68"/>
    </row>
    <row r="167" spans="1:8" ht="18" customHeight="1" x14ac:dyDescent="0.2">
      <c r="A167" s="56"/>
      <c r="B167" s="56"/>
      <c r="C167" s="56"/>
      <c r="D167" s="56"/>
      <c r="E167" s="56"/>
      <c r="F167" s="56"/>
      <c r="G167" s="56"/>
      <c r="H167" s="56"/>
    </row>
    <row r="168" spans="1:8" ht="18" customHeight="1" x14ac:dyDescent="0.2">
      <c r="A168" s="57" t="s">
        <v>4372</v>
      </c>
      <c r="B168" s="56"/>
      <c r="C168" s="56"/>
      <c r="D168" s="56"/>
      <c r="E168" s="56"/>
      <c r="F168" s="56"/>
      <c r="G168" s="56"/>
      <c r="H168" s="56"/>
    </row>
    <row r="169" spans="1:8" ht="18" customHeight="1" x14ac:dyDescent="0.2">
      <c r="A169" s="56"/>
      <c r="B169" s="56"/>
      <c r="C169" s="56"/>
      <c r="D169" s="56"/>
      <c r="E169" s="56"/>
      <c r="F169" s="56"/>
      <c r="G169" s="56"/>
      <c r="H169" s="56"/>
    </row>
    <row r="170" spans="1:8" ht="18" customHeight="1" x14ac:dyDescent="0.2">
      <c r="A170" s="69" t="s">
        <v>4373</v>
      </c>
      <c r="B170" s="61"/>
      <c r="C170" s="61"/>
      <c r="D170" s="61"/>
      <c r="E170" s="61"/>
      <c r="F170" s="61"/>
      <c r="G170" s="61"/>
      <c r="H170" s="62"/>
    </row>
    <row r="171" spans="1:8" ht="18" customHeight="1" x14ac:dyDescent="0.2">
      <c r="A171" s="63"/>
      <c r="B171" s="64"/>
      <c r="C171" s="64"/>
      <c r="D171" s="64"/>
      <c r="E171" s="64"/>
      <c r="F171" s="64"/>
      <c r="G171" s="64"/>
      <c r="H171" s="65"/>
    </row>
    <row r="172" spans="1:8" ht="18" customHeight="1" x14ac:dyDescent="0.2">
      <c r="A172" s="63"/>
      <c r="B172" s="64"/>
      <c r="C172" s="64"/>
      <c r="D172" s="64"/>
      <c r="E172" s="64"/>
      <c r="F172" s="64"/>
      <c r="G172" s="64"/>
      <c r="H172" s="65"/>
    </row>
    <row r="173" spans="1:8" ht="18" customHeight="1" x14ac:dyDescent="0.2">
      <c r="A173" s="63"/>
      <c r="B173" s="64"/>
      <c r="C173" s="64"/>
      <c r="D173" s="64"/>
      <c r="E173" s="64"/>
      <c r="F173" s="64"/>
      <c r="G173" s="64"/>
      <c r="H173" s="65"/>
    </row>
    <row r="174" spans="1:8" ht="18" customHeight="1" x14ac:dyDescent="0.2">
      <c r="A174" s="63"/>
      <c r="B174" s="64"/>
      <c r="C174" s="64"/>
      <c r="D174" s="64"/>
      <c r="E174" s="64"/>
      <c r="F174" s="64"/>
      <c r="G174" s="64"/>
      <c r="H174" s="65"/>
    </row>
    <row r="175" spans="1:8" ht="18" customHeight="1" x14ac:dyDescent="0.2">
      <c r="A175" s="63"/>
      <c r="B175" s="64"/>
      <c r="C175" s="64"/>
      <c r="D175" s="64"/>
      <c r="E175" s="64"/>
      <c r="F175" s="64"/>
      <c r="G175" s="64"/>
      <c r="H175" s="65"/>
    </row>
    <row r="176" spans="1:8" ht="18" customHeight="1" x14ac:dyDescent="0.2">
      <c r="A176" s="63"/>
      <c r="B176" s="64"/>
      <c r="C176" s="64"/>
      <c r="D176" s="64"/>
      <c r="E176" s="64"/>
      <c r="F176" s="64"/>
      <c r="G176" s="64"/>
      <c r="H176" s="65"/>
    </row>
    <row r="177" spans="1:8" ht="18" customHeight="1" x14ac:dyDescent="0.2">
      <c r="A177" s="63"/>
      <c r="B177" s="64"/>
      <c r="C177" s="64"/>
      <c r="D177" s="64"/>
      <c r="E177" s="64"/>
      <c r="F177" s="64"/>
      <c r="G177" s="64"/>
      <c r="H177" s="65"/>
    </row>
    <row r="178" spans="1:8" ht="18" customHeight="1" x14ac:dyDescent="0.2">
      <c r="A178" s="63"/>
      <c r="B178" s="64"/>
      <c r="C178" s="64"/>
      <c r="D178" s="64"/>
      <c r="E178" s="64"/>
      <c r="F178" s="64"/>
      <c r="G178" s="64"/>
      <c r="H178" s="65"/>
    </row>
    <row r="179" spans="1:8" ht="18" customHeight="1" x14ac:dyDescent="0.2">
      <c r="A179" s="63"/>
      <c r="B179" s="64"/>
      <c r="C179" s="64"/>
      <c r="D179" s="64"/>
      <c r="E179" s="64"/>
      <c r="F179" s="64"/>
      <c r="G179" s="64"/>
      <c r="H179" s="65"/>
    </row>
    <row r="180" spans="1:8" ht="18" customHeight="1" x14ac:dyDescent="0.2">
      <c r="A180" s="63"/>
      <c r="B180" s="64"/>
      <c r="C180" s="64"/>
      <c r="D180" s="64"/>
      <c r="E180" s="64"/>
      <c r="F180" s="64"/>
      <c r="G180" s="64"/>
      <c r="H180" s="65"/>
    </row>
    <row r="181" spans="1:8" ht="18" customHeight="1" x14ac:dyDescent="0.2">
      <c r="A181" s="63"/>
      <c r="B181" s="64"/>
      <c r="C181" s="64"/>
      <c r="D181" s="64"/>
      <c r="E181" s="64"/>
      <c r="F181" s="64"/>
      <c r="G181" s="64"/>
      <c r="H181" s="65"/>
    </row>
    <row r="182" spans="1:8" ht="18" customHeight="1" x14ac:dyDescent="0.2">
      <c r="A182" s="63"/>
      <c r="B182" s="64"/>
      <c r="C182" s="64"/>
      <c r="D182" s="64"/>
      <c r="E182" s="64"/>
      <c r="F182" s="64"/>
      <c r="G182" s="64"/>
      <c r="H182" s="65"/>
    </row>
    <row r="183" spans="1:8" ht="18" customHeight="1" x14ac:dyDescent="0.2">
      <c r="A183" s="63"/>
      <c r="B183" s="64"/>
      <c r="C183" s="64"/>
      <c r="D183" s="64"/>
      <c r="E183" s="64"/>
      <c r="F183" s="64"/>
      <c r="G183" s="64"/>
      <c r="H183" s="65"/>
    </row>
    <row r="184" spans="1:8" ht="18" customHeight="1" x14ac:dyDescent="0.2">
      <c r="A184" s="63"/>
      <c r="B184" s="64"/>
      <c r="C184" s="64"/>
      <c r="D184" s="64"/>
      <c r="E184" s="64"/>
      <c r="F184" s="64"/>
      <c r="G184" s="64"/>
      <c r="H184" s="65"/>
    </row>
    <row r="185" spans="1:8" ht="18" customHeight="1" x14ac:dyDescent="0.2">
      <c r="A185" s="63"/>
      <c r="B185" s="64"/>
      <c r="C185" s="64"/>
      <c r="D185" s="64"/>
      <c r="E185" s="64"/>
      <c r="F185" s="64"/>
      <c r="G185" s="64"/>
      <c r="H185" s="65"/>
    </row>
    <row r="186" spans="1:8" ht="18" customHeight="1" x14ac:dyDescent="0.2">
      <c r="A186" s="63"/>
      <c r="B186" s="64"/>
      <c r="C186" s="64"/>
      <c r="D186" s="64"/>
      <c r="E186" s="64"/>
      <c r="F186" s="64"/>
      <c r="G186" s="64"/>
      <c r="H186" s="65"/>
    </row>
    <row r="187" spans="1:8" ht="18" customHeight="1" x14ac:dyDescent="0.2">
      <c r="A187" s="63"/>
      <c r="B187" s="64"/>
      <c r="C187" s="64"/>
      <c r="D187" s="64"/>
      <c r="E187" s="64"/>
      <c r="F187" s="64"/>
      <c r="G187" s="64"/>
      <c r="H187" s="65"/>
    </row>
    <row r="188" spans="1:8" ht="18" customHeight="1" x14ac:dyDescent="0.2">
      <c r="A188" s="63"/>
      <c r="B188" s="64"/>
      <c r="C188" s="64"/>
      <c r="D188" s="64"/>
      <c r="E188" s="64"/>
      <c r="F188" s="64"/>
      <c r="G188" s="64"/>
      <c r="H188" s="65"/>
    </row>
    <row r="189" spans="1:8" ht="18" customHeight="1" x14ac:dyDescent="0.2">
      <c r="A189" s="63"/>
      <c r="B189" s="64"/>
      <c r="C189" s="64"/>
      <c r="D189" s="64"/>
      <c r="E189" s="64"/>
      <c r="F189" s="64"/>
      <c r="G189" s="64"/>
      <c r="H189" s="65"/>
    </row>
    <row r="190" spans="1:8" ht="18" customHeight="1" x14ac:dyDescent="0.2">
      <c r="A190" s="63"/>
      <c r="B190" s="64"/>
      <c r="C190" s="64"/>
      <c r="D190" s="64"/>
      <c r="E190" s="64"/>
      <c r="F190" s="64"/>
      <c r="G190" s="64"/>
      <c r="H190" s="65"/>
    </row>
    <row r="191" spans="1:8" ht="18" customHeight="1" x14ac:dyDescent="0.2">
      <c r="A191" s="63"/>
      <c r="B191" s="64"/>
      <c r="C191" s="64"/>
      <c r="D191" s="64"/>
      <c r="E191" s="64"/>
      <c r="F191" s="64"/>
      <c r="G191" s="64"/>
      <c r="H191" s="65"/>
    </row>
    <row r="192" spans="1:8" ht="18" customHeight="1" x14ac:dyDescent="0.2">
      <c r="A192" s="63"/>
      <c r="B192" s="64"/>
      <c r="C192" s="64"/>
      <c r="D192" s="64"/>
      <c r="E192" s="64"/>
      <c r="F192" s="64"/>
      <c r="G192" s="64"/>
      <c r="H192" s="65"/>
    </row>
    <row r="193" spans="1:8" ht="18" customHeight="1" x14ac:dyDescent="0.2">
      <c r="A193" s="63"/>
      <c r="B193" s="64"/>
      <c r="C193" s="64"/>
      <c r="D193" s="64"/>
      <c r="E193" s="64"/>
      <c r="F193" s="64"/>
      <c r="G193" s="64"/>
      <c r="H193" s="65"/>
    </row>
    <row r="194" spans="1:8" ht="18" customHeight="1" x14ac:dyDescent="0.2">
      <c r="A194" s="63"/>
      <c r="B194" s="64"/>
      <c r="C194" s="64"/>
      <c r="D194" s="64"/>
      <c r="E194" s="64"/>
      <c r="F194" s="64"/>
      <c r="G194" s="64"/>
      <c r="H194" s="65"/>
    </row>
    <row r="195" spans="1:8" ht="18" customHeight="1" x14ac:dyDescent="0.2">
      <c r="A195" s="63"/>
      <c r="B195" s="64"/>
      <c r="C195" s="64"/>
      <c r="D195" s="64"/>
      <c r="E195" s="64"/>
      <c r="F195" s="64"/>
      <c r="G195" s="64"/>
      <c r="H195" s="65"/>
    </row>
    <row r="196" spans="1:8" ht="18" customHeight="1" x14ac:dyDescent="0.2">
      <c r="A196" s="63"/>
      <c r="B196" s="64"/>
      <c r="C196" s="64"/>
      <c r="D196" s="64"/>
      <c r="E196" s="64"/>
      <c r="F196" s="64"/>
      <c r="G196" s="64"/>
      <c r="H196" s="65"/>
    </row>
    <row r="197" spans="1:8" ht="18" customHeight="1" x14ac:dyDescent="0.2">
      <c r="A197" s="63"/>
      <c r="B197" s="64"/>
      <c r="C197" s="64"/>
      <c r="D197" s="64"/>
      <c r="E197" s="64"/>
      <c r="F197" s="64"/>
      <c r="G197" s="64"/>
      <c r="H197" s="65"/>
    </row>
    <row r="198" spans="1:8" ht="18" customHeight="1" x14ac:dyDescent="0.2">
      <c r="A198" s="63"/>
      <c r="B198" s="64"/>
      <c r="C198" s="64"/>
      <c r="D198" s="64"/>
      <c r="E198" s="64"/>
      <c r="F198" s="64"/>
      <c r="G198" s="64"/>
      <c r="H198" s="65"/>
    </row>
    <row r="199" spans="1:8" ht="18" customHeight="1" x14ac:dyDescent="0.2">
      <c r="A199" s="63"/>
      <c r="B199" s="64"/>
      <c r="C199" s="64"/>
      <c r="D199" s="64"/>
      <c r="E199" s="64"/>
      <c r="F199" s="64"/>
      <c r="G199" s="64"/>
      <c r="H199" s="65"/>
    </row>
    <row r="200" spans="1:8" ht="18" customHeight="1" x14ac:dyDescent="0.2">
      <c r="A200" s="63"/>
      <c r="B200" s="64"/>
      <c r="C200" s="64"/>
      <c r="D200" s="64"/>
      <c r="E200" s="64"/>
      <c r="F200" s="64"/>
      <c r="G200" s="64"/>
      <c r="H200" s="65"/>
    </row>
    <row r="201" spans="1:8" ht="18" customHeight="1" x14ac:dyDescent="0.2">
      <c r="A201" s="63"/>
      <c r="B201" s="64"/>
      <c r="C201" s="64"/>
      <c r="D201" s="64"/>
      <c r="E201" s="64"/>
      <c r="F201" s="64"/>
      <c r="G201" s="64"/>
      <c r="H201" s="65"/>
    </row>
    <row r="202" spans="1:8" ht="18" customHeight="1" x14ac:dyDescent="0.2">
      <c r="A202" s="63"/>
      <c r="B202" s="64"/>
      <c r="C202" s="64"/>
      <c r="D202" s="64"/>
      <c r="E202" s="64"/>
      <c r="F202" s="64"/>
      <c r="G202" s="64"/>
      <c r="H202" s="65"/>
    </row>
    <row r="203" spans="1:8" ht="18" customHeight="1" x14ac:dyDescent="0.2">
      <c r="A203" s="63"/>
      <c r="B203" s="64"/>
      <c r="C203" s="64"/>
      <c r="D203" s="64"/>
      <c r="E203" s="64"/>
      <c r="F203" s="64"/>
      <c r="G203" s="64"/>
      <c r="H203" s="65"/>
    </row>
    <row r="204" spans="1:8" ht="18" customHeight="1" x14ac:dyDescent="0.2">
      <c r="A204" s="63"/>
      <c r="B204" s="64"/>
      <c r="C204" s="64"/>
      <c r="D204" s="64"/>
      <c r="E204" s="64"/>
      <c r="F204" s="64"/>
      <c r="G204" s="64"/>
      <c r="H204" s="65"/>
    </row>
    <row r="205" spans="1:8" ht="18" customHeight="1" x14ac:dyDescent="0.2">
      <c r="A205" s="66"/>
      <c r="B205" s="67"/>
      <c r="C205" s="67"/>
      <c r="D205" s="67"/>
      <c r="E205" s="67"/>
      <c r="F205" s="67"/>
      <c r="G205" s="67"/>
      <c r="H205" s="68"/>
    </row>
    <row r="208" spans="1:8" ht="19" customHeight="1" x14ac:dyDescent="0.25">
      <c r="A208" s="47" t="s">
        <v>4374</v>
      </c>
    </row>
    <row r="210" spans="1:8" ht="18" customHeight="1" x14ac:dyDescent="0.2">
      <c r="A210" s="60" t="s">
        <v>4375</v>
      </c>
      <c r="B210" s="61"/>
      <c r="C210" s="61"/>
      <c r="D210" s="61"/>
      <c r="E210" s="61"/>
      <c r="F210" s="61"/>
      <c r="G210" s="61"/>
      <c r="H210" s="62"/>
    </row>
    <row r="211" spans="1:8" ht="18" customHeight="1" x14ac:dyDescent="0.2">
      <c r="A211" s="63"/>
      <c r="B211" s="64"/>
      <c r="C211" s="64"/>
      <c r="D211" s="64"/>
      <c r="E211" s="64"/>
      <c r="F211" s="64"/>
      <c r="G211" s="64"/>
      <c r="H211" s="65"/>
    </row>
    <row r="212" spans="1:8" ht="18" customHeight="1" x14ac:dyDescent="0.2">
      <c r="A212" s="63"/>
      <c r="B212" s="64"/>
      <c r="C212" s="64"/>
      <c r="D212" s="64"/>
      <c r="E212" s="64"/>
      <c r="F212" s="64"/>
      <c r="G212" s="64"/>
      <c r="H212" s="65"/>
    </row>
    <row r="213" spans="1:8" ht="18" customHeight="1" x14ac:dyDescent="0.2">
      <c r="A213" s="63"/>
      <c r="B213" s="64"/>
      <c r="C213" s="64"/>
      <c r="D213" s="64"/>
      <c r="E213" s="64"/>
      <c r="F213" s="64"/>
      <c r="G213" s="64"/>
      <c r="H213" s="65"/>
    </row>
    <row r="214" spans="1:8" ht="18" customHeight="1" x14ac:dyDescent="0.2">
      <c r="A214" s="63"/>
      <c r="B214" s="64"/>
      <c r="C214" s="64"/>
      <c r="D214" s="64"/>
      <c r="E214" s="64"/>
      <c r="F214" s="64"/>
      <c r="G214" s="64"/>
      <c r="H214" s="65"/>
    </row>
    <row r="215" spans="1:8" ht="18" customHeight="1" x14ac:dyDescent="0.2">
      <c r="A215" s="63"/>
      <c r="B215" s="64"/>
      <c r="C215" s="64"/>
      <c r="D215" s="64"/>
      <c r="E215" s="64"/>
      <c r="F215" s="64"/>
      <c r="G215" s="64"/>
      <c r="H215" s="65"/>
    </row>
    <row r="216" spans="1:8" ht="18" customHeight="1" x14ac:dyDescent="0.2">
      <c r="A216" s="63"/>
      <c r="B216" s="64"/>
      <c r="C216" s="64"/>
      <c r="D216" s="64"/>
      <c r="E216" s="64"/>
      <c r="F216" s="64"/>
      <c r="G216" s="64"/>
      <c r="H216" s="65"/>
    </row>
    <row r="217" spans="1:8" ht="18" customHeight="1" x14ac:dyDescent="0.2">
      <c r="A217" s="63"/>
      <c r="B217" s="64"/>
      <c r="C217" s="64"/>
      <c r="D217" s="64"/>
      <c r="E217" s="64"/>
      <c r="F217" s="64"/>
      <c r="G217" s="64"/>
      <c r="H217" s="65"/>
    </row>
    <row r="218" spans="1:8" ht="18" customHeight="1" x14ac:dyDescent="0.2">
      <c r="A218" s="63"/>
      <c r="B218" s="64"/>
      <c r="C218" s="64"/>
      <c r="D218" s="64"/>
      <c r="E218" s="64"/>
      <c r="F218" s="64"/>
      <c r="G218" s="64"/>
      <c r="H218" s="65"/>
    </row>
    <row r="219" spans="1:8" ht="18" customHeight="1" x14ac:dyDescent="0.2">
      <c r="A219" s="63"/>
      <c r="B219" s="64"/>
      <c r="C219" s="64"/>
      <c r="D219" s="64"/>
      <c r="E219" s="64"/>
      <c r="F219" s="64"/>
      <c r="G219" s="64"/>
      <c r="H219" s="65"/>
    </row>
    <row r="220" spans="1:8" ht="18" customHeight="1" x14ac:dyDescent="0.2">
      <c r="A220" s="63"/>
      <c r="B220" s="64"/>
      <c r="C220" s="64"/>
      <c r="D220" s="64"/>
      <c r="E220" s="64"/>
      <c r="F220" s="64"/>
      <c r="G220" s="64"/>
      <c r="H220" s="65"/>
    </row>
    <row r="221" spans="1:8" ht="18" customHeight="1" x14ac:dyDescent="0.2">
      <c r="A221" s="63"/>
      <c r="B221" s="64"/>
      <c r="C221" s="64"/>
      <c r="D221" s="64"/>
      <c r="E221" s="64"/>
      <c r="F221" s="64"/>
      <c r="G221" s="64"/>
      <c r="H221" s="65"/>
    </row>
    <row r="222" spans="1:8" ht="18" customHeight="1" x14ac:dyDescent="0.2">
      <c r="A222" s="63"/>
      <c r="B222" s="64"/>
      <c r="C222" s="64"/>
      <c r="D222" s="64"/>
      <c r="E222" s="64"/>
      <c r="F222" s="64"/>
      <c r="G222" s="64"/>
      <c r="H222" s="65"/>
    </row>
    <row r="223" spans="1:8" ht="18" customHeight="1" x14ac:dyDescent="0.2">
      <c r="A223" s="63"/>
      <c r="B223" s="64"/>
      <c r="C223" s="64"/>
      <c r="D223" s="64"/>
      <c r="E223" s="64"/>
      <c r="F223" s="64"/>
      <c r="G223" s="64"/>
      <c r="H223" s="65"/>
    </row>
    <row r="224" spans="1:8" ht="18" customHeight="1" x14ac:dyDescent="0.2">
      <c r="A224" s="63"/>
      <c r="B224" s="64"/>
      <c r="C224" s="64"/>
      <c r="D224" s="64"/>
      <c r="E224" s="64"/>
      <c r="F224" s="64"/>
      <c r="G224" s="64"/>
      <c r="H224" s="65"/>
    </row>
    <row r="225" spans="1:8" ht="18" customHeight="1" x14ac:dyDescent="0.2">
      <c r="A225" s="63"/>
      <c r="B225" s="64"/>
      <c r="C225" s="64"/>
      <c r="D225" s="64"/>
      <c r="E225" s="64"/>
      <c r="F225" s="64"/>
      <c r="G225" s="64"/>
      <c r="H225" s="65"/>
    </row>
    <row r="226" spans="1:8" ht="18" customHeight="1" x14ac:dyDescent="0.2">
      <c r="A226" s="63"/>
      <c r="B226" s="64"/>
      <c r="C226" s="64"/>
      <c r="D226" s="64"/>
      <c r="E226" s="64"/>
      <c r="F226" s="64"/>
      <c r="G226" s="64"/>
      <c r="H226" s="65"/>
    </row>
    <row r="227" spans="1:8" ht="18" customHeight="1" x14ac:dyDescent="0.2">
      <c r="A227" s="63"/>
      <c r="B227" s="64"/>
      <c r="C227" s="64"/>
      <c r="D227" s="64"/>
      <c r="E227" s="64"/>
      <c r="F227" s="64"/>
      <c r="G227" s="64"/>
      <c r="H227" s="65"/>
    </row>
    <row r="228" spans="1:8" ht="18" customHeight="1" x14ac:dyDescent="0.2">
      <c r="A228" s="63"/>
      <c r="B228" s="64"/>
      <c r="C228" s="64"/>
      <c r="D228" s="64"/>
      <c r="E228" s="64"/>
      <c r="F228" s="64"/>
      <c r="G228" s="64"/>
      <c r="H228" s="65"/>
    </row>
    <row r="229" spans="1:8" ht="18" customHeight="1" x14ac:dyDescent="0.2">
      <c r="A229" s="63"/>
      <c r="B229" s="64"/>
      <c r="C229" s="64"/>
      <c r="D229" s="64"/>
      <c r="E229" s="64"/>
      <c r="F229" s="64"/>
      <c r="G229" s="64"/>
      <c r="H229" s="65"/>
    </row>
    <row r="230" spans="1:8" ht="18" customHeight="1" x14ac:dyDescent="0.2">
      <c r="A230" s="63"/>
      <c r="B230" s="64"/>
      <c r="C230" s="64"/>
      <c r="D230" s="64"/>
      <c r="E230" s="64"/>
      <c r="F230" s="64"/>
      <c r="G230" s="64"/>
      <c r="H230" s="65"/>
    </row>
    <row r="231" spans="1:8" ht="18" customHeight="1" x14ac:dyDescent="0.2">
      <c r="A231" s="63"/>
      <c r="B231" s="64"/>
      <c r="C231" s="64"/>
      <c r="D231" s="64"/>
      <c r="E231" s="64"/>
      <c r="F231" s="64"/>
      <c r="G231" s="64"/>
      <c r="H231" s="65"/>
    </row>
    <row r="232" spans="1:8" ht="18" customHeight="1" x14ac:dyDescent="0.2">
      <c r="A232" s="63"/>
      <c r="B232" s="64"/>
      <c r="C232" s="64"/>
      <c r="D232" s="64"/>
      <c r="E232" s="64"/>
      <c r="F232" s="64"/>
      <c r="G232" s="64"/>
      <c r="H232" s="65"/>
    </row>
    <row r="233" spans="1:8" ht="18" customHeight="1" x14ac:dyDescent="0.2">
      <c r="A233" s="63"/>
      <c r="B233" s="64"/>
      <c r="C233" s="64"/>
      <c r="D233" s="64"/>
      <c r="E233" s="64"/>
      <c r="F233" s="64"/>
      <c r="G233" s="64"/>
      <c r="H233" s="65"/>
    </row>
    <row r="234" spans="1:8" ht="18" customHeight="1" x14ac:dyDescent="0.2">
      <c r="A234" s="63"/>
      <c r="B234" s="64"/>
      <c r="C234" s="64"/>
      <c r="D234" s="64"/>
      <c r="E234" s="64"/>
      <c r="F234" s="64"/>
      <c r="G234" s="64"/>
      <c r="H234" s="65"/>
    </row>
    <row r="235" spans="1:8" ht="18" customHeight="1" x14ac:dyDescent="0.2">
      <c r="A235" s="63"/>
      <c r="B235" s="64"/>
      <c r="C235" s="64"/>
      <c r="D235" s="64"/>
      <c r="E235" s="64"/>
      <c r="F235" s="64"/>
      <c r="G235" s="64"/>
      <c r="H235" s="65"/>
    </row>
    <row r="236" spans="1:8" ht="18" customHeight="1" x14ac:dyDescent="0.2">
      <c r="A236" s="63"/>
      <c r="B236" s="64"/>
      <c r="C236" s="64"/>
      <c r="D236" s="64"/>
      <c r="E236" s="64"/>
      <c r="F236" s="64"/>
      <c r="G236" s="64"/>
      <c r="H236" s="65"/>
    </row>
    <row r="237" spans="1:8" ht="18" customHeight="1" x14ac:dyDescent="0.2">
      <c r="A237" s="63"/>
      <c r="B237" s="64"/>
      <c r="C237" s="64"/>
      <c r="D237" s="64"/>
      <c r="E237" s="64"/>
      <c r="F237" s="64"/>
      <c r="G237" s="64"/>
      <c r="H237" s="65"/>
    </row>
    <row r="238" spans="1:8" ht="18" customHeight="1" x14ac:dyDescent="0.2">
      <c r="A238" s="63"/>
      <c r="B238" s="64"/>
      <c r="C238" s="64"/>
      <c r="D238" s="64"/>
      <c r="E238" s="64"/>
      <c r="F238" s="64"/>
      <c r="G238" s="64"/>
      <c r="H238" s="65"/>
    </row>
    <row r="239" spans="1:8" ht="18" customHeight="1" x14ac:dyDescent="0.2">
      <c r="A239" s="63"/>
      <c r="B239" s="64"/>
      <c r="C239" s="64"/>
      <c r="D239" s="64"/>
      <c r="E239" s="64"/>
      <c r="F239" s="64"/>
      <c r="G239" s="64"/>
      <c r="H239" s="65"/>
    </row>
    <row r="240" spans="1:8" ht="18" customHeight="1" x14ac:dyDescent="0.2">
      <c r="A240" s="63"/>
      <c r="B240" s="64"/>
      <c r="C240" s="64"/>
      <c r="D240" s="64"/>
      <c r="E240" s="64"/>
      <c r="F240" s="64"/>
      <c r="G240" s="64"/>
      <c r="H240" s="65"/>
    </row>
    <row r="241" spans="1:8" ht="18" customHeight="1" x14ac:dyDescent="0.2">
      <c r="A241" s="63"/>
      <c r="B241" s="64"/>
      <c r="C241" s="64"/>
      <c r="D241" s="64"/>
      <c r="E241" s="64"/>
      <c r="F241" s="64"/>
      <c r="G241" s="64"/>
      <c r="H241" s="65"/>
    </row>
    <row r="242" spans="1:8" ht="18" customHeight="1" x14ac:dyDescent="0.2">
      <c r="A242" s="63"/>
      <c r="B242" s="64"/>
      <c r="C242" s="64"/>
      <c r="D242" s="64"/>
      <c r="E242" s="64"/>
      <c r="F242" s="64"/>
      <c r="G242" s="64"/>
      <c r="H242" s="65"/>
    </row>
    <row r="243" spans="1:8" ht="18" customHeight="1" x14ac:dyDescent="0.2">
      <c r="A243" s="63"/>
      <c r="B243" s="64"/>
      <c r="C243" s="64"/>
      <c r="D243" s="64"/>
      <c r="E243" s="64"/>
      <c r="F243" s="64"/>
      <c r="G243" s="64"/>
      <c r="H243" s="65"/>
    </row>
    <row r="244" spans="1:8" ht="18" customHeight="1" x14ac:dyDescent="0.2">
      <c r="A244" s="63"/>
      <c r="B244" s="64"/>
      <c r="C244" s="64"/>
      <c r="D244" s="64"/>
      <c r="E244" s="64"/>
      <c r="F244" s="64"/>
      <c r="G244" s="64"/>
      <c r="H244" s="65"/>
    </row>
    <row r="245" spans="1:8" ht="18" customHeight="1" x14ac:dyDescent="0.2">
      <c r="A245" s="63"/>
      <c r="B245" s="64"/>
      <c r="C245" s="64"/>
      <c r="D245" s="64"/>
      <c r="E245" s="64"/>
      <c r="F245" s="64"/>
      <c r="G245" s="64"/>
      <c r="H245" s="65"/>
    </row>
    <row r="246" spans="1:8" ht="18" customHeight="1" x14ac:dyDescent="0.2">
      <c r="A246" s="63"/>
      <c r="B246" s="64"/>
      <c r="C246" s="64"/>
      <c r="D246" s="64"/>
      <c r="E246" s="64"/>
      <c r="F246" s="64"/>
      <c r="G246" s="64"/>
      <c r="H246" s="65"/>
    </row>
    <row r="247" spans="1:8" ht="18" customHeight="1" x14ac:dyDescent="0.2">
      <c r="A247" s="63"/>
      <c r="B247" s="64"/>
      <c r="C247" s="64"/>
      <c r="D247" s="64"/>
      <c r="E247" s="64"/>
      <c r="F247" s="64"/>
      <c r="G247" s="64"/>
      <c r="H247" s="65"/>
    </row>
    <row r="248" spans="1:8" ht="18" customHeight="1" x14ac:dyDescent="0.2">
      <c r="A248" s="63"/>
      <c r="B248" s="64"/>
      <c r="C248" s="64"/>
      <c r="D248" s="64"/>
      <c r="E248" s="64"/>
      <c r="F248" s="64"/>
      <c r="G248" s="64"/>
      <c r="H248" s="65"/>
    </row>
    <row r="249" spans="1:8" ht="18" customHeight="1" x14ac:dyDescent="0.2">
      <c r="A249" s="63"/>
      <c r="B249" s="64"/>
      <c r="C249" s="64"/>
      <c r="D249" s="64"/>
      <c r="E249" s="64"/>
      <c r="F249" s="64"/>
      <c r="G249" s="64"/>
      <c r="H249" s="65"/>
    </row>
    <row r="250" spans="1:8" ht="18" customHeight="1" x14ac:dyDescent="0.2">
      <c r="A250" s="66"/>
      <c r="B250" s="67"/>
      <c r="C250" s="67"/>
      <c r="D250" s="67"/>
      <c r="E250" s="67"/>
      <c r="F250" s="67"/>
      <c r="G250" s="67"/>
      <c r="H250" s="68"/>
    </row>
  </sheetData>
  <mergeCells count="3">
    <mergeCell ref="A210:H250"/>
    <mergeCell ref="A170:H205"/>
    <mergeCell ref="A155:H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Quaglia</cp:lastModifiedBy>
  <dcterms:created xsi:type="dcterms:W3CDTF">2025-11-19T20:17:25Z</dcterms:created>
  <dcterms:modified xsi:type="dcterms:W3CDTF">2026-03-30T18:45:53Z</dcterms:modified>
</cp:coreProperties>
</file>